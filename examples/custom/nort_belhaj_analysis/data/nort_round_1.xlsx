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T_02.06.2020" sheetId="1" state="visible" r:id="rId2"/>
    <sheet name="NORT_ 24.08.2020 (after)" sheetId="2" state="visible" r:id="rId3"/>
    <sheet name="Open field1" sheetId="3" state="visible" r:id="rId4"/>
    <sheet name="NORT " sheetId="4" state="visible" r:id="rId5"/>
    <sheet name="Object localization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<sst xmlns="http://schemas.openxmlformats.org/spreadsheetml/2006/main" count="5402" uniqueCount="545">
  <si>
    <t xml:space="preserve">Test</t>
  </si>
  <si>
    <t xml:space="preserve">Animal</t>
  </si>
  <si>
    <t xml:space="preserve">Stage</t>
  </si>
  <si>
    <t xml:space="preserve">Apparatus</t>
  </si>
  <si>
    <t xml:space="preserve">Date</t>
  </si>
  <si>
    <t xml:space="preserve">Time</t>
  </si>
  <si>
    <t xml:space="preserve">Video_file_name</t>
  </si>
  <si>
    <t xml:space="preserve">Duration</t>
  </si>
  <si>
    <t xml:space="preserve">Distance</t>
  </si>
  <si>
    <t xml:space="preserve">Mean_speed</t>
  </si>
  <si>
    <t xml:space="preserve">Max_speed</t>
  </si>
  <si>
    <t xml:space="preserve">Time_freezing</t>
  </si>
  <si>
    <t xml:space="preserve">Object_A_._head_entries</t>
  </si>
  <si>
    <t xml:space="preserve">Object_A_._head_time</t>
  </si>
  <si>
    <t xml:space="preserve">Object_A_._distance</t>
  </si>
  <si>
    <t xml:space="preserve">Object_A_._average_speed</t>
  </si>
  <si>
    <t xml:space="preserve">Object_A_._max_speed</t>
  </si>
  <si>
    <t xml:space="preserve">Object_A_._in_zone_oriented_to_centre</t>
  </si>
  <si>
    <t xml:space="preserve">Object_A_._Absolute_head_turn_angle</t>
  </si>
  <si>
    <t xml:space="preserve">Object_A_._time_freezing</t>
  </si>
  <si>
    <t xml:space="preserve">Object_A_._time_head_in_._centre_out</t>
  </si>
  <si>
    <t xml:space="preserve">Object_B_._head_entries</t>
  </si>
  <si>
    <t xml:space="preserve">Object_B_._head_time</t>
  </si>
  <si>
    <t xml:space="preserve">Object_B_._distance</t>
  </si>
  <si>
    <t xml:space="preserve">Object_B_._average_speed</t>
  </si>
  <si>
    <t xml:space="preserve">Object_B_._max_speed</t>
  </si>
  <si>
    <t xml:space="preserve">Object_B_._in_zone_oriented_to_centre</t>
  </si>
  <si>
    <t xml:space="preserve">Object_B_._Absolute_head_turn_angle</t>
  </si>
  <si>
    <t xml:space="preserve">Object_B_._time_freezing</t>
  </si>
  <si>
    <t xml:space="preserve">Object_B_._time_head_in_._centre_out</t>
  </si>
  <si>
    <t xml:space="preserve">Inside_._entries</t>
  </si>
  <si>
    <t xml:space="preserve">Inside_._time</t>
  </si>
  <si>
    <t xml:space="preserve">Inside_._distance</t>
  </si>
  <si>
    <t xml:space="preserve">Inside_._average_speed</t>
  </si>
  <si>
    <t xml:space="preserve">Inside_._time_freezing</t>
  </si>
  <si>
    <t xml:space="preserve">Outside_._entries</t>
  </si>
  <si>
    <t xml:space="preserve">Outside_._time</t>
  </si>
  <si>
    <t xml:space="preserve">Outside_._distance</t>
  </si>
  <si>
    <t xml:space="preserve">Outside_._average_speed</t>
  </si>
  <si>
    <t xml:space="preserve">Outside_._time_freezing</t>
  </si>
  <si>
    <t xml:space="preserve">Relative time Inside</t>
  </si>
  <si>
    <t xml:space="preserve">Relative time Outside</t>
  </si>
  <si>
    <t xml:space="preserve">Relative distance Inside</t>
  </si>
  <si>
    <t xml:space="preserve">Relative distance Outside</t>
  </si>
  <si>
    <t xml:space="preserve">E1: total exploration time in first trial (E1 = A1 + B1)</t>
  </si>
  <si>
    <t xml:space="preserve">E2: total exploration time in second trial E2 ( E2 = A2 + B2)</t>
  </si>
  <si>
    <t xml:space="preserve">D1: Absolute discrimination measure (D1 = B2- A2)</t>
  </si>
  <si>
    <t xml:space="preserve">D2: Discrimination index (D2 = D1/E2)</t>
  </si>
  <si>
    <t xml:space="preserve">D3: Novelty preference (D3 = B2/E2*100)</t>
  </si>
  <si>
    <t xml:space="preserve">Object bias score = (time exploring the object A/total time exploring both objects A1 and B1)*100</t>
  </si>
  <si>
    <t xml:space="preserve">Sex</t>
  </si>
  <si>
    <t xml:space="preserve">HCAR1</t>
  </si>
  <si>
    <t xml:space="preserve">VXFAD</t>
  </si>
  <si>
    <t xml:space="preserve">Age (days)</t>
  </si>
  <si>
    <t xml:space="preserve">Age (months)</t>
  </si>
  <si>
    <t xml:space="preserve">Treatment</t>
  </si>
  <si>
    <t xml:space="preserve">Group</t>
  </si>
  <si>
    <t xml:space="preserve">All comments</t>
  </si>
  <si>
    <t xml:space="preserve">1</t>
  </si>
  <si>
    <t xml:space="preserve">Training (identical objects) T1</t>
  </si>
  <si>
    <t xml:space="preserve">Open-Field-1</t>
  </si>
  <si>
    <t xml:space="preserve">03.06.2020</t>
  </si>
  <si>
    <t xml:space="preserve">10:34</t>
  </si>
  <si>
    <t xml:space="preserve">NORT1 videos\Test 47.szv</t>
  </si>
  <si>
    <t xml:space="preserve">Male</t>
  </si>
  <si>
    <t xml:space="preserve"> -/-</t>
  </si>
  <si>
    <t xml:space="preserve">wt</t>
  </si>
  <si>
    <t xml:space="preserve">lactate</t>
  </si>
  <si>
    <t xml:space="preserve">2</t>
  </si>
  <si>
    <t xml:space="preserve">Open-Field-2</t>
  </si>
  <si>
    <t xml:space="preserve">NORT1 videos\Test 49.szv</t>
  </si>
  <si>
    <t xml:space="preserve">Female</t>
  </si>
  <si>
    <t xml:space="preserve">tg</t>
  </si>
  <si>
    <t xml:space="preserve">3</t>
  </si>
  <si>
    <t xml:space="preserve">Open-Field-3</t>
  </si>
  <si>
    <t xml:space="preserve">NORT1 videos\Test 48.szv</t>
  </si>
  <si>
    <t xml:space="preserve"> +/+</t>
  </si>
  <si>
    <t xml:space="preserve">kicks</t>
  </si>
  <si>
    <t xml:space="preserve">4</t>
  </si>
  <si>
    <t xml:space="preserve">Open-Field-4</t>
  </si>
  <si>
    <t xml:space="preserve">NORT1 videos\Test 50.szv</t>
  </si>
  <si>
    <t xml:space="preserve">PBS</t>
  </si>
  <si>
    <t xml:space="preserve">5</t>
  </si>
  <si>
    <t xml:space="preserve">10:49</t>
  </si>
  <si>
    <t xml:space="preserve">NORT1 videos\Test 51.szv</t>
  </si>
  <si>
    <t xml:space="preserve">6</t>
  </si>
  <si>
    <t xml:space="preserve">NORT1 videos\Test 52.szv</t>
  </si>
  <si>
    <t xml:space="preserve">7</t>
  </si>
  <si>
    <t xml:space="preserve">NORT1 videos\Test 53.szv</t>
  </si>
  <si>
    <t xml:space="preserve">8</t>
  </si>
  <si>
    <t xml:space="preserve">NORT1 videos\Test 54.szv</t>
  </si>
  <si>
    <t xml:space="preserve">bump on stomach (L)</t>
  </si>
  <si>
    <t xml:space="preserve">9</t>
  </si>
  <si>
    <t xml:space="preserve">11:05</t>
  </si>
  <si>
    <t xml:space="preserve">NORT1 videos\Test 55.szv</t>
  </si>
  <si>
    <t xml:space="preserve">very active</t>
  </si>
  <si>
    <t xml:space="preserve">10</t>
  </si>
  <si>
    <t xml:space="preserve">NORT1 videos\Test 57.szv</t>
  </si>
  <si>
    <t xml:space="preserve">jumping all the time</t>
  </si>
  <si>
    <t xml:space="preserve">11</t>
  </si>
  <si>
    <t xml:space="preserve">NORT1 videos\Test 56.szv</t>
  </si>
  <si>
    <t xml:space="preserve">active</t>
  </si>
  <si>
    <t xml:space="preserve">12</t>
  </si>
  <si>
    <t xml:space="preserve">NORT1 videos\Test 58.szv</t>
  </si>
  <si>
    <t xml:space="preserve">13</t>
  </si>
  <si>
    <t xml:space="preserve">11:22</t>
  </si>
  <si>
    <t xml:space="preserve">NORT1 videos\Test 60.szv</t>
  </si>
  <si>
    <t xml:space="preserve">14</t>
  </si>
  <si>
    <t xml:space="preserve">NORT1 videos\Test 61.szv</t>
  </si>
  <si>
    <t xml:space="preserve">was numerated as 3, then changed to 5</t>
  </si>
  <si>
    <t xml:space="preserve">15</t>
  </si>
  <si>
    <t xml:space="preserve">NORT1 videos\Test 62.szv</t>
  </si>
  <si>
    <t xml:space="preserve">16</t>
  </si>
  <si>
    <t xml:space="preserve">NORT1 videos\Test 59.szv</t>
  </si>
  <si>
    <t xml:space="preserve">17</t>
  </si>
  <si>
    <t xml:space="preserve">11:39</t>
  </si>
  <si>
    <t xml:space="preserve">NORT1 videos\Test 63.szv</t>
  </si>
  <si>
    <t xml:space="preserve">18</t>
  </si>
  <si>
    <t xml:space="preserve">NORT1 videos\Test 64.szv</t>
  </si>
  <si>
    <t xml:space="preserve">19</t>
  </si>
  <si>
    <t xml:space="preserve">NORT1 videos\Test 65.szv</t>
  </si>
  <si>
    <t xml:space="preserve">20</t>
  </si>
  <si>
    <t xml:space="preserve">NORT1 videos\Test 66.szv</t>
  </si>
  <si>
    <t xml:space="preserve">21</t>
  </si>
  <si>
    <t xml:space="preserve">12:01</t>
  </si>
  <si>
    <t xml:space="preserve">NORT1 videos\Test 67.szv</t>
  </si>
  <si>
    <t xml:space="preserve">22</t>
  </si>
  <si>
    <t xml:space="preserve">NORT1 videos\Test 68.szv</t>
  </si>
  <si>
    <t xml:space="preserve">23</t>
  </si>
  <si>
    <t xml:space="preserve">NORT1 videos\Test 69.szv</t>
  </si>
  <si>
    <t xml:space="preserve">24</t>
  </si>
  <si>
    <t xml:space="preserve">NORT1 videos\Test 70.szv</t>
  </si>
  <si>
    <t xml:space="preserve">25</t>
  </si>
  <si>
    <t xml:space="preserve">12:17</t>
  </si>
  <si>
    <t xml:space="preserve">NORT1 videos\Test 71.szv</t>
  </si>
  <si>
    <t xml:space="preserve">26</t>
  </si>
  <si>
    <t xml:space="preserve">NORT1 videos\Test 72.szv</t>
  </si>
  <si>
    <t xml:space="preserve">27</t>
  </si>
  <si>
    <t xml:space="preserve">NORT1 videos\Test 73.szv</t>
  </si>
  <si>
    <t xml:space="preserve">28</t>
  </si>
  <si>
    <t xml:space="preserve">NORT1 videos\Test 74.szv</t>
  </si>
  <si>
    <t xml:space="preserve">shoked during restrain</t>
  </si>
  <si>
    <t xml:space="preserve">29</t>
  </si>
  <si>
    <t xml:space="preserve">12:34</t>
  </si>
  <si>
    <t xml:space="preserve">NORT1 videos\Test 75.szv</t>
  </si>
  <si>
    <t xml:space="preserve">30</t>
  </si>
  <si>
    <t xml:space="preserve">NORT1 videos\Test 76.szv</t>
  </si>
  <si>
    <t xml:space="preserve">31</t>
  </si>
  <si>
    <t xml:space="preserve">NORT1 videos\Test 77.szv</t>
  </si>
  <si>
    <t xml:space="preserve">32</t>
  </si>
  <si>
    <t xml:space="preserve">NORT1 videos\Test 78.szv</t>
  </si>
  <si>
    <t xml:space="preserve">33</t>
  </si>
  <si>
    <t xml:space="preserve">12:52</t>
  </si>
  <si>
    <t xml:space="preserve">NORT1 videos\Test 79.szv</t>
  </si>
  <si>
    <t xml:space="preserve">looks like 3</t>
  </si>
  <si>
    <t xml:space="preserve">34</t>
  </si>
  <si>
    <t xml:space="preserve">NORT1 videos\Test 80.szv</t>
  </si>
  <si>
    <t xml:space="preserve">stressed</t>
  </si>
  <si>
    <t xml:space="preserve">35</t>
  </si>
  <si>
    <t xml:space="preserve">NORT1 videos\Test 82.szv</t>
  </si>
  <si>
    <t xml:space="preserve">stereotypic running</t>
  </si>
  <si>
    <t xml:space="preserve">36</t>
  </si>
  <si>
    <t xml:space="preserve">NORT1 videos\Test 81.szv</t>
  </si>
  <si>
    <t xml:space="preserve">37</t>
  </si>
  <si>
    <t xml:space="preserve">13:08</t>
  </si>
  <si>
    <t xml:space="preserve">NORT1 videos\Test 84.szv</t>
  </si>
  <si>
    <t xml:space="preserve">38</t>
  </si>
  <si>
    <t xml:space="preserve">NORT1 videos\Test 83.szv</t>
  </si>
  <si>
    <t xml:space="preserve">bullied</t>
  </si>
  <si>
    <t xml:space="preserve">39</t>
  </si>
  <si>
    <t xml:space="preserve">NORT1 videos\Test 85.szv</t>
  </si>
  <si>
    <t xml:space="preserve">barbed stomach</t>
  </si>
  <si>
    <t xml:space="preserve">40</t>
  </si>
  <si>
    <t xml:space="preserve">NORT1 videos\Test 86.szv</t>
  </si>
  <si>
    <t xml:space="preserve">41</t>
  </si>
  <si>
    <t xml:space="preserve">13:26</t>
  </si>
  <si>
    <t xml:space="preserve">NORT1 videos\Test 87.szv</t>
  </si>
  <si>
    <t xml:space="preserve">42</t>
  </si>
  <si>
    <t xml:space="preserve">NORT1 videos\Test 88.szv</t>
  </si>
  <si>
    <t xml:space="preserve">kicks, bullied, stressed</t>
  </si>
  <si>
    <t xml:space="preserve">43</t>
  </si>
  <si>
    <t xml:space="preserve">NORT1 videos\Test 89.szv</t>
  </si>
  <si>
    <t xml:space="preserve">epileptic seizures, had a treadmill</t>
  </si>
  <si>
    <t xml:space="preserve">44</t>
  </si>
  <si>
    <t xml:space="preserve">NORT1 videos\Test 90.szv</t>
  </si>
  <si>
    <t xml:space="preserve">45</t>
  </si>
  <si>
    <t xml:space="preserve">13:42</t>
  </si>
  <si>
    <t xml:space="preserve">NORT1 videos\Test 92.szv</t>
  </si>
  <si>
    <t xml:space="preserve">46</t>
  </si>
  <si>
    <t xml:space="preserve">NORT1 videos\Test 91.szv</t>
  </si>
  <si>
    <t xml:space="preserve">Test (novel object) T2</t>
  </si>
  <si>
    <t xml:space="preserve">15:10</t>
  </si>
  <si>
    <t xml:space="preserve">NORT1 videos\Test 96.szv</t>
  </si>
  <si>
    <t xml:space="preserve">NORT1 videos\Test 93.szv</t>
  </si>
  <si>
    <t xml:space="preserve">NORT1 videos\Test 95.szv</t>
  </si>
  <si>
    <t xml:space="preserve">NORT1 videos\Test 94.szv</t>
  </si>
  <si>
    <t xml:space="preserve">15:27</t>
  </si>
  <si>
    <t xml:space="preserve">NORT1 videos\Test 99.szv</t>
  </si>
  <si>
    <t xml:space="preserve">15:24</t>
  </si>
  <si>
    <t xml:space="preserve">NORT1 videos\Test 97.szv</t>
  </si>
  <si>
    <t xml:space="preserve">NORT1 videos\Test 100.szv</t>
  </si>
  <si>
    <t xml:space="preserve">NORT1 videos\Test 101.szv</t>
  </si>
  <si>
    <t xml:space="preserve">15:45</t>
  </si>
  <si>
    <t xml:space="preserve">NORT1 videos\Test 102.szv</t>
  </si>
  <si>
    <t xml:space="preserve">NORT1 videos\Test 98.szv</t>
  </si>
  <si>
    <t xml:space="preserve">NORT1 videos\Test 103.szv</t>
  </si>
  <si>
    <t xml:space="preserve">NORT1 videos\Test 104.szv</t>
  </si>
  <si>
    <t xml:space="preserve">16:00</t>
  </si>
  <si>
    <t xml:space="preserve">NORT1 videos\Test 107.szv</t>
  </si>
  <si>
    <t xml:space="preserve">NORT1 videos\Test 106.szv</t>
  </si>
  <si>
    <t xml:space="preserve">NORT1 videos\Test 105.szv</t>
  </si>
  <si>
    <t xml:space="preserve">NORT1 videos\Test 108.szv</t>
  </si>
  <si>
    <t xml:space="preserve">16:18</t>
  </si>
  <si>
    <t xml:space="preserve">NORT1 videos\Test 109.szv</t>
  </si>
  <si>
    <t xml:space="preserve">NORT1 videos\Test 110.szv</t>
  </si>
  <si>
    <t xml:space="preserve">NORT1 videos\Test 111.szv</t>
  </si>
  <si>
    <t xml:space="preserve">NORT1 videos\Test 112.szv</t>
  </si>
  <si>
    <t xml:space="preserve">16:34</t>
  </si>
  <si>
    <t xml:space="preserve">NORT1 videos\Test 116.szv</t>
  </si>
  <si>
    <t xml:space="preserve">NORT1 videos\Test 114.szv</t>
  </si>
  <si>
    <t xml:space="preserve">NORT1 videos\Test 113.szv</t>
  </si>
  <si>
    <t xml:space="preserve">NORT1 videos\Test 115.szv</t>
  </si>
  <si>
    <t xml:space="preserve">16:51</t>
  </si>
  <si>
    <t xml:space="preserve">NORT1 videos\Test 119.szv</t>
  </si>
  <si>
    <t xml:space="preserve">NORT1 videos\Test 118.szv</t>
  </si>
  <si>
    <t xml:space="preserve">NORT1 videos\Test 117.szv</t>
  </si>
  <si>
    <t xml:space="preserve">NORT1 videos\Test 120.szv</t>
  </si>
  <si>
    <t xml:space="preserve">17:08</t>
  </si>
  <si>
    <t xml:space="preserve">NORT1 videos\Test 124.szv</t>
  </si>
  <si>
    <t xml:space="preserve">NORT1 videos\Test 121.szv</t>
  </si>
  <si>
    <t xml:space="preserve">NORT1 videos\Test 123.szv</t>
  </si>
  <si>
    <t xml:space="preserve">NORT1 videos\Test 122.szv</t>
  </si>
  <si>
    <t xml:space="preserve">17:24</t>
  </si>
  <si>
    <t xml:space="preserve">NORT1 videos\Test 125.szv</t>
  </si>
  <si>
    <t xml:space="preserve">NORT1 videos\Test 126.szv</t>
  </si>
  <si>
    <t xml:space="preserve">NORT1 videos\Test 127.szv</t>
  </si>
  <si>
    <t xml:space="preserve">NORT1 videos\Test 128.szv</t>
  </si>
  <si>
    <t xml:space="preserve">17:41</t>
  </si>
  <si>
    <t xml:space="preserve">NORT1 videos\Test 129.szv</t>
  </si>
  <si>
    <t xml:space="preserve">NORT1 videos\Test 130.szv</t>
  </si>
  <si>
    <t xml:space="preserve">NORT1 videos\Test 132.szv</t>
  </si>
  <si>
    <t xml:space="preserve">NORT1 videos\Test 131.szv</t>
  </si>
  <si>
    <t xml:space="preserve">17:57</t>
  </si>
  <si>
    <t xml:space="preserve">NORT1 videos\Test 133.szv</t>
  </si>
  <si>
    <t xml:space="preserve">NORT1 videos\Test 134.szv</t>
  </si>
  <si>
    <t xml:space="preserve">NORT1 videos\Test 136.szv</t>
  </si>
  <si>
    <t xml:space="preserve">NORT1 videos\Test 135.szv</t>
  </si>
  <si>
    <t xml:space="preserve">18:10</t>
  </si>
  <si>
    <t xml:space="preserve">NORT1 videos\Test 138.szv</t>
  </si>
  <si>
    <t xml:space="preserve">NORT1 videos\Test 137.szv</t>
  </si>
  <si>
    <t xml:space="preserve">Habituation</t>
  </si>
  <si>
    <t xml:space="preserve">02.06.2020</t>
  </si>
  <si>
    <t xml:space="preserve">13:17</t>
  </si>
  <si>
    <t xml:space="preserve">NORT1 videos\Test 2.szv</t>
  </si>
  <si>
    <t xml:space="preserve">NORT1 videos\Test 1.szv</t>
  </si>
  <si>
    <t xml:space="preserve">NORT1 videos\Test 4.szv</t>
  </si>
  <si>
    <t xml:space="preserve">NORT1 videos\Test 3.szv</t>
  </si>
  <si>
    <t xml:space="preserve">13:37</t>
  </si>
  <si>
    <t xml:space="preserve">NORT1 videos\Test 5.szv</t>
  </si>
  <si>
    <t xml:space="preserve">NORT1 videos\Test 6.szv</t>
  </si>
  <si>
    <t xml:space="preserve">NORT1 videos\Test 7.szv</t>
  </si>
  <si>
    <t xml:space="preserve">NORT1 videos\Test 8.szv</t>
  </si>
  <si>
    <t xml:space="preserve">13:52</t>
  </si>
  <si>
    <t xml:space="preserve">NORT1 videos\Test 9.szv</t>
  </si>
  <si>
    <t xml:space="preserve">NORT1 videos\Test 10.szv</t>
  </si>
  <si>
    <t xml:space="preserve">NORT1 videos\Test 11.szv</t>
  </si>
  <si>
    <t xml:space="preserve">NORT1 videos\Test 12.szv</t>
  </si>
  <si>
    <t xml:space="preserve">16:05</t>
  </si>
  <si>
    <t xml:space="preserve">NORT1 videos\Test 14.szv</t>
  </si>
  <si>
    <t xml:space="preserve">NORT1 videos\Test 13.szv</t>
  </si>
  <si>
    <t xml:space="preserve">NORT1 videos\Test 15.szv</t>
  </si>
  <si>
    <t xml:space="preserve">NORT1 videos\Test 16.szv</t>
  </si>
  <si>
    <t xml:space="preserve">16:17</t>
  </si>
  <si>
    <t xml:space="preserve">NORT1 videos\Test 17.szv</t>
  </si>
  <si>
    <t xml:space="preserve">NORT1 videos\Test 18.szv</t>
  </si>
  <si>
    <t xml:space="preserve">NORT1 videos\Test 20.szv</t>
  </si>
  <si>
    <t xml:space="preserve">NORT1 videos\Test 19.szv</t>
  </si>
  <si>
    <t xml:space="preserve">16:30</t>
  </si>
  <si>
    <t xml:space="preserve">NORT1 videos\Test 23.szv</t>
  </si>
  <si>
    <t xml:space="preserve">NORT1 videos\Test 24.szv</t>
  </si>
  <si>
    <t xml:space="preserve">NORT1 videos\Test 22.szv</t>
  </si>
  <si>
    <t xml:space="preserve">NORT1 videos\Test 21.szv</t>
  </si>
  <si>
    <t xml:space="preserve">16:42</t>
  </si>
  <si>
    <t xml:space="preserve">NORT1 videos\Test 27.szv</t>
  </si>
  <si>
    <t xml:space="preserve">NORT1 videos\Test 26.szv</t>
  </si>
  <si>
    <t xml:space="preserve">NORT1 videos\Test 28.szv</t>
  </si>
  <si>
    <t xml:space="preserve">NORT1 videos\Test 25.szv</t>
  </si>
  <si>
    <t xml:space="preserve">16:53</t>
  </si>
  <si>
    <t xml:space="preserve">NORT1 videos\Test 29.szv</t>
  </si>
  <si>
    <t xml:space="preserve">NORT1 videos\Test 30.szv</t>
  </si>
  <si>
    <t xml:space="preserve">NORT1 videos\Test 31.szv</t>
  </si>
  <si>
    <t xml:space="preserve">NORT1 videos\Test 32.szv</t>
  </si>
  <si>
    <t xml:space="preserve">17:03</t>
  </si>
  <si>
    <t xml:space="preserve">NORT1 videos\Test 36.szv</t>
  </si>
  <si>
    <t xml:space="preserve">NORT1 videos\Test 33.szv</t>
  </si>
  <si>
    <t xml:space="preserve">NORT1 videos\Test 34.szv</t>
  </si>
  <si>
    <t xml:space="preserve">NORT1 videos\Test 35.szv</t>
  </si>
  <si>
    <t xml:space="preserve">17:13</t>
  </si>
  <si>
    <t xml:space="preserve">NORT1 videos\Test 37.szv</t>
  </si>
  <si>
    <t xml:space="preserve">NORT1 videos\Test 39.szv</t>
  </si>
  <si>
    <t xml:space="preserve">NORT1 videos\Test 38.szv</t>
  </si>
  <si>
    <t xml:space="preserve">NORT1 videos\Test 40.szv</t>
  </si>
  <si>
    <t xml:space="preserve">17:25</t>
  </si>
  <si>
    <t xml:space="preserve">NORT1 videos\Test 43.szv</t>
  </si>
  <si>
    <t xml:space="preserve">NORT1 videos\Test 44.szv</t>
  </si>
  <si>
    <t xml:space="preserve">NORT1 videos\Test 41.szv</t>
  </si>
  <si>
    <t xml:space="preserve">NORT1 videos\Test 42.szv</t>
  </si>
  <si>
    <t xml:space="preserve">17:35</t>
  </si>
  <si>
    <t xml:space="preserve">NORT1 videos\Test 45.szv</t>
  </si>
  <si>
    <t xml:space="preserve">NORT1 videos\Test 46.szv</t>
  </si>
  <si>
    <t xml:space="preserve">25.08.2020</t>
  </si>
  <si>
    <t xml:space="preserve">09:41</t>
  </si>
  <si>
    <t xml:space="preserve">NORT_24 08 2020 (after) videos\Test 44.szv</t>
  </si>
  <si>
    <t xml:space="preserve">09:40</t>
  </si>
  <si>
    <t xml:space="preserve">NORT_24 08 2020 (after) videos\Test 46.szv</t>
  </si>
  <si>
    <t xml:space="preserve">NORT_24 08 2020 (after) videos\Test 45.szv</t>
  </si>
  <si>
    <t xml:space="preserve">NORT_24 08 2020 (after) videos\Test 47.szv</t>
  </si>
  <si>
    <t xml:space="preserve">09:55</t>
  </si>
  <si>
    <t xml:space="preserve">NORT_24 08 2020 (after) videos\Test 50.szv</t>
  </si>
  <si>
    <t xml:space="preserve">NORT_24 08 2020 (after) videos\Test 48.szv</t>
  </si>
  <si>
    <t xml:space="preserve">NORT_24 08 2020 (after) videos\Test 49.szv</t>
  </si>
  <si>
    <t xml:space="preserve">09:56</t>
  </si>
  <si>
    <t xml:space="preserve">NORT_24 08 2020 (after) videos\Test 51.szv</t>
  </si>
  <si>
    <t xml:space="preserve">10:09</t>
  </si>
  <si>
    <t xml:space="preserve">NORT_24 08 2020 (after) videos\Test 54.szv</t>
  </si>
  <si>
    <t xml:space="preserve">10:08</t>
  </si>
  <si>
    <t xml:space="preserve">NORT_24 08 2020 (after) videos\Test 52.szv</t>
  </si>
  <si>
    <t xml:space="preserve">NORT_24 08 2020 (after) videos\Test 53.szv</t>
  </si>
  <si>
    <t xml:space="preserve">NORT_24 08 2020 (after) videos\Test 55.szv</t>
  </si>
  <si>
    <t xml:space="preserve">10:24</t>
  </si>
  <si>
    <t xml:space="preserve">NORT_24 08 2020 (after) videos\Test 59.szv</t>
  </si>
  <si>
    <t xml:space="preserve">10:23</t>
  </si>
  <si>
    <t xml:space="preserve">NORT_24 08 2020 (after) videos\Test 57.szv</t>
  </si>
  <si>
    <t xml:space="preserve">NORT_24 08 2020 (after) videos\Test 56.szv</t>
  </si>
  <si>
    <t xml:space="preserve">NORT_24 08 2020 (after) videos\Test 58.szv</t>
  </si>
  <si>
    <t xml:space="preserve">10:38</t>
  </si>
  <si>
    <t xml:space="preserve">NORT_24 08 2020 (after) videos\Test 63.szv</t>
  </si>
  <si>
    <t xml:space="preserve">NORT_24 08 2020 (after) videos\Test 62.szv</t>
  </si>
  <si>
    <t xml:space="preserve">NORT_24 08 2020 (after) videos\Test 61.szv</t>
  </si>
  <si>
    <t xml:space="preserve">10:37</t>
  </si>
  <si>
    <t xml:space="preserve">NORT_24 08 2020 (after) videos\Test 60.szv</t>
  </si>
  <si>
    <t xml:space="preserve">10:52</t>
  </si>
  <si>
    <t xml:space="preserve">NORT_24 08 2020 (after) videos\Test 65.szv</t>
  </si>
  <si>
    <t xml:space="preserve">NORT_24 08 2020 (after) videos\Test 64.szv</t>
  </si>
  <si>
    <t xml:space="preserve">NORT_24 08 2020 (after) videos\Test 66.szv</t>
  </si>
  <si>
    <t xml:space="preserve">NORT_24 08 2020 (after) videos\Test 67.szv</t>
  </si>
  <si>
    <t xml:space="preserve">11:06</t>
  </si>
  <si>
    <t xml:space="preserve">NORT_24 08 2020 (after) videos\Test 71.szv</t>
  </si>
  <si>
    <t xml:space="preserve">NORT_24 08 2020 (after) videos\Test 70.szv</t>
  </si>
  <si>
    <t xml:space="preserve">NORT_24 08 2020 (after) videos\Test 68.szv</t>
  </si>
  <si>
    <t xml:space="preserve">NORT_24 08 2020 (after) videos\Test 69.szv</t>
  </si>
  <si>
    <t xml:space="preserve">11:20</t>
  </si>
  <si>
    <t xml:space="preserve">NORT_24 08 2020 (after) videos\Test 75.szv</t>
  </si>
  <si>
    <t xml:space="preserve">NORT_24 08 2020 (after) videos\Test 74.szv</t>
  </si>
  <si>
    <t xml:space="preserve">11:19</t>
  </si>
  <si>
    <t xml:space="preserve">NORT_24 08 2020 (after) videos\Test 72.szv</t>
  </si>
  <si>
    <t xml:space="preserve">NORT_24 08 2020 (after) videos\Test 73.szv</t>
  </si>
  <si>
    <t xml:space="preserve">11:35</t>
  </si>
  <si>
    <t xml:space="preserve">NORT_24 08 2020 (after) videos\Test 79.szv</t>
  </si>
  <si>
    <t xml:space="preserve">NORT_24 08 2020 (after) videos\Test 76.szv</t>
  </si>
  <si>
    <t xml:space="preserve">11:34</t>
  </si>
  <si>
    <t xml:space="preserve">NORT_24 08 2020 (after) videos\Test 77.szv</t>
  </si>
  <si>
    <t xml:space="preserve">NORT_24 08 2020 (after) videos\Test 78.szv</t>
  </si>
  <si>
    <t xml:space="preserve">11:53</t>
  </si>
  <si>
    <t xml:space="preserve">NORT_24 08 2020 (after) videos\Test 81.szv</t>
  </si>
  <si>
    <t xml:space="preserve">NORT_24 08 2020 (after) videos\Test 80.szv</t>
  </si>
  <si>
    <t xml:space="preserve">NORT_24 08 2020 (after) videos\Test 82.szv</t>
  </si>
  <si>
    <t xml:space="preserve">NORT_24 08 2020 (after) videos\Test 83.szv</t>
  </si>
  <si>
    <t xml:space="preserve">12:08</t>
  </si>
  <si>
    <t xml:space="preserve">NORT_24 08 2020 (after) videos\Test 85.szv</t>
  </si>
  <si>
    <t xml:space="preserve">NORT_24 08 2020 (after) videos\Test 84.szv</t>
  </si>
  <si>
    <t xml:space="preserve">NORT_24 08 2020 (after) videos\Test 86.szv</t>
  </si>
  <si>
    <t xml:space="preserve">14:40</t>
  </si>
  <si>
    <t xml:space="preserve">NORT_24 08 2020 (after) videos\Test 90.szv</t>
  </si>
  <si>
    <t xml:space="preserve">14:39</t>
  </si>
  <si>
    <t xml:space="preserve">NORT_24 08 2020 (after) videos\Test 89.szv</t>
  </si>
  <si>
    <t xml:space="preserve">NORT_24 08 2020 (after) videos\Test 87.szv</t>
  </si>
  <si>
    <t xml:space="preserve">NORT_24 08 2020 (after) videos\Test 88.szv</t>
  </si>
  <si>
    <t xml:space="preserve">14:55</t>
  </si>
  <si>
    <t xml:space="preserve">NORT_24 08 2020 (after) videos\Test 94.szv</t>
  </si>
  <si>
    <t xml:space="preserve">14:54</t>
  </si>
  <si>
    <t xml:space="preserve">NORT_24 08 2020 (after) videos\Test 93.szv</t>
  </si>
  <si>
    <t xml:space="preserve">NORT_24 08 2020 (after) videos\Test 91.szv</t>
  </si>
  <si>
    <t xml:space="preserve">NORT_24 08 2020 (after) videos\Test 92.szv</t>
  </si>
  <si>
    <t xml:space="preserve">15:08</t>
  </si>
  <si>
    <t xml:space="preserve">NORT_24 08 2020 (after) videos\Test 96.szv</t>
  </si>
  <si>
    <t xml:space="preserve">NORT_24 08 2020 (after) videos\Test 95.szv</t>
  </si>
  <si>
    <t xml:space="preserve">NORT_24 08 2020 (after) videos\Test 97.szv</t>
  </si>
  <si>
    <t xml:space="preserve">15:09</t>
  </si>
  <si>
    <t xml:space="preserve">NORT_24 08 2020 (after) videos\Test 98.szv</t>
  </si>
  <si>
    <t xml:space="preserve">15:23</t>
  </si>
  <si>
    <t xml:space="preserve">NORT_24 08 2020 (after) videos\Test 102.szv</t>
  </si>
  <si>
    <t xml:space="preserve">15:22</t>
  </si>
  <si>
    <t xml:space="preserve">NORT_24 08 2020 (after) videos\Test 101.szv</t>
  </si>
  <si>
    <t xml:space="preserve">NORT_24 08 2020 (after) videos\Test 99.szv</t>
  </si>
  <si>
    <t xml:space="preserve">NORT_24 08 2020 (after) videos\Test 100.szv</t>
  </si>
  <si>
    <t xml:space="preserve">15:35</t>
  </si>
  <si>
    <t xml:space="preserve">NORT_24 08 2020 (after) videos\Test 104.szv</t>
  </si>
  <si>
    <t xml:space="preserve">NORT_24 08 2020 (after) videos\Test 103.szv</t>
  </si>
  <si>
    <t xml:space="preserve">15:36</t>
  </si>
  <si>
    <t xml:space="preserve">NORT_24 08 2020 (after) videos\Test 105.szv</t>
  </si>
  <si>
    <t xml:space="preserve">NORT_24 08 2020 (after) videos\Test 106.szv</t>
  </si>
  <si>
    <t xml:space="preserve">15:48</t>
  </si>
  <si>
    <t xml:space="preserve">NORT_24 08 2020 (after) videos\Test 108.szv</t>
  </si>
  <si>
    <t xml:space="preserve">NORT_24 08 2020 (after) videos\Test 107.szv</t>
  </si>
  <si>
    <t xml:space="preserve">NORT_24 08 2020 (after) videos\Test 109.szv</t>
  </si>
  <si>
    <t xml:space="preserve">NORT_24 08 2020 (after) videos\Test 110.szv</t>
  </si>
  <si>
    <t xml:space="preserve">16:01</t>
  </si>
  <si>
    <t xml:space="preserve">NORT_24 08 2020 (after) videos\Test 112.szv</t>
  </si>
  <si>
    <t xml:space="preserve">NORT_24 08 2020 (after) videos\Test 111.szv</t>
  </si>
  <si>
    <t xml:space="preserve">NORT_24 08 2020 (after) videos\Test 113.szv</t>
  </si>
  <si>
    <t xml:space="preserve">NORT_24 08 2020 (after) videos\Test 114.szv</t>
  </si>
  <si>
    <t xml:space="preserve">16:14</t>
  </si>
  <si>
    <t xml:space="preserve">NORT_24 08 2020 (after) videos\Test 116.szv</t>
  </si>
  <si>
    <t xml:space="preserve">NORT_24 08 2020 (after) videos\Test 115.szv</t>
  </si>
  <si>
    <t xml:space="preserve">NORT_24 08 2020 (after) videos\Test 118.szv</t>
  </si>
  <si>
    <t xml:space="preserve">NORT_24 08 2020 (after) videos\Test 117.szv</t>
  </si>
  <si>
    <t xml:space="preserve">16:28</t>
  </si>
  <si>
    <t xml:space="preserve">NORT_24 08 2020 (after) videos\Test 120.szv</t>
  </si>
  <si>
    <t xml:space="preserve">NORT_24 08 2020 (after) videos\Test 119.szv</t>
  </si>
  <si>
    <t xml:space="preserve">16:29</t>
  </si>
  <si>
    <t xml:space="preserve">NORT_24 08 2020 (after) videos\Test 121.szv</t>
  </si>
  <si>
    <t xml:space="preserve">NORT_24 08 2020 (after) videos\Test 122.szv</t>
  </si>
  <si>
    <t xml:space="preserve">NORT_24 08 2020 (after) videos\Test 124.szv</t>
  </si>
  <si>
    <t xml:space="preserve">NORT_24 08 2020 (after) videos\Test 123.szv</t>
  </si>
  <si>
    <t xml:space="preserve">NORT_24 08 2020 (after) videos\Test 125.szv</t>
  </si>
  <si>
    <t xml:space="preserve">NORT_24 08 2020 (after) videos\Test 126.szv</t>
  </si>
  <si>
    <t xml:space="preserve">16:54</t>
  </si>
  <si>
    <t xml:space="preserve">NORT_24 08 2020 (after) videos\Test 128.szv</t>
  </si>
  <si>
    <t xml:space="preserve">NORT_24 08 2020 (after) videos\Test 127.szv</t>
  </si>
  <si>
    <t xml:space="preserve">16:55</t>
  </si>
  <si>
    <t xml:space="preserve">NORT_24 08 2020 (after) videos\Test 129.szv</t>
  </si>
  <si>
    <t xml:space="preserve">24.08.2020</t>
  </si>
  <si>
    <t xml:space="preserve">13:24</t>
  </si>
  <si>
    <t xml:space="preserve">NORT_24 08 2020 (after) videos\Test 4.szv</t>
  </si>
  <si>
    <t xml:space="preserve">NORT_24 08 2020 (after) videos\Test 1.szv</t>
  </si>
  <si>
    <t xml:space="preserve">NORT_24 08 2020 (after) videos\Test 2.szv</t>
  </si>
  <si>
    <t xml:space="preserve">NORT_24 08 2020 (after) videos\Test 3.szv</t>
  </si>
  <si>
    <t xml:space="preserve">13:38</t>
  </si>
  <si>
    <t xml:space="preserve">NORT_24 08 2020 (after) videos\Test 7.szv</t>
  </si>
  <si>
    <t xml:space="preserve">NORT_24 08 2020 (after) videos\Test 5.szv</t>
  </si>
  <si>
    <t xml:space="preserve">NORT_24 08 2020 (after) videos\Test 6.szv</t>
  </si>
  <si>
    <t xml:space="preserve">NORT_24 08 2020 (after) videos\Test 8.szv</t>
  </si>
  <si>
    <t xml:space="preserve">13:49</t>
  </si>
  <si>
    <t xml:space="preserve">NORT_24 08 2020 (after) videos\Test 11.szv</t>
  </si>
  <si>
    <t xml:space="preserve">13:48</t>
  </si>
  <si>
    <t xml:space="preserve">NORT_24 08 2020 (after) videos\Test 9.szv</t>
  </si>
  <si>
    <t xml:space="preserve">NORT_24 08 2020 (after) videos\Test 10.szv</t>
  </si>
  <si>
    <t xml:space="preserve">NORT_24 08 2020 (after) videos\Test 12.szv</t>
  </si>
  <si>
    <t xml:space="preserve">14:00</t>
  </si>
  <si>
    <t xml:space="preserve">NORT_24 08 2020 (after) videos\Test 14.szv</t>
  </si>
  <si>
    <t xml:space="preserve">13:59</t>
  </si>
  <si>
    <t xml:space="preserve">NORT_24 08 2020 (after) videos\Test 13.szv</t>
  </si>
  <si>
    <t xml:space="preserve">14:01</t>
  </si>
  <si>
    <t xml:space="preserve">NORT_24 08 2020 (after) videos\Test 16.szv</t>
  </si>
  <si>
    <t xml:space="preserve">NORT_24 08 2020 (after) videos\Test 15.szv</t>
  </si>
  <si>
    <t xml:space="preserve">14:28</t>
  </si>
  <si>
    <t xml:space="preserve">NORT_24 08 2020 (after) videos\Test 18.szv</t>
  </si>
  <si>
    <t xml:space="preserve">14:27</t>
  </si>
  <si>
    <t xml:space="preserve">NORT_24 08 2020 (after) videos\Test 17.szv</t>
  </si>
  <si>
    <t xml:space="preserve">NORT_24 08 2020 (after) videos\Test 19.szv</t>
  </si>
  <si>
    <t xml:space="preserve">NORT_24 08 2020 (after) videos\Test 20.szv</t>
  </si>
  <si>
    <t xml:space="preserve">14:42</t>
  </si>
  <si>
    <t xml:space="preserve">NORT_24 08 2020 (after) videos\Test 24.szv</t>
  </si>
  <si>
    <t xml:space="preserve">NORT_24 08 2020 (after) videos\Test 21.szv</t>
  </si>
  <si>
    <t xml:space="preserve">NORT_24 08 2020 (after) videos\Test 23.szv</t>
  </si>
  <si>
    <t xml:space="preserve">NORT_24 08 2020 (after) videos\Test 22.szv</t>
  </si>
  <si>
    <t xml:space="preserve">NORT_24 08 2020 (after) videos\Test 26.szv</t>
  </si>
  <si>
    <t xml:space="preserve">NORT_24 08 2020 (after) videos\Test 25.szv</t>
  </si>
  <si>
    <t xml:space="preserve">NORT_24 08 2020 (after) videos\Test 27.szv</t>
  </si>
  <si>
    <t xml:space="preserve">NORT_24 08 2020 (after) videos\Test 28.szv</t>
  </si>
  <si>
    <t xml:space="preserve">15:05</t>
  </si>
  <si>
    <t xml:space="preserve">NORT_24 08 2020 (after) videos\Test 29.szv</t>
  </si>
  <si>
    <t xml:space="preserve">NORT_24 08 2020 (after) videos\Test 30.szv</t>
  </si>
  <si>
    <t xml:space="preserve">NORT_24 08 2020 (after) videos\Test 31.szv</t>
  </si>
  <si>
    <t xml:space="preserve">15:06</t>
  </si>
  <si>
    <t xml:space="preserve">NORT_24 08 2020 (after) videos\Test 32.szv</t>
  </si>
  <si>
    <t xml:space="preserve">15:17</t>
  </si>
  <si>
    <t xml:space="preserve">NORT_24 08 2020 (after) videos\Test 36.szv</t>
  </si>
  <si>
    <t xml:space="preserve">NORT_24 08 2020 (after) videos\Test 35.szv</t>
  </si>
  <si>
    <t xml:space="preserve">NORT_24 08 2020 (after) videos\Test 33.szv</t>
  </si>
  <si>
    <t xml:space="preserve">NORT_24 08 2020 (after) videos\Test 34.szv</t>
  </si>
  <si>
    <t xml:space="preserve">15:29</t>
  </si>
  <si>
    <t xml:space="preserve">NORT_24 08 2020 (after) videos\Test 38.szv</t>
  </si>
  <si>
    <t xml:space="preserve">NORT_24 08 2020 (after) videos\Test 39.szv</t>
  </si>
  <si>
    <t xml:space="preserve">NORT_24 08 2020 (after) videos\Test 40.szv</t>
  </si>
  <si>
    <t xml:space="preserve">15:28</t>
  </si>
  <si>
    <t xml:space="preserve">NORT_24 08 2020 (after) videos\Test 37.szv</t>
  </si>
  <si>
    <t xml:space="preserve">15:42</t>
  </si>
  <si>
    <t xml:space="preserve">NORT_24 08 2020 (after) videos\Test 41.szv</t>
  </si>
  <si>
    <t xml:space="preserve">NORT_24 08 2020 (after) videos\Test 42.szv</t>
  </si>
  <si>
    <t xml:space="preserve">NORT_24 08 2020 (after) videos\Test 43.szv</t>
  </si>
  <si>
    <t xml:space="preserve">Group 1</t>
  </si>
  <si>
    <t xml:space="preserve">5XFAD</t>
  </si>
  <si>
    <t xml:space="preserve">Group </t>
  </si>
  <si>
    <t xml:space="preserve">Periphery</t>
  </si>
  <si>
    <t xml:space="preserve">Center</t>
  </si>
  <si>
    <t xml:space="preserve">Before</t>
  </si>
  <si>
    <t xml:space="preserve">After</t>
  </si>
  <si>
    <t xml:space="preserve">Tg KO+LAC</t>
  </si>
  <si>
    <t xml:space="preserve">Tg KO</t>
  </si>
  <si>
    <t xml:space="preserve">Wt KO+LAC</t>
  </si>
  <si>
    <t xml:space="preserve">Wt KO</t>
  </si>
  <si>
    <t xml:space="preserve">Tg+LAC</t>
  </si>
  <si>
    <t xml:space="preserve">Average</t>
  </si>
  <si>
    <t xml:space="preserve">Tg</t>
  </si>
  <si>
    <t xml:space="preserve">std</t>
  </si>
  <si>
    <t xml:space="preserve">WT+LAC</t>
  </si>
  <si>
    <t xml:space="preserve">Wt</t>
  </si>
  <si>
    <t xml:space="preserve">Group 2</t>
  </si>
  <si>
    <t xml:space="preserve">Group 3</t>
  </si>
  <si>
    <t xml:space="preserve">Grou 4</t>
  </si>
  <si>
    <t xml:space="preserve">Group 5</t>
  </si>
  <si>
    <t xml:space="preserve">Group 6</t>
  </si>
  <si>
    <t xml:space="preserve">Group 7</t>
  </si>
  <si>
    <t xml:space="preserve">Group 8 </t>
  </si>
  <si>
    <t xml:space="preserve">BEFORE</t>
  </si>
  <si>
    <t xml:space="preserve">AFTER</t>
  </si>
  <si>
    <t xml:space="preserve">Column1</t>
  </si>
  <si>
    <t xml:space="preserve">Animal2</t>
  </si>
  <si>
    <t xml:space="preserve">Apparatus3</t>
  </si>
  <si>
    <t xml:space="preserve">Date4</t>
  </si>
  <si>
    <t xml:space="preserve">Time5</t>
  </si>
  <si>
    <t xml:space="preserve">Distance6</t>
  </si>
  <si>
    <t xml:space="preserve">Mean_speed7</t>
  </si>
  <si>
    <t xml:space="preserve">Max_speed8</t>
  </si>
  <si>
    <t xml:space="preserve">Time_freezing9</t>
  </si>
  <si>
    <t xml:space="preserve">E2: total exploration time in second trial E2 ( E2 = A2 + B2)10</t>
  </si>
  <si>
    <t xml:space="preserve">D1: Absolute discrimination measure (D1 = B2- A2)11</t>
  </si>
  <si>
    <t xml:space="preserve">D2: Discrimination index (D2 = D1/E2)12</t>
  </si>
  <si>
    <t xml:space="preserve">D3: Novelty preference (D3 = B2/E2*100)13</t>
  </si>
  <si>
    <t xml:space="preserve">Object bias score = (time exploring the object A/total time exploring both objects A1 and B1)*10014</t>
  </si>
  <si>
    <t xml:space="preserve">Age (days)15</t>
  </si>
  <si>
    <t xml:space="preserve">Age (months)16</t>
  </si>
  <si>
    <t xml:space="preserve">D1: Absolute discrimination measure</t>
  </si>
  <si>
    <t xml:space="preserve">D2: Discrimination index </t>
  </si>
  <si>
    <t xml:space="preserve">D3: Novelty preference </t>
  </si>
  <si>
    <t xml:space="preserve">Object bias score </t>
  </si>
  <si>
    <t xml:space="preserve">SEM (novelty preference)</t>
  </si>
  <si>
    <t xml:space="preserve">T2</t>
  </si>
  <si>
    <t xml:space="preserve">SEM</t>
  </si>
  <si>
    <t xml:space="preserve">Group 4</t>
  </si>
  <si>
    <t xml:space="preserve">Group 8</t>
  </si>
  <si>
    <t xml:space="preserve">A is down, B is up</t>
  </si>
  <si>
    <t xml:space="preserve">A is up, B is down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</si>
</sst>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00"/>
    <numFmt numFmtId="167" formatCode="0"/>
    <numFmt numFmtId="168" formatCode="0%"/>
    <numFmt numFmtId="169" formatCode="0.00%"/>
    <numFmt numFmtId="170" formatCode="0.00"/>
    <numFmt numFmtId="171" formatCode="#,##0"/>
  </numFmts>
  <fonts count="1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1"/>
      <color rgb="FFFF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595959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BE5D6"/>
      </patternFill>
    </fill>
    <fill>
      <patternFill patternType="solid">
        <fgColor rgb="FFE2F0D9"/>
        <bgColor rgb="FFE2EFDA"/>
      </patternFill>
    </fill>
    <fill>
      <patternFill patternType="solid">
        <fgColor rgb="FFFF0000"/>
        <bgColor rgb="FF800000"/>
      </patternFill>
    </fill>
    <fill>
      <patternFill patternType="solid">
        <fgColor rgb="FFFBE5D6"/>
        <bgColor rgb="FFFFF2CC"/>
      </patternFill>
    </fill>
    <fill>
      <patternFill patternType="solid">
        <fgColor rgb="FF4472C4"/>
        <bgColor rgb="FF5B9BD5"/>
      </patternFill>
    </fill>
    <fill>
      <patternFill patternType="solid">
        <fgColor rgb="FFD9E1F2"/>
        <bgColor rgb="FFDAE3F3"/>
      </patternFill>
    </fill>
    <fill>
      <patternFill patternType="solid">
        <fgColor rgb="FFDAE3F3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E2F0D9"/>
      </patternFill>
    </fill>
  </fills>
  <borders count="4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>
        <color rgb="FF8EA9DB"/>
      </left>
      <right/>
      <top style="thin">
        <color rgb="FF4472C4"/>
      </top>
      <bottom style="thin">
        <color rgb="FF4472C4"/>
      </bottom>
      <diagonal/>
    </border>
    <border diagonalUp="false" diagonalDown="false">
      <left/>
      <right/>
      <top style="thin">
        <color rgb="FF4472C4"/>
      </top>
      <bottom style="thin">
        <color rgb="FF4472C4"/>
      </bottom>
      <diagonal/>
    </border>
    <border diagonalUp="false" diagonalDown="false">
      <left/>
      <right style="thin">
        <color rgb="FF8EA9DB"/>
      </right>
      <top style="thin">
        <color rgb="FF4472C4"/>
      </top>
      <bottom style="thin">
        <color rgb="FF4472C4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8EA9DB"/>
      </left>
      <right/>
      <top style="thin">
        <color rgb="FF8EA9DB"/>
      </top>
      <bottom style="thin">
        <color rgb="FF8EA9DB"/>
      </bottom>
      <diagonal/>
    </border>
    <border diagonalUp="false" diagonalDown="false">
      <left/>
      <right/>
      <top style="thin">
        <color rgb="FF8EA9DB"/>
      </top>
      <bottom style="thin">
        <color rgb="FF8EA9DB"/>
      </bottom>
      <diagonal/>
    </border>
    <border diagonalUp="false" diagonalDown="false">
      <left/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8EA9DB"/>
      </left>
      <right/>
      <top style="thin">
        <color rgb="FF8EA9DB"/>
      </top>
      <bottom style="thin">
        <color rgb="FF4472C4"/>
      </bottom>
      <diagonal/>
    </border>
    <border diagonalUp="false" diagonalDown="false">
      <left/>
      <right/>
      <top style="thin">
        <color rgb="FF8EA9DB"/>
      </top>
      <bottom style="thin">
        <color rgb="FF4472C4"/>
      </bottom>
      <diagonal/>
    </border>
    <border diagonalUp="false" diagonalDown="false">
      <left/>
      <right style="thin">
        <color rgb="FF8EA9DB"/>
      </right>
      <top style="thin">
        <color rgb="FF8EA9DB"/>
      </top>
      <bottom style="thin">
        <color rgb="FF4472C4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 style="thin">
        <color rgb="FF4472C4"/>
      </bottom>
      <diagonal/>
    </border>
    <border diagonalUp="false" diagonalDown="false">
      <left/>
      <right style="medium"/>
      <top style="medium"/>
      <bottom style="thin">
        <color rgb="FF4472C4"/>
      </bottom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rgb="FF8FAADC"/>
      </left>
      <right/>
      <top style="thin">
        <color rgb="FF4472C4"/>
      </top>
      <bottom style="thin">
        <color rgb="FF4472C4"/>
      </bottom>
      <diagonal/>
    </border>
    <border diagonalUp="false" diagonalDown="false">
      <left/>
      <right/>
      <top style="thin">
        <color rgb="FF8FAADC"/>
      </top>
      <bottom style="thin">
        <color rgb="FF8FAADC"/>
      </bottom>
      <diagonal/>
    </border>
    <border diagonalUp="false" diagonalDown="false">
      <left/>
      <right style="thin">
        <color rgb="FF8FAADC"/>
      </right>
      <top style="thin">
        <color rgb="FF4472C4"/>
      </top>
      <bottom style="thin">
        <color rgb="FF4472C4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>
        <color rgb="FF8FAADC"/>
      </top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6" fillId="2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5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9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rgb="FFAAAAAC"/>
          <bgColor rgb="FF181B28"/>
        </patternFill>
      </fill>
    </dxf>
    <dxf>
      <fill>
        <patternFill patternType="solid">
          <f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4472C4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67171"/>
      <rgbColor rgb="FF8EA9DB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D9E1F2"/>
      <rgbColor rgb="FF8FAADC"/>
      <rgbColor rgb="FFFF99CC"/>
      <rgbColor rgb="FFCC99FF"/>
      <rgbColor rgb="FFFBE5D6"/>
      <rgbColor rgb="FF4472C4"/>
      <rgbColor rgb="FF5B9BD5"/>
      <rgbColor rgb="FF99CC00"/>
      <rgbColor rgb="FFFFC000"/>
      <rgbColor rgb="FFFF9900"/>
      <rgbColor rgb="FFED7D31"/>
      <rgbColor rgb="FF595959"/>
      <rgbColor rgb="FFA5A5A5"/>
      <rgbColor rgb="FF003366"/>
      <rgbColor rgb="FF70AD47"/>
      <rgbColor rgb="FF003300"/>
      <rgbColor rgb="FF333300"/>
      <rgbColor rgb="FF9E480E"/>
      <rgbColor rgb="FF993366"/>
      <rgbColor rgb="FF2644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Before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'Open field1'!$AD$1:$AD$2</c:f>
              <c:strCache>
                <c:ptCount val="1"/>
                <c:pt idx="0">
                  <c:v>Periphery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field1'!$AC$3:$AC$10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field1'!$AD$3:$AD$10</c:f>
              <c:numCache>
                <c:formatCode>General</c:formatCode>
                <c:ptCount val="8"/>
                <c:pt idx="0">
                  <c:v>0.862866666666667</c:v>
                </c:pt>
                <c:pt idx="1">
                  <c:v>0.737111111111111</c:v>
                </c:pt>
                <c:pt idx="2">
                  <c:v>0.896933333333333</c:v>
                </c:pt>
                <c:pt idx="3">
                  <c:v>0.76625</c:v>
                </c:pt>
                <c:pt idx="4">
                  <c:v>0.899083333333333</c:v>
                </c:pt>
                <c:pt idx="5">
                  <c:v>0.817666666666667</c:v>
                </c:pt>
                <c:pt idx="6">
                  <c:v>0.8455</c:v>
                </c:pt>
                <c:pt idx="7">
                  <c:v>0.864952380952381</c:v>
                </c:pt>
              </c:numCache>
            </c:numRef>
          </c:val>
        </c:ser>
        <c:gapWidth val="219"/>
        <c:overlap val="-27"/>
        <c:axId val="50702827"/>
        <c:axId val="68813320"/>
      </c:barChart>
      <c:catAx>
        <c:axId val="507028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813320"/>
        <c:crosses val="autoZero"/>
        <c:auto val="1"/>
        <c:lblAlgn val="ctr"/>
        <c:lblOffset val="100"/>
        <c:noMultiLvlLbl val="0"/>
      </c:catAx>
      <c:valAx>
        <c:axId val="6881332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7028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'Open field1'!$AH$1:$AH$2</c:f>
              <c:strCache>
                <c:ptCount val="1"/>
                <c:pt idx="0">
                  <c:v>Periphery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field1'!$AG$3:$AG$10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field1'!$AH$3:$AH$10</c:f>
              <c:numCache>
                <c:formatCode>General</c:formatCode>
                <c:ptCount val="8"/>
                <c:pt idx="0">
                  <c:v>0.947466666666666</c:v>
                </c:pt>
                <c:pt idx="1">
                  <c:v>0.754777777777778</c:v>
                </c:pt>
                <c:pt idx="2">
                  <c:v>0.9408</c:v>
                </c:pt>
                <c:pt idx="3">
                  <c:v>0.737833333333333</c:v>
                </c:pt>
                <c:pt idx="4">
                  <c:v>0.897833333333333</c:v>
                </c:pt>
                <c:pt idx="5">
                  <c:v>0.699666666666667</c:v>
                </c:pt>
                <c:pt idx="6">
                  <c:v>0.861333333333333</c:v>
                </c:pt>
                <c:pt idx="7">
                  <c:v>0.925</c:v>
                </c:pt>
              </c:numCache>
            </c:numRef>
          </c:val>
        </c:ser>
        <c:gapWidth val="219"/>
        <c:overlap val="-27"/>
        <c:axId val="90845582"/>
        <c:axId val="80322857"/>
      </c:barChart>
      <c:catAx>
        <c:axId val="908455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322857"/>
        <c:crosses val="autoZero"/>
        <c:auto val="1"/>
        <c:lblAlgn val="ctr"/>
        <c:lblOffset val="100"/>
        <c:noMultiLvlLbl val="0"/>
      </c:catAx>
      <c:valAx>
        <c:axId val="803228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084558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Before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'Open field1'!$AE$1:$AE$2</c:f>
              <c:strCache>
                <c:ptCount val="1"/>
                <c:pt idx="0">
                  <c:v>Center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field1'!$AC$3:$AC$10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field1'!$AE$3:$AE$10</c:f>
              <c:numCache>
                <c:formatCode>General</c:formatCode>
                <c:ptCount val="8"/>
                <c:pt idx="0">
                  <c:v>0.137133333333333</c:v>
                </c:pt>
                <c:pt idx="1">
                  <c:v>0.262888888888889</c:v>
                </c:pt>
                <c:pt idx="2">
                  <c:v>0.103066666666667</c:v>
                </c:pt>
                <c:pt idx="3">
                  <c:v>0.23375</c:v>
                </c:pt>
                <c:pt idx="4">
                  <c:v>0.100916666666667</c:v>
                </c:pt>
                <c:pt idx="5">
                  <c:v>0.182333333333333</c:v>
                </c:pt>
                <c:pt idx="6">
                  <c:v>0.1545</c:v>
                </c:pt>
                <c:pt idx="7">
                  <c:v>0.135047619047619</c:v>
                </c:pt>
              </c:numCache>
            </c:numRef>
          </c:val>
        </c:ser>
        <c:gapWidth val="219"/>
        <c:overlap val="-27"/>
        <c:axId val="23843748"/>
        <c:axId val="18224427"/>
      </c:barChart>
      <c:catAx>
        <c:axId val="238437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224427"/>
        <c:crosses val="autoZero"/>
        <c:auto val="1"/>
        <c:lblAlgn val="ctr"/>
        <c:lblOffset val="100"/>
        <c:noMultiLvlLbl val="0"/>
      </c:catAx>
      <c:valAx>
        <c:axId val="182244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8437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After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'Open field1'!$AI$1:$AI$2</c:f>
              <c:strCache>
                <c:ptCount val="1"/>
                <c:pt idx="0">
                  <c:v>Center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field1'!$AG$3:$AG$10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'Open field1'!$AI$3:$AI$10</c:f>
              <c:numCache>
                <c:formatCode>General</c:formatCode>
                <c:ptCount val="8"/>
                <c:pt idx="0">
                  <c:v>0.0525333333333333</c:v>
                </c:pt>
                <c:pt idx="1">
                  <c:v>0.245222222222222</c:v>
                </c:pt>
                <c:pt idx="2">
                  <c:v>0.0592</c:v>
                </c:pt>
                <c:pt idx="3">
                  <c:v>0.262166666666667</c:v>
                </c:pt>
                <c:pt idx="4">
                  <c:v>0.102166666666667</c:v>
                </c:pt>
                <c:pt idx="5">
                  <c:v>0.300333333333333</c:v>
                </c:pt>
                <c:pt idx="6">
                  <c:v>0.138666666666667</c:v>
                </c:pt>
                <c:pt idx="7">
                  <c:v>0.075</c:v>
                </c:pt>
              </c:numCache>
            </c:numRef>
          </c:val>
        </c:ser>
        <c:gapWidth val="219"/>
        <c:overlap val="-27"/>
        <c:axId val="59092797"/>
        <c:axId val="68807887"/>
      </c:barChart>
      <c:catAx>
        <c:axId val="590927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807887"/>
        <c:crosses val="autoZero"/>
        <c:auto val="1"/>
        <c:lblAlgn val="ctr"/>
        <c:lblOffset val="100"/>
        <c:noMultiLvlLbl val="0"/>
      </c:catAx>
      <c:valAx>
        <c:axId val="6880788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0927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Distance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'Open field1'!$AM$3</c:f>
              <c:strCache>
                <c:ptCount val="1"/>
                <c:pt idx="0">
                  <c:v>Tg KO+LAC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field1'!$AN$3:$AO$3</c:f>
              <c:numCache>
                <c:formatCode>General</c:formatCode>
                <c:ptCount val="2"/>
                <c:pt idx="0">
                  <c:v>15.183</c:v>
                </c:pt>
                <c:pt idx="1">
                  <c:v>8.0694</c:v>
                </c:pt>
              </c:numCache>
            </c:numRef>
          </c:val>
        </c:ser>
        <c:ser>
          <c:idx val="1"/>
          <c:order val="1"/>
          <c:tx>
            <c:strRef>
              <c:f>'Open field1'!$AM$4</c:f>
              <c:strCache>
                <c:ptCount val="1"/>
                <c:pt idx="0">
                  <c:v>Tg KO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field1'!$AN$4:$AO$4</c:f>
              <c:numCache>
                <c:formatCode>General</c:formatCode>
                <c:ptCount val="2"/>
                <c:pt idx="0">
                  <c:v>18.8333333333333</c:v>
                </c:pt>
                <c:pt idx="1">
                  <c:v>14.8223333333333</c:v>
                </c:pt>
              </c:numCache>
            </c:numRef>
          </c:val>
        </c:ser>
        <c:ser>
          <c:idx val="2"/>
          <c:order val="2"/>
          <c:tx>
            <c:strRef>
              <c:f>'Open field1'!$AM$5</c:f>
              <c:strCache>
                <c:ptCount val="1"/>
                <c:pt idx="0">
                  <c:v>Wt KO+LAC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field1'!$AN$5:$AO$5</c:f>
              <c:numCache>
                <c:formatCode>General</c:formatCode>
                <c:ptCount val="2"/>
                <c:pt idx="0">
                  <c:v>11.118</c:v>
                </c:pt>
                <c:pt idx="1">
                  <c:v>5.534</c:v>
                </c:pt>
              </c:numCache>
            </c:numRef>
          </c:val>
        </c:ser>
        <c:ser>
          <c:idx val="3"/>
          <c:order val="3"/>
          <c:tx>
            <c:strRef>
              <c:f>'Open field1'!$AM$6</c:f>
              <c:strCache>
                <c:ptCount val="1"/>
                <c:pt idx="0">
                  <c:v>Wt KO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field1'!$AN$6:$AO$6</c:f>
              <c:numCache>
                <c:formatCode>General</c:formatCode>
                <c:ptCount val="2"/>
                <c:pt idx="0">
                  <c:v>28.651</c:v>
                </c:pt>
                <c:pt idx="1">
                  <c:v>28.0225</c:v>
                </c:pt>
              </c:numCache>
            </c:numRef>
          </c:val>
        </c:ser>
        <c:ser>
          <c:idx val="4"/>
          <c:order val="4"/>
          <c:tx>
            <c:strRef>
              <c:f>'Open field1'!$AM$7</c:f>
              <c:strCache>
                <c:ptCount val="1"/>
                <c:pt idx="0">
                  <c:v>Tg+LAC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field1'!$AN$7:$AO$7</c:f>
              <c:numCache>
                <c:formatCode>General</c:formatCode>
                <c:ptCount val="2"/>
                <c:pt idx="0">
                  <c:v>14.484375</c:v>
                </c:pt>
                <c:pt idx="1">
                  <c:v>7.14675</c:v>
                </c:pt>
              </c:numCache>
            </c:numRef>
          </c:val>
        </c:ser>
        <c:ser>
          <c:idx val="5"/>
          <c:order val="5"/>
          <c:tx>
            <c:strRef>
              <c:f>'Open field1'!$AM$8</c:f>
              <c:strCache>
                <c:ptCount val="1"/>
                <c:pt idx="0">
                  <c:v>Tg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field1'!$AN$8:$AO$8</c:f>
              <c:numCache>
                <c:formatCode>General</c:formatCode>
                <c:ptCount val="2"/>
                <c:pt idx="0">
                  <c:v>13.1634</c:v>
                </c:pt>
                <c:pt idx="1">
                  <c:v>6.6125</c:v>
                </c:pt>
              </c:numCache>
            </c:numRef>
          </c:val>
        </c:ser>
        <c:ser>
          <c:idx val="6"/>
          <c:order val="6"/>
          <c:tx>
            <c:strRef>
              <c:f>'Open field1'!$AM$9</c:f>
              <c:strCache>
                <c:ptCount val="1"/>
                <c:pt idx="0">
                  <c:v>WT+LAC</c:v>
                </c:pt>
              </c:strCache>
            </c:strRef>
          </c:tx>
          <c:spPr>
            <a:solidFill>
              <a:srgbClr val="2644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field1'!$AN$9:$AO$9</c:f>
              <c:numCache>
                <c:formatCode>General</c:formatCode>
                <c:ptCount val="2"/>
                <c:pt idx="0">
                  <c:v>14.074</c:v>
                </c:pt>
                <c:pt idx="1">
                  <c:v>8.581</c:v>
                </c:pt>
              </c:numCache>
            </c:numRef>
          </c:val>
        </c:ser>
        <c:ser>
          <c:idx val="7"/>
          <c:order val="7"/>
          <c:tx>
            <c:strRef>
              <c:f>'Open field1'!$AM$10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rgbClr val="9e48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'Open field1'!$AN$2:$AO$2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'Open field1'!$AN$10:$AO$10</c:f>
              <c:numCache>
                <c:formatCode>General</c:formatCode>
                <c:ptCount val="2"/>
                <c:pt idx="0">
                  <c:v>13.2708571428571</c:v>
                </c:pt>
                <c:pt idx="1">
                  <c:v>9.34685714285714</c:v>
                </c:pt>
              </c:numCache>
            </c:numRef>
          </c:val>
        </c:ser>
        <c:gapWidth val="219"/>
        <c:overlap val="-27"/>
        <c:axId val="82865092"/>
        <c:axId val="51848124"/>
      </c:barChart>
      <c:catAx>
        <c:axId val="828650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1848124"/>
        <c:crosses val="autoZero"/>
        <c:auto val="1"/>
        <c:lblAlgn val="ctr"/>
        <c:lblOffset val="100"/>
        <c:noMultiLvlLbl val="0"/>
      </c:catAx>
      <c:valAx>
        <c:axId val="5184812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286509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D2: Discrimination index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'NORT '!$D$53</c:f>
              <c:strCache>
                <c:ptCount val="1"/>
                <c:pt idx="0">
                  <c:v>D2: Discrimination index 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'!$D$54:$D$61</c:f>
              <c:numCache>
                <c:formatCode>General</c:formatCode>
                <c:ptCount val="8"/>
                <c:pt idx="0">
                  <c:v>-0.339923534575753</c:v>
                </c:pt>
                <c:pt idx="1">
                  <c:v>-0.445986652259439</c:v>
                </c:pt>
                <c:pt idx="2">
                  <c:v>0.125</c:v>
                </c:pt>
                <c:pt idx="3">
                  <c:v>0.2</c:v>
                </c:pt>
                <c:pt idx="4">
                  <c:v>0.2625</c:v>
                </c:pt>
                <c:pt idx="5">
                  <c:v>-0.3</c:v>
                </c:pt>
                <c:pt idx="6">
                  <c:v>-0.116666666666667</c:v>
                </c:pt>
                <c:pt idx="7">
                  <c:v>-0.1</c:v>
                </c:pt>
              </c:numCache>
            </c:numRef>
          </c:val>
        </c:ser>
        <c:gapWidth val="219"/>
        <c:overlap val="-27"/>
        <c:axId val="15481340"/>
        <c:axId val="50424523"/>
      </c:barChart>
      <c:catAx>
        <c:axId val="154813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424523"/>
        <c:crosses val="autoZero"/>
        <c:auto val="1"/>
        <c:lblAlgn val="ctr"/>
        <c:lblOffset val="100"/>
        <c:noMultiLvlLbl val="0"/>
      </c:catAx>
      <c:valAx>
        <c:axId val="5042452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4813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Novelty preference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'!$E$54:$E$61</c:f>
              <c:numCache>
                <c:formatCode>General</c:formatCode>
                <c:ptCount val="8"/>
                <c:pt idx="0">
                  <c:v>33.0038232712124</c:v>
                </c:pt>
                <c:pt idx="1">
                  <c:v>27.700667387028</c:v>
                </c:pt>
                <c:pt idx="2">
                  <c:v>55</c:v>
                </c:pt>
                <c:pt idx="3">
                  <c:v>60.5</c:v>
                </c:pt>
                <c:pt idx="4">
                  <c:v>62.625</c:v>
                </c:pt>
                <c:pt idx="5">
                  <c:v>33.6</c:v>
                </c:pt>
                <c:pt idx="6">
                  <c:v>44.1666666666667</c:v>
                </c:pt>
                <c:pt idx="7">
                  <c:v>44.7142857142857</c:v>
                </c:pt>
              </c:numCache>
            </c:numRef>
          </c:val>
        </c:ser>
        <c:gapWidth val="219"/>
        <c:overlap val="-27"/>
        <c:axId val="96958032"/>
        <c:axId val="80880259"/>
      </c:barChart>
      <c:catAx>
        <c:axId val="96958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880259"/>
        <c:crosses val="autoZero"/>
        <c:auto val="1"/>
        <c:lblAlgn val="ctr"/>
        <c:lblOffset val="100"/>
        <c:noMultiLvlLbl val="0"/>
      </c:catAx>
      <c:valAx>
        <c:axId val="8088025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9580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'!$F$54:$F$61</c:f>
              <c:numCache>
                <c:formatCode>General</c:formatCode>
                <c:ptCount val="8"/>
                <c:pt idx="0">
                  <c:v>48.2143353570296</c:v>
                </c:pt>
                <c:pt idx="1">
                  <c:v>67.3923246199831</c:v>
                </c:pt>
                <c:pt idx="2">
                  <c:v>34.6</c:v>
                </c:pt>
                <c:pt idx="3">
                  <c:v>50.75</c:v>
                </c:pt>
                <c:pt idx="4">
                  <c:v>47.125</c:v>
                </c:pt>
                <c:pt idx="5">
                  <c:v>48.25</c:v>
                </c:pt>
                <c:pt idx="6">
                  <c:v>44</c:v>
                </c:pt>
                <c:pt idx="7">
                  <c:v>42.1428571428571</c:v>
                </c:pt>
              </c:numCache>
            </c:numRef>
          </c:val>
        </c:ser>
        <c:ser>
          <c:idx val="1"/>
          <c:order val="1"/>
          <c:spPr>
            <a:solidFill>
              <a:srgbClr val="4472c4"/>
            </a:solidFill>
            <a:ln w="0">
              <a:noFill/>
            </a:ln>
          </c:spPr>
          <c:invertIfNegative val="0"/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</c:ser>
        <c:ser>
          <c:idx val="2"/>
          <c:order val="2"/>
          <c:spPr>
            <a:solidFill>
              <a:srgbClr val="ed7d31"/>
            </a:solidFill>
            <a:ln w="0">
              <a:noFill/>
            </a:ln>
          </c:spPr>
          <c:invertIfNegative val="0"/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</c:ser>
        <c:ser>
          <c:idx val="3"/>
          <c:order val="3"/>
          <c:spPr>
            <a:solidFill>
              <a:srgbClr val="a5a5a5"/>
            </a:solidFill>
            <a:ln w="0">
              <a:noFill/>
            </a:ln>
          </c:spPr>
          <c:invertIfNegative val="0"/>
          <c:cat>
            <c:strRef>
              <c:f>'NORT '!$B$54:$B$61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</c:ser>
        <c:gapWidth val="219"/>
        <c:overlap val="-27"/>
        <c:axId val="65400954"/>
        <c:axId val="84405233"/>
      </c:barChart>
      <c:catAx>
        <c:axId val="654009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405233"/>
        <c:crosses val="autoZero"/>
        <c:auto val="1"/>
        <c:lblAlgn val="ctr"/>
        <c:lblOffset val="100"/>
        <c:noMultiLvlLbl val="0"/>
      </c:catAx>
      <c:valAx>
        <c:axId val="844052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4009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Novelty preference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spPr>
            <a:solidFill>
              <a:srgbClr val="a5a5a5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767171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fbfbf"/>
              </a:solidFill>
              <a:ln w="0">
                <a:noFill/>
              </a:ln>
            </c:spPr>
          </c:dPt>
          <c:dPt>
            <c:idx val="2"/>
            <c:spPr>
              <a:solidFill>
                <a:srgbClr val="767171"/>
              </a:solidFill>
              <a:ln w="0">
                <a:noFill/>
              </a:ln>
            </c:spPr>
          </c:dPt>
          <c:dPt>
            <c:idx val="3"/>
            <c:spPr>
              <a:solidFill>
                <a:srgbClr val="000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'NORT '!$AC$54:$AC$61</c:f>
                <c:numCache>
                  <c:formatCode>General</c:formatCode>
                  <c:ptCount val="8"/>
                  <c:pt idx="0">
                    <c:v>0.106525982686031</c:v>
                  </c:pt>
                  <c:pt idx="1">
                    <c:v>0.0640747860106741</c:v>
                  </c:pt>
                  <c:pt idx="2">
                    <c:v>0.127019683514013</c:v>
                  </c:pt>
                  <c:pt idx="3">
                    <c:v>0.163063126835386</c:v>
                  </c:pt>
                  <c:pt idx="4">
                    <c:v>0.0932881480758867</c:v>
                  </c:pt>
                  <c:pt idx="5">
                    <c:v>0.128351081023885</c:v>
                  </c:pt>
                  <c:pt idx="6">
                    <c:v>0.0962981481303422</c:v>
                  </c:pt>
                  <c:pt idx="7">
                    <c:v>0.0740150747653274</c:v>
                  </c:pt>
                </c:numCache>
              </c:numRef>
            </c:plus>
            <c:minus>
              <c:numRef>
                <c:f>'NORT '!$AC$54:$AC$61</c:f>
                <c:numCache>
                  <c:formatCode>General</c:formatCode>
                  <c:ptCount val="8"/>
                  <c:pt idx="0">
                    <c:v>0.106525982686031</c:v>
                  </c:pt>
                  <c:pt idx="1">
                    <c:v>0.0640747860106741</c:v>
                  </c:pt>
                  <c:pt idx="2">
                    <c:v>0.127019683514013</c:v>
                  </c:pt>
                  <c:pt idx="3">
                    <c:v>0.163063126835386</c:v>
                  </c:pt>
                  <c:pt idx="4">
                    <c:v>0.0932881480758867</c:v>
                  </c:pt>
                  <c:pt idx="5">
                    <c:v>0.128351081023885</c:v>
                  </c:pt>
                  <c:pt idx="6">
                    <c:v>0.0962981481303422</c:v>
                  </c:pt>
                  <c:pt idx="7">
                    <c:v>0.0740150747653274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strRef>
              <c:f>'NORT '!$X$58:$X$61</c:f>
              <c:strCache>
                <c:ptCount val="4"/>
                <c:pt idx="0">
                  <c:v>Tg+LAC</c:v>
                </c:pt>
                <c:pt idx="1">
                  <c:v>Tg</c:v>
                </c:pt>
                <c:pt idx="2">
                  <c:v>WT+LAC</c:v>
                </c:pt>
                <c:pt idx="3">
                  <c:v>Wt</c:v>
                </c:pt>
              </c:strCache>
            </c:strRef>
          </c:cat>
          <c:val>
            <c:numRef>
              <c:f>'NORT '!$AA$58:$AA$61</c:f>
              <c:numCache>
                <c:formatCode>General</c:formatCode>
                <c:ptCount val="4"/>
                <c:pt idx="0">
                  <c:v>0.4925</c:v>
                </c:pt>
                <c:pt idx="1">
                  <c:v>0.418</c:v>
                </c:pt>
                <c:pt idx="2">
                  <c:v>0.53</c:v>
                </c:pt>
                <c:pt idx="3">
                  <c:v>0.408571428571429</c:v>
                </c:pt>
              </c:numCache>
            </c:numRef>
          </c:val>
        </c:ser>
        <c:gapWidth val="219"/>
        <c:overlap val="-27"/>
        <c:axId val="20623351"/>
        <c:axId val="38492052"/>
      </c:barChart>
      <c:catAx>
        <c:axId val="206233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Calibri"/>
                  </a:rPr>
                  <a:t>Groups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8492052"/>
        <c:crosses val="autoZero"/>
        <c:auto val="1"/>
        <c:lblAlgn val="ctr"/>
        <c:lblOffset val="100"/>
        <c:noMultiLvlLbl val="0"/>
      </c:catAx>
      <c:valAx>
        <c:axId val="384920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GB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GB" sz="1000" spc="-1" strike="noStrike">
                    <a:solidFill>
                      <a:srgbClr val="595959"/>
                    </a:solidFill>
                    <a:latin typeface="Calibri"/>
                  </a:rPr>
                  <a:t>Percentage of novelty preference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06233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D2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'!$X$54:$X$61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'!$Z$54:$Z$61</c:f>
              <c:numCache>
                <c:formatCode>General</c:formatCode>
                <c:ptCount val="8"/>
                <c:pt idx="0">
                  <c:v>-0.127913061114147</c:v>
                </c:pt>
                <c:pt idx="1">
                  <c:v>0.310508070970144</c:v>
                </c:pt>
                <c:pt idx="2">
                  <c:v>0.34</c:v>
                </c:pt>
                <c:pt idx="3">
                  <c:v>0.05</c:v>
                </c:pt>
                <c:pt idx="4">
                  <c:v>0</c:v>
                </c:pt>
                <c:pt idx="5">
                  <c:v>-0.18</c:v>
                </c:pt>
                <c:pt idx="6">
                  <c:v>0.05</c:v>
                </c:pt>
                <c:pt idx="7">
                  <c:v>-0.185714285714286</c:v>
                </c:pt>
              </c:numCache>
            </c:numRef>
          </c:val>
        </c:ser>
        <c:gapWidth val="219"/>
        <c:overlap val="-27"/>
        <c:axId val="24817486"/>
        <c:axId val="40950301"/>
      </c:barChart>
      <c:catAx>
        <c:axId val="248174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0950301"/>
        <c:crosses val="autoZero"/>
        <c:auto val="1"/>
        <c:lblAlgn val="ctr"/>
        <c:lblOffset val="100"/>
        <c:noMultiLvlLbl val="0"/>
      </c:catAx>
      <c:valAx>
        <c:axId val="4095030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8174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'!$X$54:$X$61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  <c:val>
            <c:numRef>
              <c:f>'NORT '!$AB$54:$AB$61</c:f>
              <c:numCache>
                <c:formatCode>General</c:formatCode>
                <c:ptCount val="8"/>
                <c:pt idx="0">
                  <c:v>49.5775174199758</c:v>
                </c:pt>
                <c:pt idx="1">
                  <c:v>47.5956291751185</c:v>
                </c:pt>
                <c:pt idx="2">
                  <c:v>51.2</c:v>
                </c:pt>
                <c:pt idx="3">
                  <c:v>48.25</c:v>
                </c:pt>
                <c:pt idx="4">
                  <c:v>53.2</c:v>
                </c:pt>
                <c:pt idx="5">
                  <c:v>68.2</c:v>
                </c:pt>
                <c:pt idx="6">
                  <c:v>49.5</c:v>
                </c:pt>
                <c:pt idx="7">
                  <c:v>54.1428571428571</c:v>
                </c:pt>
              </c:numCache>
            </c:numRef>
          </c:val>
        </c:ser>
        <c:ser>
          <c:idx val="1"/>
          <c:order val="1"/>
          <c:spPr>
            <a:solidFill>
              <a:srgbClr val="4472c4"/>
            </a:solidFill>
            <a:ln w="0">
              <a:noFill/>
            </a:ln>
          </c:spPr>
          <c:invertIfNegative val="0"/>
          <c:cat>
            <c:strRef>
              <c:f>'NORT '!$X$54:$X$61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</c:ser>
        <c:ser>
          <c:idx val="2"/>
          <c:order val="2"/>
          <c:spPr>
            <a:solidFill>
              <a:srgbClr val="ed7d31"/>
            </a:solidFill>
            <a:ln w="0">
              <a:noFill/>
            </a:ln>
          </c:spPr>
          <c:invertIfNegative val="0"/>
          <c:cat>
            <c:strRef>
              <c:f>'NORT '!$X$54:$X$61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</c:ser>
        <c:ser>
          <c:idx val="3"/>
          <c:order val="3"/>
          <c:spPr>
            <a:solidFill>
              <a:srgbClr val="a5a5a5"/>
            </a:solidFill>
            <a:ln w="0">
              <a:noFill/>
            </a:ln>
          </c:spPr>
          <c:invertIfNegative val="0"/>
          <c:cat>
            <c:strRef>
              <c:f>'NORT '!$X$54:$X$61</c:f>
              <c:strCache>
                <c:ptCount val="8"/>
                <c:pt idx="0">
                  <c:v>Tg KO+LAC</c:v>
                </c:pt>
                <c:pt idx="1">
                  <c:v>Tg KO</c:v>
                </c:pt>
                <c:pt idx="2">
                  <c:v>Wt KO+LAC</c:v>
                </c:pt>
                <c:pt idx="3">
                  <c:v>Wt KO</c:v>
                </c:pt>
                <c:pt idx="4">
                  <c:v>Tg+LAC</c:v>
                </c:pt>
                <c:pt idx="5">
                  <c:v>Tg</c:v>
                </c:pt>
                <c:pt idx="6">
                  <c:v>WT+LAC</c:v>
                </c:pt>
                <c:pt idx="7">
                  <c:v>Wt</c:v>
                </c:pt>
              </c:strCache>
            </c:strRef>
          </c:cat>
        </c:ser>
        <c:gapWidth val="219"/>
        <c:overlap val="-27"/>
        <c:axId val="8520229"/>
        <c:axId val="19363770"/>
      </c:barChart>
      <c:catAx>
        <c:axId val="85202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9363770"/>
        <c:crosses val="autoZero"/>
        <c:auto val="1"/>
        <c:lblAlgn val="ctr"/>
        <c:lblOffset val="100"/>
        <c:noMultiLvlLbl val="0"/>
      </c:catAx>
      <c:valAx>
        <c:axId val="193637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202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Distance in T2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'NORT '!$AR$65</c:f>
              <c:strCache>
                <c:ptCount val="1"/>
                <c:pt idx="0">
                  <c:v>Tg KO+LAC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'!$AS$65:$AT$65</c:f>
              <c:numCache>
                <c:formatCode>General</c:formatCode>
                <c:ptCount val="2"/>
                <c:pt idx="0">
                  <c:v>5.7368</c:v>
                </c:pt>
                <c:pt idx="1">
                  <c:v>8.3704</c:v>
                </c:pt>
              </c:numCache>
            </c:numRef>
          </c:val>
        </c:ser>
        <c:ser>
          <c:idx val="1"/>
          <c:order val="1"/>
          <c:tx>
            <c:strRef>
              <c:f>'NORT '!$AR$66</c:f>
              <c:strCache>
                <c:ptCount val="1"/>
                <c:pt idx="0">
                  <c:v>Tg KO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'!$AS$66:$AT$66</c:f>
              <c:numCache>
                <c:formatCode>General</c:formatCode>
                <c:ptCount val="2"/>
                <c:pt idx="0">
                  <c:v>10.1226666666667</c:v>
                </c:pt>
                <c:pt idx="1">
                  <c:v>15.7383333333333</c:v>
                </c:pt>
              </c:numCache>
            </c:numRef>
          </c:val>
        </c:ser>
        <c:ser>
          <c:idx val="2"/>
          <c:order val="2"/>
          <c:tx>
            <c:strRef>
              <c:f>'NORT '!$AR$67</c:f>
              <c:strCache>
                <c:ptCount val="1"/>
                <c:pt idx="0">
                  <c:v>Wt KO+LAC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'!$AS$67:$AT$67</c:f>
              <c:numCache>
                <c:formatCode>General</c:formatCode>
                <c:ptCount val="2"/>
                <c:pt idx="0">
                  <c:v>7.202</c:v>
                </c:pt>
                <c:pt idx="1">
                  <c:v>5.743</c:v>
                </c:pt>
              </c:numCache>
            </c:numRef>
          </c:val>
        </c:ser>
        <c:ser>
          <c:idx val="3"/>
          <c:order val="3"/>
          <c:tx>
            <c:strRef>
              <c:f>'NORT '!$AR$68</c:f>
              <c:strCache>
                <c:ptCount val="1"/>
                <c:pt idx="0">
                  <c:v>Wt KO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'!$AS$68:$AT$68</c:f>
              <c:numCache>
                <c:formatCode>General</c:formatCode>
                <c:ptCount val="2"/>
                <c:pt idx="0">
                  <c:v>25.94325</c:v>
                </c:pt>
                <c:pt idx="1">
                  <c:v>36.56225</c:v>
                </c:pt>
              </c:numCache>
            </c:numRef>
          </c:val>
        </c:ser>
        <c:ser>
          <c:idx val="4"/>
          <c:order val="4"/>
          <c:tx>
            <c:strRef>
              <c:f>'NORT '!$AR$69</c:f>
              <c:strCache>
                <c:ptCount val="1"/>
                <c:pt idx="0">
                  <c:v>Tg+LAC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'!$AS$69:$AT$69</c:f>
              <c:numCache>
                <c:formatCode>General</c:formatCode>
                <c:ptCount val="2"/>
                <c:pt idx="0">
                  <c:v>10.392625</c:v>
                </c:pt>
                <c:pt idx="1">
                  <c:v>9.276875</c:v>
                </c:pt>
              </c:numCache>
            </c:numRef>
          </c:val>
        </c:ser>
        <c:ser>
          <c:idx val="5"/>
          <c:order val="5"/>
          <c:tx>
            <c:strRef>
              <c:f>'NORT '!$AR$70</c:f>
              <c:strCache>
                <c:ptCount val="1"/>
                <c:pt idx="0">
                  <c:v>Tg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'!$AS$70:$AT$70</c:f>
              <c:numCache>
                <c:formatCode>General</c:formatCode>
                <c:ptCount val="2"/>
                <c:pt idx="0">
                  <c:v>11.0558</c:v>
                </c:pt>
                <c:pt idx="1">
                  <c:v>11.4974</c:v>
                </c:pt>
              </c:numCache>
            </c:numRef>
          </c:val>
        </c:ser>
        <c:ser>
          <c:idx val="6"/>
          <c:order val="6"/>
          <c:tx>
            <c:strRef>
              <c:f>'NORT '!$AR$71</c:f>
              <c:strCache>
                <c:ptCount val="1"/>
                <c:pt idx="0">
                  <c:v>WT+LAC</c:v>
                </c:pt>
              </c:strCache>
            </c:strRef>
          </c:tx>
          <c:spPr>
            <a:solidFill>
              <a:srgbClr val="2644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'!$AS$71:$AT$71</c:f>
              <c:numCache>
                <c:formatCode>General</c:formatCode>
                <c:ptCount val="2"/>
                <c:pt idx="0">
                  <c:v>11.0915</c:v>
                </c:pt>
                <c:pt idx="1">
                  <c:v>16.3796666666667</c:v>
                </c:pt>
              </c:numCache>
            </c:numRef>
          </c:val>
        </c:ser>
        <c:ser>
          <c:idx val="7"/>
          <c:order val="7"/>
          <c:tx>
            <c:strRef>
              <c:f>'NORT '!$AR$72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rgbClr val="9e48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'NORT '!$AS$64:$AT$64</c:f>
              <c:strCache>
                <c:ptCount val="2"/>
                <c:pt idx="0">
                  <c:v>Before</c:v>
                </c:pt>
                <c:pt idx="1">
                  <c:v>After</c:v>
                </c:pt>
              </c:strCache>
            </c:strRef>
          </c:cat>
          <c:val>
            <c:numRef>
              <c:f>'NORT '!$AS$72:$AT$72</c:f>
              <c:numCache>
                <c:formatCode>General</c:formatCode>
                <c:ptCount val="2"/>
                <c:pt idx="0">
                  <c:v>9.33057142857143</c:v>
                </c:pt>
                <c:pt idx="1">
                  <c:v>10.3811428571429</c:v>
                </c:pt>
              </c:numCache>
            </c:numRef>
          </c:val>
        </c:ser>
        <c:gapWidth val="219"/>
        <c:overlap val="-27"/>
        <c:axId val="32352181"/>
        <c:axId val="47406406"/>
      </c:barChart>
      <c:catAx>
        <c:axId val="323521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406406"/>
        <c:crosses val="autoZero"/>
        <c:auto val="1"/>
        <c:lblAlgn val="ctr"/>
        <c:lblOffset val="100"/>
        <c:noMultiLvlLbl val="0"/>
      </c:catAx>
      <c:valAx>
        <c:axId val="4740640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23521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Relationship Id="rId6" Type="http://schemas.openxmlformats.org/officeDocument/2006/relationships/chart" Target="../charts/chart23.xml"/><Relationship Id="rId7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184320</xdr:colOff>
      <xdr:row>10</xdr:row>
      <xdr:rowOff>177840</xdr:rowOff>
    </xdr:from>
    <xdr:to>
      <xdr:col>34</xdr:col>
      <xdr:colOff>291960</xdr:colOff>
      <xdr:row>28</xdr:row>
      <xdr:rowOff>95040</xdr:rowOff>
    </xdr:to>
    <xdr:graphicFrame>
      <xdr:nvGraphicFramePr>
        <xdr:cNvPr id="0" name="Chart 1"/>
        <xdr:cNvGraphicFramePr/>
      </xdr:nvGraphicFramePr>
      <xdr:xfrm>
        <a:off x="21314520" y="2057400"/>
        <a:ext cx="5312520" cy="326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235080</xdr:colOff>
      <xdr:row>28</xdr:row>
      <xdr:rowOff>177840</xdr:rowOff>
    </xdr:from>
    <xdr:to>
      <xdr:col>34</xdr:col>
      <xdr:colOff>367920</xdr:colOff>
      <xdr:row>45</xdr:row>
      <xdr:rowOff>145800</xdr:rowOff>
    </xdr:to>
    <xdr:graphicFrame>
      <xdr:nvGraphicFramePr>
        <xdr:cNvPr id="1" name="Chart 2"/>
        <xdr:cNvGraphicFramePr/>
      </xdr:nvGraphicFramePr>
      <xdr:xfrm>
        <a:off x="21365280" y="5410080"/>
        <a:ext cx="5337720" cy="313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35</xdr:col>
      <xdr:colOff>0</xdr:colOff>
      <xdr:row>11</xdr:row>
      <xdr:rowOff>0</xdr:rowOff>
    </xdr:from>
    <xdr:to>
      <xdr:col>42</xdr:col>
      <xdr:colOff>107640</xdr:colOff>
      <xdr:row>28</xdr:row>
      <xdr:rowOff>107640</xdr:rowOff>
    </xdr:to>
    <xdr:graphicFrame>
      <xdr:nvGraphicFramePr>
        <xdr:cNvPr id="2" name="Chart 3"/>
        <xdr:cNvGraphicFramePr/>
      </xdr:nvGraphicFramePr>
      <xdr:xfrm>
        <a:off x="27078840" y="2070000"/>
        <a:ext cx="5312520" cy="326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34</xdr:col>
      <xdr:colOff>647640</xdr:colOff>
      <xdr:row>29</xdr:row>
      <xdr:rowOff>25560</xdr:rowOff>
    </xdr:from>
    <xdr:to>
      <xdr:col>42</xdr:col>
      <xdr:colOff>37080</xdr:colOff>
      <xdr:row>45</xdr:row>
      <xdr:rowOff>183960</xdr:rowOff>
    </xdr:to>
    <xdr:graphicFrame>
      <xdr:nvGraphicFramePr>
        <xdr:cNvPr id="3" name="Chart 4"/>
        <xdr:cNvGraphicFramePr/>
      </xdr:nvGraphicFramePr>
      <xdr:xfrm>
        <a:off x="26982720" y="5448240"/>
        <a:ext cx="5338080" cy="313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42</xdr:col>
      <xdr:colOff>412920</xdr:colOff>
      <xdr:row>1</xdr:row>
      <xdr:rowOff>19080</xdr:rowOff>
    </xdr:from>
    <xdr:to>
      <xdr:col>48</xdr:col>
      <xdr:colOff>31680</xdr:colOff>
      <xdr:row>15</xdr:row>
      <xdr:rowOff>95040</xdr:rowOff>
    </xdr:to>
    <xdr:graphicFrame>
      <xdr:nvGraphicFramePr>
        <xdr:cNvPr id="4" name="Chart 6"/>
        <xdr:cNvGraphicFramePr/>
      </xdr:nvGraphicFramePr>
      <xdr:xfrm>
        <a:off x="32696640" y="183960"/>
        <a:ext cx="40802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781200</xdr:colOff>
      <xdr:row>50</xdr:row>
      <xdr:rowOff>31680</xdr:rowOff>
    </xdr:from>
    <xdr:to>
      <xdr:col>11</xdr:col>
      <xdr:colOff>838080</xdr:colOff>
      <xdr:row>66</xdr:row>
      <xdr:rowOff>5760</xdr:rowOff>
    </xdr:to>
    <xdr:graphicFrame>
      <xdr:nvGraphicFramePr>
        <xdr:cNvPr id="5" name="Chart 1"/>
        <xdr:cNvGraphicFramePr/>
      </xdr:nvGraphicFramePr>
      <xdr:xfrm>
        <a:off x="5507280" y="2050920"/>
        <a:ext cx="5054400" cy="2742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1047600</xdr:colOff>
      <xdr:row>49</xdr:row>
      <xdr:rowOff>158760</xdr:rowOff>
    </xdr:from>
    <xdr:to>
      <xdr:col>16</xdr:col>
      <xdr:colOff>691560</xdr:colOff>
      <xdr:row>65</xdr:row>
      <xdr:rowOff>158400</xdr:rowOff>
    </xdr:to>
    <xdr:graphicFrame>
      <xdr:nvGraphicFramePr>
        <xdr:cNvPr id="6" name="Chart 3"/>
        <xdr:cNvGraphicFramePr/>
      </xdr:nvGraphicFramePr>
      <xdr:xfrm>
        <a:off x="10771200" y="2012760"/>
        <a:ext cx="41443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387360</xdr:colOff>
      <xdr:row>51</xdr:row>
      <xdr:rowOff>95400</xdr:rowOff>
    </xdr:from>
    <xdr:to>
      <xdr:col>22</xdr:col>
      <xdr:colOff>298080</xdr:colOff>
      <xdr:row>67</xdr:row>
      <xdr:rowOff>44280</xdr:rowOff>
    </xdr:to>
    <xdr:graphicFrame>
      <xdr:nvGraphicFramePr>
        <xdr:cNvPr id="7" name="Chart 4"/>
        <xdr:cNvGraphicFramePr/>
      </xdr:nvGraphicFramePr>
      <xdr:xfrm>
        <a:off x="15398640" y="2279520"/>
        <a:ext cx="41842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32</xdr:col>
      <xdr:colOff>57240</xdr:colOff>
      <xdr:row>20</xdr:row>
      <xdr:rowOff>82440</xdr:rowOff>
    </xdr:from>
    <xdr:to>
      <xdr:col>35</xdr:col>
      <xdr:colOff>704520</xdr:colOff>
      <xdr:row>60</xdr:row>
      <xdr:rowOff>43920</xdr:rowOff>
    </xdr:to>
    <xdr:graphicFrame>
      <xdr:nvGraphicFramePr>
        <xdr:cNvPr id="8" name="Chart 6"/>
        <xdr:cNvGraphicFramePr/>
      </xdr:nvGraphicFramePr>
      <xdr:xfrm>
        <a:off x="28567800" y="1009440"/>
        <a:ext cx="42807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28</xdr:col>
      <xdr:colOff>158760</xdr:colOff>
      <xdr:row>56</xdr:row>
      <xdr:rowOff>146160</xdr:rowOff>
    </xdr:from>
    <xdr:to>
      <xdr:col>32</xdr:col>
      <xdr:colOff>69480</xdr:colOff>
      <xdr:row>72</xdr:row>
      <xdr:rowOff>6120</xdr:rowOff>
    </xdr:to>
    <xdr:graphicFrame>
      <xdr:nvGraphicFramePr>
        <xdr:cNvPr id="9" name="Chart 7"/>
        <xdr:cNvGraphicFramePr/>
      </xdr:nvGraphicFramePr>
      <xdr:xfrm>
        <a:off x="24354720" y="3193920"/>
        <a:ext cx="42253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120600</xdr:colOff>
      <xdr:row>48</xdr:row>
      <xdr:rowOff>120600</xdr:rowOff>
    </xdr:from>
    <xdr:to>
      <xdr:col>41</xdr:col>
      <xdr:colOff>196560</xdr:colOff>
      <xdr:row>64</xdr:row>
      <xdr:rowOff>145800</xdr:rowOff>
    </xdr:to>
    <xdr:graphicFrame>
      <xdr:nvGraphicFramePr>
        <xdr:cNvPr id="10" name="Chart 8"/>
        <xdr:cNvGraphicFramePr/>
      </xdr:nvGraphicFramePr>
      <xdr:xfrm>
        <a:off x="33193800" y="1809360"/>
        <a:ext cx="41551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40</xdr:col>
      <xdr:colOff>666720</xdr:colOff>
      <xdr:row>74</xdr:row>
      <xdr:rowOff>19080</xdr:rowOff>
    </xdr:from>
    <xdr:to>
      <xdr:col>47</xdr:col>
      <xdr:colOff>18360</xdr:colOff>
      <xdr:row>88</xdr:row>
      <xdr:rowOff>114120</xdr:rowOff>
    </xdr:to>
    <xdr:graphicFrame>
      <xdr:nvGraphicFramePr>
        <xdr:cNvPr id="11" name="Chart 9"/>
        <xdr:cNvGraphicFramePr/>
      </xdr:nvGraphicFramePr>
      <xdr:xfrm>
        <a:off x="37075680" y="6330960"/>
        <a:ext cx="4556520" cy="274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1:BF139" headerRowCount="1" totalsRowCount="0" totalsRowShown="0">
  <autoFilter ref="B1:BF139"/>
  <tableColumns count="57">
    <tableColumn id="1" name="Animal"/>
    <tableColumn id="2" name="Stage"/>
    <tableColumn id="3" name="Apparatus"/>
    <tableColumn id="4" name="Date"/>
    <tableColumn id="5" name="Time"/>
    <tableColumn id="6" name="Video_file_name"/>
    <tableColumn id="7" name="Duration"/>
    <tableColumn id="8" name="Distance"/>
    <tableColumn id="9" name="Mean_speed"/>
    <tableColumn id="10" name="Max_speed"/>
    <tableColumn id="11" name="Time_freezing"/>
    <tableColumn id="12" name="Object_A_._head_entries"/>
    <tableColumn id="13" name="Object_A_._head_time"/>
    <tableColumn id="14" name="Object_A_._distance"/>
    <tableColumn id="15" name="Object_A_._average_speed"/>
    <tableColumn id="16" name="Object_A_._max_speed"/>
    <tableColumn id="17" name="Object_A_._in_zone_oriented_to_centre"/>
    <tableColumn id="18" name="Object_A_._Absolute_head_turn_angle"/>
    <tableColumn id="19" name="Object_A_._time_freezing"/>
    <tableColumn id="20" name="Object_A_._time_head_in_._centre_out"/>
    <tableColumn id="21" name="Object_B_._head_entries"/>
    <tableColumn id="22" name="Object_B_._head_time"/>
    <tableColumn id="23" name="Object_B_._distance"/>
    <tableColumn id="24" name="Object_B_._average_speed"/>
    <tableColumn id="25" name="Object_B_._max_speed"/>
    <tableColumn id="26" name="Object_B_._in_zone_oriented_to_centre"/>
    <tableColumn id="27" name="Object_B_._Absolute_head_turn_angle"/>
    <tableColumn id="28" name="Object_B_._time_freezing"/>
    <tableColumn id="29" name="Object_B_._time_head_in_._centre_out"/>
    <tableColumn id="30" name="Inside_._entries"/>
    <tableColumn id="31" name="Inside_._time"/>
    <tableColumn id="32" name="Inside_._distance"/>
    <tableColumn id="33" name="Inside_._average_speed"/>
    <tableColumn id="34" name="Inside_._time_freezing"/>
    <tableColumn id="35" name="Outside_._entries"/>
    <tableColumn id="36" name="Outside_._time"/>
    <tableColumn id="37" name="Outside_._distance"/>
    <tableColumn id="38" name="Outside_._average_speed"/>
    <tableColumn id="39" name="Outside_._time_freezing"/>
    <tableColumn id="40" name="Relative time Inside"/>
    <tableColumn id="41" name="Relative time Outside"/>
    <tableColumn id="42" name="Relative distance Inside"/>
    <tableColumn id="43" name="Relative distance Outside"/>
    <tableColumn id="44" name="E1: total exploration time in first trial (E1 = A1 + B1)"/>
    <tableColumn id="45" name="E2: total exploration time in second trial E2 ( E2 = A2 + B2)"/>
    <tableColumn id="46" name="D1: Absolute discrimination measure (D1 = B2- A2)"/>
    <tableColumn id="47" name="D2: Discrimination index (D2 = D1/E2)"/>
    <tableColumn id="48" name="D3: Novelty preference (D3 = B2/E2*100)"/>
    <tableColumn id="49" name="Object bias score = (time exploring the object A/total time exploring both objects A1 and B1)*100"/>
    <tableColumn id="50" name="Sex"/>
    <tableColumn id="51" name="HCAR1"/>
    <tableColumn id="52" name="VXFAD"/>
    <tableColumn id="53" name="Age (days)"/>
    <tableColumn id="54" name="Age (months)"/>
    <tableColumn id="55" name="Treatment"/>
    <tableColumn id="56" name="Group"/>
    <tableColumn id="57" name="All comments"/>
  </tableColumns>
</table>
</file>

<file path=xl/tables/table2.xml><?xml version="1.0" encoding="utf-8"?>
<table xmlns="http://schemas.openxmlformats.org/spreadsheetml/2006/main" id="2" name="Table2" displayName="Table2" ref="B1:BF130" headerRowCount="1" totalsRowCount="0" totalsRowShown="0">
  <autoFilter ref="B1:BF130"/>
  <tableColumns count="57">
    <tableColumn id="1" name="Animal"/>
    <tableColumn id="2" name="Stage"/>
    <tableColumn id="3" name="Apparatus"/>
    <tableColumn id="4" name="Date"/>
    <tableColumn id="5" name="Time"/>
    <tableColumn id="6" name="Video_file_name"/>
    <tableColumn id="7" name="Duration"/>
    <tableColumn id="8" name="Distance"/>
    <tableColumn id="9" name="Mean_speed"/>
    <tableColumn id="10" name="Max_speed"/>
    <tableColumn id="11" name="Time_freezing"/>
    <tableColumn id="12" name="Object_A_._head_entries"/>
    <tableColumn id="13" name="Object_A_._head_time"/>
    <tableColumn id="14" name="Object_A_._distance"/>
    <tableColumn id="15" name="Object_A_._average_speed"/>
    <tableColumn id="16" name="Object_A_._max_speed"/>
    <tableColumn id="17" name="Object_A_._in_zone_oriented_to_centre"/>
    <tableColumn id="18" name="Object_A_._Absolute_head_turn_angle"/>
    <tableColumn id="19" name="Object_A_._time_freezing"/>
    <tableColumn id="20" name="Object_A_._time_head_in_._centre_out"/>
    <tableColumn id="21" name="Object_B_._head_entries"/>
    <tableColumn id="22" name="Object_B_._head_time"/>
    <tableColumn id="23" name="Object_B_._distance"/>
    <tableColumn id="24" name="Object_B_._average_speed"/>
    <tableColumn id="25" name="Object_B_._max_speed"/>
    <tableColumn id="26" name="Object_B_._in_zone_oriented_to_centre"/>
    <tableColumn id="27" name="Object_B_._Absolute_head_turn_angle"/>
    <tableColumn id="28" name="Object_B_._time_freezing"/>
    <tableColumn id="29" name="Object_B_._time_head_in_._centre_out"/>
    <tableColumn id="30" name="Inside_._entries"/>
    <tableColumn id="31" name="Inside_._time"/>
    <tableColumn id="32" name="Inside_._distance"/>
    <tableColumn id="33" name="Inside_._average_speed"/>
    <tableColumn id="34" name="Inside_._time_freezing"/>
    <tableColumn id="35" name="Outside_._entries"/>
    <tableColumn id="36" name="Outside_._time"/>
    <tableColumn id="37" name="Outside_._distance"/>
    <tableColumn id="38" name="Outside_._average_speed"/>
    <tableColumn id="39" name="Outside_._time_freezing"/>
    <tableColumn id="40" name="Relative time Inside"/>
    <tableColumn id="41" name="Relative time Outside"/>
    <tableColumn id="42" name="Relative distance Inside"/>
    <tableColumn id="43" name="Relative distance Outside"/>
    <tableColumn id="44" name="E1: total exploration time in first trial (E1 = A1 + B1)"/>
    <tableColumn id="45" name="E2: total exploration time in second trial E2 ( E2 = A2 + B2)"/>
    <tableColumn id="46" name="D1: Absolute discrimination measure (D1 = B2- A2)"/>
    <tableColumn id="47" name="D2: Discrimination index (D2 = D1/E2)"/>
    <tableColumn id="48" name="D3: Novelty preference (D3 = B2/E2*100)"/>
    <tableColumn id="49" name="Object bias score = (time exploring the object A/total time exploring both objects A1 and B1)*100"/>
    <tableColumn id="50" name="Sex"/>
    <tableColumn id="51" name="HCAR1"/>
    <tableColumn id="52" name="VXFAD"/>
    <tableColumn id="53" name="Age (days)"/>
    <tableColumn id="54" name="Age (months)"/>
    <tableColumn id="55" name="Treatment"/>
    <tableColumn id="56" name="Group"/>
    <tableColumn id="57" name="All comments"/>
  </tableColumns>
</table>
</file>

<file path=xl/tables/table3.xml><?xml version="1.0" encoding="utf-8"?>
<table xmlns="http://schemas.openxmlformats.org/spreadsheetml/2006/main" id="3" name="Table3" displayName="Table3" ref="A2:AK48" headerRowCount="1" totalsRowCount="0" totalsRowShown="0">
  <autoFilter ref="A2:AK48">
    <filterColumn colId="19">
      <filters>
        <filter val="8"/>
      </filters>
    </filterColumn>
  </autoFilter>
  <tableColumns count="37">
    <tableColumn id="1" name="Animal"/>
    <tableColumn id="2" name="Apparatus"/>
    <tableColumn id="3" name="Date"/>
    <tableColumn id="4" name="Time"/>
    <tableColumn id="5" name="Distance"/>
    <tableColumn id="6" name="Mean_speed"/>
    <tableColumn id="7" name="Max_speed"/>
    <tableColumn id="8" name="Time_freezing"/>
    <tableColumn id="9" name="E2: total exploration time in second trial E2 ( E2 = A2 + B2)"/>
    <tableColumn id="10" name="D1: Absolute discrimination measure (D1 = B2- A2)"/>
    <tableColumn id="11" name="D2: Discrimination index (D2 = D1/E2)"/>
    <tableColumn id="12" name="D3: Novelty preference (D3 = B2/E2*100)"/>
    <tableColumn id="13" name="Object bias score = (time exploring the object A/total time exploring both objects A1 and B1)*100"/>
    <tableColumn id="14" name="Sex"/>
    <tableColumn id="15" name="HCAR1"/>
    <tableColumn id="16" name="5XFAD"/>
    <tableColumn id="17" name="Age (days)"/>
    <tableColumn id="18" name="Age (months)"/>
    <tableColumn id="19" name="Treatment"/>
    <tableColumn id="20" name="Group"/>
    <tableColumn id="21" name="All comments"/>
    <tableColumn id="22" name="Column1"/>
    <tableColumn id="23" name="Animal2"/>
    <tableColumn id="24" name="Apparatus3"/>
    <tableColumn id="25" name="Date4"/>
    <tableColumn id="26" name="Time5"/>
    <tableColumn id="27" name="Distance6"/>
    <tableColumn id="28" name="Mean_speed7"/>
    <tableColumn id="29" name="Max_speed8"/>
    <tableColumn id="30" name="Time_freezing9"/>
    <tableColumn id="31" name="E2: total exploration time in second trial E2 ( E2 = A2 + B2)10"/>
    <tableColumn id="32" name="D1: Absolute discrimination measure (D1 = B2- A2)11"/>
    <tableColumn id="33" name="D2: Discrimination index (D2 = D1/E2)12"/>
    <tableColumn id="34" name="D3: Novelty preference (D3 = B2/E2*100)13"/>
    <tableColumn id="35" name="Object bias score = (time exploring the object A/total time exploring both objects A1 and B1)*10014"/>
    <tableColumn id="36" name="Age (days)15"/>
    <tableColumn id="37" name="Age (months)16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B139"/>
  <sheetViews>
    <sheetView showFormulas="false" showGridLines="true" showRowColHeaders="true" showZeros="true" rightToLeft="false" tabSelected="true" showOutlineSymbols="true" defaultGridColor="true" view="normal" topLeftCell="AT1" colorId="64" zoomScale="65" zoomScaleNormal="65" zoomScalePageLayoutView="100" workbookViewId="0">
      <selection pane="topLeft" activeCell="BA2" activeCellId="0" sqref="BA2"/>
    </sheetView>
  </sheetViews>
  <sheetFormatPr defaultColWidth="10.84765625" defaultRowHeight="15" zeroHeight="false" outlineLevelRow="0" outlineLevelCol="0"/>
  <cols>
    <col collapsed="false" customWidth="true" hidden="false" outlineLevel="0" max="1" min="1" style="1" width="4.33"/>
    <col collapsed="false" customWidth="true" hidden="false" outlineLevel="0" max="2" min="2" style="2" width="9.33"/>
    <col collapsed="false" customWidth="true" hidden="false" outlineLevel="0" max="3" min="3" style="1" width="32.83"/>
    <col collapsed="false" customWidth="true" hidden="false" outlineLevel="0" max="4" min="4" style="1" width="13.83"/>
    <col collapsed="false" customWidth="true" hidden="false" outlineLevel="0" max="5" min="5" style="1" width="11.84"/>
    <col collapsed="false" customWidth="true" hidden="false" outlineLevel="0" max="6" min="6" style="1" width="7.67"/>
    <col collapsed="false" customWidth="true" hidden="false" outlineLevel="0" max="7" min="7" style="1" width="26.83"/>
    <col collapsed="false" customWidth="true" hidden="false" outlineLevel="0" max="8" min="8" style="3" width="10.66"/>
    <col collapsed="false" customWidth="true" hidden="false" outlineLevel="0" max="9" min="9" style="4" width="10.66"/>
    <col collapsed="false" customWidth="true" hidden="false" outlineLevel="0" max="10" min="10" style="4" width="14.01"/>
    <col collapsed="false" customWidth="true" hidden="false" outlineLevel="0" max="11" min="11" style="4" width="13.01"/>
    <col collapsed="false" customWidth="true" hidden="false" outlineLevel="0" max="12" min="12" style="3" width="15.34"/>
    <col collapsed="false" customWidth="true" hidden="false" outlineLevel="0" max="13" min="13" style="5" width="24.83"/>
    <col collapsed="false" customWidth="true" hidden="false" outlineLevel="0" max="14" min="14" style="3" width="22.33"/>
    <col collapsed="false" customWidth="true" hidden="false" outlineLevel="0" max="15" min="15" style="4" width="20.83"/>
    <col collapsed="false" customWidth="true" hidden="false" outlineLevel="0" max="16" min="16" style="4" width="26"/>
    <col collapsed="false" customWidth="true" hidden="false" outlineLevel="0" max="17" min="17" style="4" width="23.01"/>
    <col collapsed="false" customWidth="true" hidden="false" outlineLevel="0" max="18" min="18" style="3" width="38.83"/>
    <col collapsed="false" customWidth="true" hidden="false" outlineLevel="0" max="19" min="19" style="5" width="36.84"/>
    <col collapsed="false" customWidth="true" hidden="false" outlineLevel="0" max="20" min="20" style="3" width="25.83"/>
    <col collapsed="false" customWidth="true" hidden="false" outlineLevel="0" max="21" min="21" style="3" width="37.83"/>
    <col collapsed="false" customWidth="true" hidden="false" outlineLevel="0" max="22" min="22" style="5" width="24.83"/>
    <col collapsed="false" customWidth="true" hidden="false" outlineLevel="0" max="23" min="23" style="3" width="22.33"/>
    <col collapsed="false" customWidth="true" hidden="false" outlineLevel="0" max="24" min="24" style="4" width="20.83"/>
    <col collapsed="false" customWidth="true" hidden="false" outlineLevel="0" max="25" min="25" style="4" width="26"/>
    <col collapsed="false" customWidth="true" hidden="false" outlineLevel="0" max="26" min="26" style="4" width="23.01"/>
    <col collapsed="false" customWidth="true" hidden="false" outlineLevel="0" max="27" min="27" style="3" width="38.83"/>
    <col collapsed="false" customWidth="true" hidden="false" outlineLevel="0" max="28" min="28" style="5" width="36.84"/>
    <col collapsed="false" customWidth="true" hidden="false" outlineLevel="0" max="29" min="29" style="3" width="25.83"/>
    <col collapsed="false" customWidth="true" hidden="false" outlineLevel="0" max="30" min="30" style="3" width="37.83"/>
    <col collapsed="false" customWidth="true" hidden="false" outlineLevel="0" max="31" min="31" style="5" width="17.83"/>
    <col collapsed="false" customWidth="true" hidden="false" outlineLevel="0" max="32" min="32" style="3" width="14.83"/>
    <col collapsed="false" customWidth="true" hidden="false" outlineLevel="0" max="33" min="33" style="4" width="18.84"/>
    <col collapsed="false" customWidth="true" hidden="false" outlineLevel="0" max="34" min="34" style="4" width="23.83"/>
    <col collapsed="false" customWidth="true" hidden="false" outlineLevel="0" max="35" min="35" style="3" width="23.83"/>
    <col collapsed="false" customWidth="true" hidden="false" outlineLevel="0" max="36" min="36" style="5" width="18.84"/>
    <col collapsed="false" customWidth="true" hidden="false" outlineLevel="0" max="37" min="37" style="3" width="16.16"/>
    <col collapsed="false" customWidth="true" hidden="false" outlineLevel="0" max="38" min="38" style="4" width="19.84"/>
    <col collapsed="false" customWidth="true" hidden="false" outlineLevel="0" max="39" min="39" style="4" width="24.83"/>
    <col collapsed="false" customWidth="true" hidden="false" outlineLevel="0" max="40" min="40" style="3" width="24.83"/>
    <col collapsed="false" customWidth="true" hidden="false" outlineLevel="0" max="43" min="41" style="6" width="24.83"/>
    <col collapsed="false" customWidth="true" hidden="false" outlineLevel="0" max="44" min="44" style="5" width="25.83"/>
    <col collapsed="false" customWidth="true" hidden="false" outlineLevel="0" max="45" min="45" style="7" width="45.66"/>
    <col collapsed="false" customWidth="true" hidden="false" outlineLevel="0" max="46" min="46" style="7" width="50"/>
    <col collapsed="false" customWidth="true" hidden="false" outlineLevel="0" max="47" min="47" style="8" width="45.5"/>
    <col collapsed="false" customWidth="true" hidden="false" outlineLevel="0" max="48" min="48" style="7" width="35.51"/>
    <col collapsed="false" customWidth="true" hidden="false" outlineLevel="0" max="49" min="49" style="7" width="38.33"/>
    <col collapsed="false" customWidth="true" hidden="false" outlineLevel="0" max="50" min="50" style="9" width="82.83"/>
    <col collapsed="false" customWidth="false" hidden="false" outlineLevel="0" max="55" min="51" style="5" width="10.84"/>
    <col collapsed="false" customWidth="true" hidden="false" outlineLevel="0" max="56" min="56" style="5" width="10.99"/>
    <col collapsed="false" customWidth="true" hidden="false" outlineLevel="0" max="58" min="57" style="10" width="30.66"/>
    <col collapsed="false" customWidth="false" hidden="false" outlineLevel="0" max="1024" min="59" style="10" width="10.84"/>
  </cols>
  <sheetData>
    <row r="1" customFormat="false" ht="12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5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5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5" t="s">
        <v>27</v>
      </c>
      <c r="AC1" s="3" t="s">
        <v>28</v>
      </c>
      <c r="AD1" s="3" t="s">
        <v>29</v>
      </c>
      <c r="AE1" s="5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5" t="s">
        <v>35</v>
      </c>
      <c r="AK1" s="3" t="s">
        <v>36</v>
      </c>
      <c r="AL1" s="4" t="s">
        <v>37</v>
      </c>
      <c r="AM1" s="4" t="s">
        <v>38</v>
      </c>
      <c r="AN1" s="3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11" t="s">
        <v>44</v>
      </c>
      <c r="AT1" s="5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2" t="s">
        <v>57</v>
      </c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s="25" customFormat="true" ht="12" hidden="false" customHeight="true" outlineLevel="0" collapsed="false">
      <c r="A2" s="14" t="n">
        <v>47</v>
      </c>
      <c r="B2" s="15" t="s">
        <v>58</v>
      </c>
      <c r="C2" s="14" t="s">
        <v>59</v>
      </c>
      <c r="D2" s="14" t="s">
        <v>60</v>
      </c>
      <c r="E2" s="14" t="s">
        <v>61</v>
      </c>
      <c r="F2" s="14" t="s">
        <v>62</v>
      </c>
      <c r="G2" s="14" t="s">
        <v>63</v>
      </c>
      <c r="H2" s="16" t="n">
        <v>360</v>
      </c>
      <c r="I2" s="17" t="n">
        <v>18.206</v>
      </c>
      <c r="J2" s="17" t="n">
        <v>0.051</v>
      </c>
      <c r="K2" s="17" t="n">
        <v>0.309</v>
      </c>
      <c r="L2" s="16" t="n">
        <v>28.3</v>
      </c>
      <c r="M2" s="18" t="n">
        <v>21</v>
      </c>
      <c r="N2" s="16" t="n">
        <v>23.8</v>
      </c>
      <c r="O2" s="17" t="n">
        <v>1.235</v>
      </c>
      <c r="P2" s="17" t="n">
        <v>0.052</v>
      </c>
      <c r="Q2" s="17" t="n">
        <v>0.265</v>
      </c>
      <c r="R2" s="16" t="n">
        <v>10</v>
      </c>
      <c r="S2" s="18" t="n">
        <v>1845</v>
      </c>
      <c r="T2" s="16" t="n">
        <v>0</v>
      </c>
      <c r="U2" s="16" t="n">
        <v>15.1</v>
      </c>
      <c r="V2" s="18" t="n">
        <v>26</v>
      </c>
      <c r="W2" s="16" t="n">
        <v>32.5</v>
      </c>
      <c r="X2" s="17" t="n">
        <v>1.692</v>
      </c>
      <c r="Y2" s="17" t="n">
        <v>0.052</v>
      </c>
      <c r="Z2" s="17" t="n">
        <v>0.24</v>
      </c>
      <c r="AA2" s="16" t="n">
        <v>14.9</v>
      </c>
      <c r="AB2" s="18" t="n">
        <v>2305</v>
      </c>
      <c r="AC2" s="16" t="n">
        <v>0</v>
      </c>
      <c r="AD2" s="16" t="n">
        <v>19.1</v>
      </c>
      <c r="AE2" s="18" t="n">
        <v>21</v>
      </c>
      <c r="AF2" s="16" t="n">
        <v>24.6</v>
      </c>
      <c r="AG2" s="17" t="n">
        <v>3.011</v>
      </c>
      <c r="AH2" s="17" t="n">
        <v>0.123</v>
      </c>
      <c r="AI2" s="16" t="n">
        <v>0</v>
      </c>
      <c r="AJ2" s="18" t="n">
        <v>22</v>
      </c>
      <c r="AK2" s="16" t="n">
        <v>335.4</v>
      </c>
      <c r="AL2" s="17" t="n">
        <v>15.195</v>
      </c>
      <c r="AM2" s="17" t="n">
        <v>0.045</v>
      </c>
      <c r="AN2" s="16" t="n">
        <v>28.3</v>
      </c>
      <c r="AO2" s="19"/>
      <c r="AP2" s="19"/>
      <c r="AQ2" s="19"/>
      <c r="AR2" s="19"/>
      <c r="AS2" s="18" t="n">
        <f aca="false">Table1[[#This Row],[Object_A_._head_time]]+Table1[[#This Row],[Object_B_._head_time]]</f>
        <v>56.3</v>
      </c>
      <c r="AT2" s="20"/>
      <c r="AU2" s="20"/>
      <c r="AV2" s="21"/>
      <c r="AW2" s="20"/>
      <c r="AX2" s="19" t="n">
        <f aca="false">(Table1[[#This Row],[Object_A_._head_time]]/(Table1[[#This Row],[Object_A_._head_time]]+Table1[[#This Row],[Object_B_._head_time]]))</f>
        <v>0.422735346358792</v>
      </c>
      <c r="AY2" s="22" t="s">
        <v>64</v>
      </c>
      <c r="AZ2" s="22" t="s">
        <v>65</v>
      </c>
      <c r="BA2" s="18" t="s">
        <v>66</v>
      </c>
      <c r="BB2" s="18" t="n">
        <v>99</v>
      </c>
      <c r="BC2" s="16" t="n">
        <v>3.3</v>
      </c>
      <c r="BD2" s="18" t="s">
        <v>67</v>
      </c>
      <c r="BE2" s="23" t="n">
        <v>3</v>
      </c>
      <c r="BF2" s="18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24"/>
    </row>
    <row r="3" s="25" customFormat="true" ht="12" hidden="false" customHeight="true" outlineLevel="0" collapsed="false">
      <c r="A3" s="14" t="n">
        <v>49</v>
      </c>
      <c r="B3" s="15" t="s">
        <v>68</v>
      </c>
      <c r="C3" s="14" t="s">
        <v>59</v>
      </c>
      <c r="D3" s="14" t="s">
        <v>69</v>
      </c>
      <c r="E3" s="14" t="s">
        <v>61</v>
      </c>
      <c r="F3" s="14" t="s">
        <v>62</v>
      </c>
      <c r="G3" s="14" t="s">
        <v>70</v>
      </c>
      <c r="H3" s="16" t="n">
        <v>360</v>
      </c>
      <c r="I3" s="17" t="n">
        <v>11.89</v>
      </c>
      <c r="J3" s="17" t="n">
        <v>0.033</v>
      </c>
      <c r="K3" s="17" t="n">
        <v>0.263</v>
      </c>
      <c r="L3" s="16" t="n">
        <v>16.4</v>
      </c>
      <c r="M3" s="18" t="n">
        <v>37</v>
      </c>
      <c r="N3" s="16" t="n">
        <v>40.1</v>
      </c>
      <c r="O3" s="17" t="n">
        <v>1.686</v>
      </c>
      <c r="P3" s="17" t="n">
        <v>0.042</v>
      </c>
      <c r="Q3" s="17" t="n">
        <v>0.212</v>
      </c>
      <c r="R3" s="16" t="n">
        <v>14.5</v>
      </c>
      <c r="S3" s="18" t="n">
        <v>2945</v>
      </c>
      <c r="T3" s="16" t="n">
        <v>1.7</v>
      </c>
      <c r="U3" s="16" t="n">
        <v>16.3</v>
      </c>
      <c r="V3" s="18" t="n">
        <v>17</v>
      </c>
      <c r="W3" s="16" t="n">
        <v>28.3</v>
      </c>
      <c r="X3" s="17" t="n">
        <v>1.366</v>
      </c>
      <c r="Y3" s="17" t="n">
        <v>0.048</v>
      </c>
      <c r="Z3" s="17" t="n">
        <v>0.193</v>
      </c>
      <c r="AA3" s="16" t="n">
        <v>8.3</v>
      </c>
      <c r="AB3" s="18" t="n">
        <v>2367</v>
      </c>
      <c r="AC3" s="16" t="n">
        <v>0</v>
      </c>
      <c r="AD3" s="16" t="n">
        <v>4.1</v>
      </c>
      <c r="AE3" s="18" t="n">
        <v>15</v>
      </c>
      <c r="AF3" s="16" t="n">
        <v>20.7</v>
      </c>
      <c r="AG3" s="17" t="n">
        <v>1.591</v>
      </c>
      <c r="AH3" s="17" t="n">
        <v>0.077</v>
      </c>
      <c r="AI3" s="16" t="n">
        <v>1.2</v>
      </c>
      <c r="AJ3" s="18" t="n">
        <v>15</v>
      </c>
      <c r="AK3" s="16" t="n">
        <v>339.3</v>
      </c>
      <c r="AL3" s="17" t="n">
        <v>10.299</v>
      </c>
      <c r="AM3" s="17" t="n">
        <v>0.03</v>
      </c>
      <c r="AN3" s="16" t="n">
        <v>15.2</v>
      </c>
      <c r="AO3" s="19"/>
      <c r="AP3" s="19"/>
      <c r="AQ3" s="19"/>
      <c r="AR3" s="19"/>
      <c r="AS3" s="18" t="n">
        <f aca="false">Table1[[#This Row],[Object_A_._head_time]]+Table1[[#This Row],[Object_B_._head_time]]</f>
        <v>68.4</v>
      </c>
      <c r="AT3" s="20"/>
      <c r="AU3" s="20"/>
      <c r="AV3" s="21"/>
      <c r="AW3" s="20"/>
      <c r="AX3" s="19" t="n">
        <f aca="false">(Table1[[#This Row],[Object_A_._head_time]]/(Table1[[#This Row],[Object_A_._head_time]]+Table1[[#This Row],[Object_B_._head_time]]))</f>
        <v>0.58625730994152</v>
      </c>
      <c r="AY3" s="22" t="s">
        <v>71</v>
      </c>
      <c r="AZ3" s="22" t="s">
        <v>65</v>
      </c>
      <c r="BA3" s="18" t="s">
        <v>72</v>
      </c>
      <c r="BB3" s="18" t="n">
        <v>99</v>
      </c>
      <c r="BC3" s="16" t="n">
        <v>3.3</v>
      </c>
      <c r="BD3" s="18" t="s">
        <v>67</v>
      </c>
      <c r="BE3" s="23" t="n">
        <v>1</v>
      </c>
      <c r="BF3" s="18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24"/>
    </row>
    <row r="4" s="25" customFormat="true" ht="12" hidden="false" customHeight="true" outlineLevel="0" collapsed="false">
      <c r="A4" s="14" t="n">
        <v>48</v>
      </c>
      <c r="B4" s="15" t="s">
        <v>73</v>
      </c>
      <c r="C4" s="14" t="s">
        <v>59</v>
      </c>
      <c r="D4" s="14" t="s">
        <v>74</v>
      </c>
      <c r="E4" s="14" t="s">
        <v>61</v>
      </c>
      <c r="F4" s="14" t="s">
        <v>62</v>
      </c>
      <c r="G4" s="14" t="s">
        <v>75</v>
      </c>
      <c r="H4" s="16" t="n">
        <v>360</v>
      </c>
      <c r="I4" s="17" t="n">
        <v>17.319</v>
      </c>
      <c r="J4" s="17" t="n">
        <v>0.048</v>
      </c>
      <c r="K4" s="17" t="n">
        <v>0.234</v>
      </c>
      <c r="L4" s="16" t="n">
        <v>9.2</v>
      </c>
      <c r="M4" s="18" t="n">
        <v>42</v>
      </c>
      <c r="N4" s="16" t="n">
        <v>94.9</v>
      </c>
      <c r="O4" s="17" t="n">
        <v>4.181</v>
      </c>
      <c r="P4" s="17" t="n">
        <v>0.044</v>
      </c>
      <c r="Q4" s="17" t="n">
        <v>0.234</v>
      </c>
      <c r="R4" s="16" t="n">
        <v>11.5</v>
      </c>
      <c r="S4" s="18" t="n">
        <v>5888</v>
      </c>
      <c r="T4" s="16" t="n">
        <v>0</v>
      </c>
      <c r="U4" s="16" t="n">
        <v>12</v>
      </c>
      <c r="V4" s="18" t="n">
        <v>40</v>
      </c>
      <c r="W4" s="16" t="n">
        <v>78.2</v>
      </c>
      <c r="X4" s="17" t="n">
        <v>4.076</v>
      </c>
      <c r="Y4" s="17" t="n">
        <v>0.052</v>
      </c>
      <c r="Z4" s="17" t="n">
        <v>0.212</v>
      </c>
      <c r="AA4" s="16" t="n">
        <v>15.6</v>
      </c>
      <c r="AB4" s="18" t="n">
        <v>5140</v>
      </c>
      <c r="AC4" s="16" t="n">
        <v>1.1</v>
      </c>
      <c r="AD4" s="16" t="n">
        <v>15.3</v>
      </c>
      <c r="AE4" s="18" t="n">
        <v>30</v>
      </c>
      <c r="AF4" s="16" t="n">
        <v>85.8</v>
      </c>
      <c r="AG4" s="17" t="n">
        <v>5.138</v>
      </c>
      <c r="AH4" s="17" t="n">
        <v>0.06</v>
      </c>
      <c r="AI4" s="16" t="n">
        <v>0</v>
      </c>
      <c r="AJ4" s="18" t="n">
        <v>31</v>
      </c>
      <c r="AK4" s="16" t="n">
        <v>274.2</v>
      </c>
      <c r="AL4" s="17" t="n">
        <v>12.181</v>
      </c>
      <c r="AM4" s="17" t="n">
        <v>0.044</v>
      </c>
      <c r="AN4" s="16" t="n">
        <v>9.2</v>
      </c>
      <c r="AO4" s="19"/>
      <c r="AP4" s="19"/>
      <c r="AQ4" s="19"/>
      <c r="AR4" s="19"/>
      <c r="AS4" s="18" t="n">
        <f aca="false">Table1[[#This Row],[Object_A_._head_time]]+Table1[[#This Row],[Object_B_._head_time]]</f>
        <v>173.1</v>
      </c>
      <c r="AT4" s="20"/>
      <c r="AU4" s="20"/>
      <c r="AV4" s="21"/>
      <c r="AW4" s="20"/>
      <c r="AX4" s="19" t="n">
        <f aca="false">(Table1[[#This Row],[Object_A_._head_time]]/(Table1[[#This Row],[Object_A_._head_time]]+Table1[[#This Row],[Object_B_._head_time]]))</f>
        <v>0.548238012709416</v>
      </c>
      <c r="AY4" s="22" t="s">
        <v>64</v>
      </c>
      <c r="AZ4" s="22" t="s">
        <v>76</v>
      </c>
      <c r="BA4" s="18" t="s">
        <v>72</v>
      </c>
      <c r="BB4" s="18" t="n">
        <v>94</v>
      </c>
      <c r="BC4" s="16" t="n">
        <v>3.13333333333333</v>
      </c>
      <c r="BD4" s="18" t="s">
        <v>67</v>
      </c>
      <c r="BE4" s="23" t="n">
        <v>5</v>
      </c>
      <c r="BF4" s="18" t="s">
        <v>77</v>
      </c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24"/>
    </row>
    <row r="5" s="25" customFormat="true" ht="12" hidden="false" customHeight="true" outlineLevel="0" collapsed="false">
      <c r="A5" s="14" t="n">
        <v>50</v>
      </c>
      <c r="B5" s="15" t="s">
        <v>78</v>
      </c>
      <c r="C5" s="14" t="s">
        <v>59</v>
      </c>
      <c r="D5" s="14" t="s">
        <v>79</v>
      </c>
      <c r="E5" s="14" t="s">
        <v>61</v>
      </c>
      <c r="F5" s="14" t="s">
        <v>62</v>
      </c>
      <c r="G5" s="14" t="s">
        <v>80</v>
      </c>
      <c r="H5" s="16" t="n">
        <v>360</v>
      </c>
      <c r="I5" s="17" t="n">
        <v>27.305</v>
      </c>
      <c r="J5" s="17" t="n">
        <v>0.076</v>
      </c>
      <c r="K5" s="17" t="n">
        <v>0.278</v>
      </c>
      <c r="L5" s="16" t="n">
        <v>4.5</v>
      </c>
      <c r="M5" s="18" t="n">
        <v>37</v>
      </c>
      <c r="N5" s="16" t="n">
        <v>39.5</v>
      </c>
      <c r="O5" s="17" t="n">
        <v>2.712</v>
      </c>
      <c r="P5" s="17" t="n">
        <v>0.069</v>
      </c>
      <c r="Q5" s="17" t="n">
        <v>0.278</v>
      </c>
      <c r="R5" s="16" t="n">
        <v>11.9</v>
      </c>
      <c r="S5" s="18" t="n">
        <v>3163</v>
      </c>
      <c r="T5" s="16" t="n">
        <v>0</v>
      </c>
      <c r="U5" s="16" t="n">
        <v>8.7</v>
      </c>
      <c r="V5" s="18" t="n">
        <v>46</v>
      </c>
      <c r="W5" s="16" t="n">
        <v>45</v>
      </c>
      <c r="X5" s="17" t="n">
        <v>3.573</v>
      </c>
      <c r="Y5" s="17" t="n">
        <v>0.079</v>
      </c>
      <c r="Z5" s="17" t="n">
        <v>0.246</v>
      </c>
      <c r="AA5" s="16" t="n">
        <v>10.3</v>
      </c>
      <c r="AB5" s="18" t="n">
        <v>4240</v>
      </c>
      <c r="AC5" s="16" t="n">
        <v>0</v>
      </c>
      <c r="AD5" s="16" t="n">
        <v>11.2</v>
      </c>
      <c r="AE5" s="18" t="n">
        <v>35</v>
      </c>
      <c r="AF5" s="16" t="n">
        <v>48.3</v>
      </c>
      <c r="AG5" s="17" t="n">
        <v>5.207</v>
      </c>
      <c r="AH5" s="17" t="n">
        <v>0.108</v>
      </c>
      <c r="AI5" s="16" t="n">
        <v>0</v>
      </c>
      <c r="AJ5" s="18" t="n">
        <v>36</v>
      </c>
      <c r="AK5" s="16" t="n">
        <v>311.7</v>
      </c>
      <c r="AL5" s="17" t="n">
        <v>22.098</v>
      </c>
      <c r="AM5" s="17" t="n">
        <v>0.071</v>
      </c>
      <c r="AN5" s="16" t="n">
        <v>4.5</v>
      </c>
      <c r="AO5" s="19"/>
      <c r="AP5" s="19"/>
      <c r="AQ5" s="19"/>
      <c r="AR5" s="19"/>
      <c r="AS5" s="18" t="n">
        <f aca="false">Table1[[#This Row],[Object_A_._head_time]]+Table1[[#This Row],[Object_B_._head_time]]</f>
        <v>84.5</v>
      </c>
      <c r="AT5" s="20"/>
      <c r="AU5" s="20"/>
      <c r="AV5" s="21"/>
      <c r="AW5" s="20"/>
      <c r="AX5" s="19" t="n">
        <f aca="false">(Table1[[#This Row],[Object_A_._head_time]]/(Table1[[#This Row],[Object_A_._head_time]]+Table1[[#This Row],[Object_B_._head_time]]))</f>
        <v>0.467455621301775</v>
      </c>
      <c r="AY5" s="22" t="s">
        <v>64</v>
      </c>
      <c r="AZ5" s="22" t="s">
        <v>76</v>
      </c>
      <c r="BA5" s="18" t="s">
        <v>66</v>
      </c>
      <c r="BB5" s="18" t="n">
        <v>94</v>
      </c>
      <c r="BC5" s="16" t="n">
        <v>3.13333333333333</v>
      </c>
      <c r="BD5" s="18" t="s">
        <v>81</v>
      </c>
      <c r="BE5" s="23" t="n">
        <v>8</v>
      </c>
      <c r="BF5" s="18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24"/>
    </row>
    <row r="6" s="25" customFormat="true" ht="12" hidden="false" customHeight="true" outlineLevel="0" collapsed="false">
      <c r="A6" s="14" t="n">
        <v>51</v>
      </c>
      <c r="B6" s="15" t="s">
        <v>82</v>
      </c>
      <c r="C6" s="14" t="s">
        <v>59</v>
      </c>
      <c r="D6" s="14" t="s">
        <v>60</v>
      </c>
      <c r="E6" s="14" t="s">
        <v>61</v>
      </c>
      <c r="F6" s="14" t="s">
        <v>83</v>
      </c>
      <c r="G6" s="14" t="s">
        <v>84</v>
      </c>
      <c r="H6" s="16" t="n">
        <v>360</v>
      </c>
      <c r="I6" s="17" t="n">
        <v>10.703</v>
      </c>
      <c r="J6" s="17" t="n">
        <v>0.03</v>
      </c>
      <c r="K6" s="17" t="n">
        <v>0.26</v>
      </c>
      <c r="L6" s="16" t="n">
        <v>121.5</v>
      </c>
      <c r="M6" s="18" t="n">
        <v>11</v>
      </c>
      <c r="N6" s="16" t="n">
        <v>18.3</v>
      </c>
      <c r="O6" s="17" t="n">
        <v>0.535</v>
      </c>
      <c r="P6" s="17" t="n">
        <v>0.029</v>
      </c>
      <c r="Q6" s="17" t="n">
        <v>0.2</v>
      </c>
      <c r="R6" s="16" t="n">
        <v>6.8</v>
      </c>
      <c r="S6" s="18" t="n">
        <v>1065</v>
      </c>
      <c r="T6" s="16" t="n">
        <v>0</v>
      </c>
      <c r="U6" s="16" t="n">
        <v>6.9</v>
      </c>
      <c r="V6" s="18" t="n">
        <v>14</v>
      </c>
      <c r="W6" s="16" t="n">
        <v>21.9</v>
      </c>
      <c r="X6" s="17" t="n">
        <v>0.948</v>
      </c>
      <c r="Y6" s="17" t="n">
        <v>0.043</v>
      </c>
      <c r="Z6" s="17" t="n">
        <v>0.196</v>
      </c>
      <c r="AA6" s="16" t="n">
        <v>5.6</v>
      </c>
      <c r="AB6" s="18" t="n">
        <v>1382</v>
      </c>
      <c r="AC6" s="16" t="n">
        <v>0</v>
      </c>
      <c r="AD6" s="16" t="n">
        <v>11.9</v>
      </c>
      <c r="AE6" s="18" t="n">
        <v>9</v>
      </c>
      <c r="AF6" s="16" t="n">
        <v>13.1</v>
      </c>
      <c r="AG6" s="17" t="n">
        <v>1.404</v>
      </c>
      <c r="AH6" s="17" t="n">
        <v>0.107</v>
      </c>
      <c r="AI6" s="16" t="n">
        <v>0</v>
      </c>
      <c r="AJ6" s="18" t="n">
        <v>10</v>
      </c>
      <c r="AK6" s="16" t="n">
        <v>346.9</v>
      </c>
      <c r="AL6" s="17" t="n">
        <v>9.299</v>
      </c>
      <c r="AM6" s="17" t="n">
        <v>0.027</v>
      </c>
      <c r="AN6" s="16" t="n">
        <v>121.5</v>
      </c>
      <c r="AO6" s="19"/>
      <c r="AP6" s="19"/>
      <c r="AQ6" s="19"/>
      <c r="AR6" s="19"/>
      <c r="AS6" s="18" t="n">
        <f aca="false">Table1[[#This Row],[Object_A_._head_time]]+Table1[[#This Row],[Object_B_._head_time]]</f>
        <v>40.2</v>
      </c>
      <c r="AT6" s="20"/>
      <c r="AU6" s="20"/>
      <c r="AV6" s="21"/>
      <c r="AW6" s="20"/>
      <c r="AX6" s="19" t="n">
        <f aca="false">(Table1[[#This Row],[Object_A_._head_time]]/(Table1[[#This Row],[Object_A_._head_time]]+Table1[[#This Row],[Object_B_._head_time]]))</f>
        <v>0.455223880597015</v>
      </c>
      <c r="AY6" s="22" t="s">
        <v>64</v>
      </c>
      <c r="AZ6" s="22" t="s">
        <v>76</v>
      </c>
      <c r="BA6" s="18" t="s">
        <v>66</v>
      </c>
      <c r="BB6" s="18" t="n">
        <v>94</v>
      </c>
      <c r="BC6" s="16" t="n">
        <v>3.13333333333333</v>
      </c>
      <c r="BD6" s="18" t="s">
        <v>67</v>
      </c>
      <c r="BE6" s="23" t="n">
        <v>7</v>
      </c>
      <c r="BF6" s="18" t="s">
        <v>77</v>
      </c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24"/>
    </row>
    <row r="7" s="25" customFormat="true" ht="12" hidden="false" customHeight="true" outlineLevel="0" collapsed="false">
      <c r="A7" s="14" t="n">
        <v>52</v>
      </c>
      <c r="B7" s="15" t="s">
        <v>85</v>
      </c>
      <c r="C7" s="14" t="s">
        <v>59</v>
      </c>
      <c r="D7" s="14" t="s">
        <v>69</v>
      </c>
      <c r="E7" s="14" t="s">
        <v>61</v>
      </c>
      <c r="F7" s="14" t="s">
        <v>83</v>
      </c>
      <c r="G7" s="14" t="s">
        <v>86</v>
      </c>
      <c r="H7" s="16" t="n">
        <v>360</v>
      </c>
      <c r="I7" s="17" t="n">
        <v>11.999</v>
      </c>
      <c r="J7" s="17" t="n">
        <v>0.033</v>
      </c>
      <c r="K7" s="17" t="n">
        <v>0.289</v>
      </c>
      <c r="L7" s="16" t="n">
        <v>55.8</v>
      </c>
      <c r="M7" s="18" t="n">
        <v>20</v>
      </c>
      <c r="N7" s="16" t="n">
        <v>16.4</v>
      </c>
      <c r="O7" s="17" t="n">
        <v>1.432</v>
      </c>
      <c r="P7" s="17" t="n">
        <v>0.087</v>
      </c>
      <c r="Q7" s="17" t="n">
        <v>0.226</v>
      </c>
      <c r="R7" s="16" t="n">
        <v>2.4</v>
      </c>
      <c r="S7" s="18" t="n">
        <v>1436</v>
      </c>
      <c r="T7" s="16" t="n">
        <v>0</v>
      </c>
      <c r="U7" s="16" t="n">
        <v>3.7</v>
      </c>
      <c r="V7" s="18" t="n">
        <v>29</v>
      </c>
      <c r="W7" s="16" t="n">
        <v>51.2</v>
      </c>
      <c r="X7" s="17" t="n">
        <v>2.052</v>
      </c>
      <c r="Y7" s="17" t="n">
        <v>0.04</v>
      </c>
      <c r="Z7" s="17" t="n">
        <v>0.178</v>
      </c>
      <c r="AA7" s="16" t="n">
        <v>10.7</v>
      </c>
      <c r="AB7" s="18" t="n">
        <v>3760</v>
      </c>
      <c r="AC7" s="16" t="n">
        <v>1.3</v>
      </c>
      <c r="AD7" s="16" t="n">
        <v>8.9</v>
      </c>
      <c r="AE7" s="18" t="n">
        <v>21</v>
      </c>
      <c r="AF7" s="16" t="n">
        <v>34.3</v>
      </c>
      <c r="AG7" s="17" t="n">
        <v>2.528</v>
      </c>
      <c r="AH7" s="17" t="n">
        <v>0.074</v>
      </c>
      <c r="AI7" s="16" t="n">
        <v>0</v>
      </c>
      <c r="AJ7" s="18" t="n">
        <v>21</v>
      </c>
      <c r="AK7" s="16" t="n">
        <v>325.7</v>
      </c>
      <c r="AL7" s="17" t="n">
        <v>9.472</v>
      </c>
      <c r="AM7" s="17" t="n">
        <v>0.029</v>
      </c>
      <c r="AN7" s="16" t="n">
        <v>55.8</v>
      </c>
      <c r="AO7" s="19"/>
      <c r="AP7" s="19"/>
      <c r="AQ7" s="19"/>
      <c r="AR7" s="19"/>
      <c r="AS7" s="18" t="n">
        <f aca="false">Table1[[#This Row],[Object_A_._head_time]]+Table1[[#This Row],[Object_B_._head_time]]</f>
        <v>67.6</v>
      </c>
      <c r="AT7" s="20"/>
      <c r="AU7" s="20"/>
      <c r="AV7" s="21"/>
      <c r="AW7" s="20"/>
      <c r="AX7" s="19" t="n">
        <f aca="false">(Table1[[#This Row],[Object_A_._head_time]]/(Table1[[#This Row],[Object_A_._head_time]]+Table1[[#This Row],[Object_B_._head_time]]))</f>
        <v>0.242603550295858</v>
      </c>
      <c r="AY7" s="22" t="s">
        <v>71</v>
      </c>
      <c r="AZ7" s="22" t="s">
        <v>76</v>
      </c>
      <c r="BA7" s="18" t="s">
        <v>66</v>
      </c>
      <c r="BB7" s="18" t="n">
        <v>94</v>
      </c>
      <c r="BC7" s="16" t="n">
        <v>3.13333333333333</v>
      </c>
      <c r="BD7" s="18" t="s">
        <v>81</v>
      </c>
      <c r="BE7" s="23" t="n">
        <v>8</v>
      </c>
      <c r="BF7" s="18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24"/>
    </row>
    <row r="8" s="25" customFormat="true" ht="12" hidden="false" customHeight="true" outlineLevel="0" collapsed="false">
      <c r="A8" s="14" t="n">
        <v>53</v>
      </c>
      <c r="B8" s="15" t="s">
        <v>87</v>
      </c>
      <c r="C8" s="14" t="s">
        <v>59</v>
      </c>
      <c r="D8" s="14" t="s">
        <v>74</v>
      </c>
      <c r="E8" s="14" t="s">
        <v>61</v>
      </c>
      <c r="F8" s="14" t="s">
        <v>83</v>
      </c>
      <c r="G8" s="14" t="s">
        <v>88</v>
      </c>
      <c r="H8" s="16" t="n">
        <v>360</v>
      </c>
      <c r="I8" s="17" t="n">
        <v>6.935</v>
      </c>
      <c r="J8" s="17" t="n">
        <v>0.019</v>
      </c>
      <c r="K8" s="17" t="n">
        <v>0.234</v>
      </c>
      <c r="L8" s="16" t="n">
        <v>86.5</v>
      </c>
      <c r="M8" s="18" t="n">
        <v>16</v>
      </c>
      <c r="N8" s="16" t="n">
        <v>24.4</v>
      </c>
      <c r="O8" s="17" t="n">
        <v>1.002</v>
      </c>
      <c r="P8" s="17" t="n">
        <v>0.041</v>
      </c>
      <c r="Q8" s="17" t="n">
        <v>0.234</v>
      </c>
      <c r="R8" s="16" t="n">
        <v>9</v>
      </c>
      <c r="S8" s="18" t="n">
        <v>2011</v>
      </c>
      <c r="T8" s="16" t="n">
        <v>0</v>
      </c>
      <c r="U8" s="16" t="n">
        <v>5.4</v>
      </c>
      <c r="V8" s="18" t="n">
        <v>23</v>
      </c>
      <c r="W8" s="16" t="n">
        <v>43.4</v>
      </c>
      <c r="X8" s="17" t="n">
        <v>0.747</v>
      </c>
      <c r="Y8" s="17" t="n">
        <v>0.017</v>
      </c>
      <c r="Z8" s="17" t="n">
        <v>0.187</v>
      </c>
      <c r="AA8" s="16" t="n">
        <v>13.2</v>
      </c>
      <c r="AB8" s="18" t="n">
        <v>2051</v>
      </c>
      <c r="AC8" s="16" t="n">
        <v>10.8</v>
      </c>
      <c r="AD8" s="16" t="n">
        <v>18</v>
      </c>
      <c r="AE8" s="18" t="n">
        <v>10</v>
      </c>
      <c r="AF8" s="16" t="n">
        <v>48.2</v>
      </c>
      <c r="AG8" s="17" t="n">
        <v>1.588</v>
      </c>
      <c r="AH8" s="17" t="n">
        <v>0.033</v>
      </c>
      <c r="AI8" s="16" t="n">
        <v>10.4</v>
      </c>
      <c r="AJ8" s="18" t="n">
        <v>11</v>
      </c>
      <c r="AK8" s="16" t="n">
        <v>311.8</v>
      </c>
      <c r="AL8" s="17" t="n">
        <v>5.347</v>
      </c>
      <c r="AM8" s="17" t="n">
        <v>0.017</v>
      </c>
      <c r="AN8" s="16" t="n">
        <v>76.1</v>
      </c>
      <c r="AO8" s="19"/>
      <c r="AP8" s="19"/>
      <c r="AQ8" s="19"/>
      <c r="AR8" s="19"/>
      <c r="AS8" s="18" t="n">
        <f aca="false">Table1[[#This Row],[Object_A_._head_time]]+Table1[[#This Row],[Object_B_._head_time]]</f>
        <v>67.8</v>
      </c>
      <c r="AT8" s="20"/>
      <c r="AU8" s="20"/>
      <c r="AV8" s="21"/>
      <c r="AW8" s="20"/>
      <c r="AX8" s="19" t="n">
        <f aca="false">(Table1[[#This Row],[Object_A_._head_time]]/(Table1[[#This Row],[Object_A_._head_time]]+Table1[[#This Row],[Object_B_._head_time]]))</f>
        <v>0.359882005899705</v>
      </c>
      <c r="AY8" s="22" t="s">
        <v>71</v>
      </c>
      <c r="AZ8" s="22" t="s">
        <v>76</v>
      </c>
      <c r="BA8" s="18" t="s">
        <v>72</v>
      </c>
      <c r="BB8" s="18" t="n">
        <v>94</v>
      </c>
      <c r="BC8" s="16" t="n">
        <v>3.13333333333333</v>
      </c>
      <c r="BD8" s="18" t="s">
        <v>67</v>
      </c>
      <c r="BE8" s="23" t="n">
        <v>5</v>
      </c>
      <c r="BF8" s="18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24"/>
    </row>
    <row r="9" s="25" customFormat="true" ht="12" hidden="false" customHeight="true" outlineLevel="0" collapsed="false">
      <c r="A9" s="14" t="n">
        <v>54</v>
      </c>
      <c r="B9" s="15" t="s">
        <v>89</v>
      </c>
      <c r="C9" s="14" t="s">
        <v>59</v>
      </c>
      <c r="D9" s="14" t="s">
        <v>79</v>
      </c>
      <c r="E9" s="14" t="s">
        <v>61</v>
      </c>
      <c r="F9" s="14" t="s">
        <v>83</v>
      </c>
      <c r="G9" s="14" t="s">
        <v>90</v>
      </c>
      <c r="H9" s="16" t="n">
        <v>360</v>
      </c>
      <c r="I9" s="17" t="n">
        <v>4.989</v>
      </c>
      <c r="J9" s="17" t="n">
        <v>0.014</v>
      </c>
      <c r="K9" s="17" t="n">
        <v>0.185</v>
      </c>
      <c r="L9" s="16" t="n">
        <v>168.5</v>
      </c>
      <c r="M9" s="18" t="n">
        <v>5</v>
      </c>
      <c r="N9" s="16" t="n">
        <v>4.9</v>
      </c>
      <c r="O9" s="17" t="n">
        <v>0.36</v>
      </c>
      <c r="P9" s="17" t="n">
        <v>0.073</v>
      </c>
      <c r="Q9" s="17" t="n">
        <v>0.154</v>
      </c>
      <c r="R9" s="16" t="n">
        <v>1.1</v>
      </c>
      <c r="S9" s="18" t="n">
        <v>360</v>
      </c>
      <c r="T9" s="16" t="n">
        <v>0</v>
      </c>
      <c r="U9" s="16" t="n">
        <v>2.6</v>
      </c>
      <c r="V9" s="18" t="n">
        <v>16</v>
      </c>
      <c r="W9" s="16" t="n">
        <v>15.8</v>
      </c>
      <c r="X9" s="17" t="n">
        <v>0.687</v>
      </c>
      <c r="Y9" s="17" t="n">
        <v>0.044</v>
      </c>
      <c r="Z9" s="17" t="n">
        <v>0.108</v>
      </c>
      <c r="AA9" s="16" t="n">
        <v>3.2</v>
      </c>
      <c r="AB9" s="18" t="n">
        <v>1243</v>
      </c>
      <c r="AC9" s="16" t="n">
        <v>0</v>
      </c>
      <c r="AD9" s="16" t="n">
        <v>3.4</v>
      </c>
      <c r="AE9" s="18" t="n">
        <v>7</v>
      </c>
      <c r="AF9" s="16" t="n">
        <v>4.8</v>
      </c>
      <c r="AG9" s="17" t="n">
        <v>0.202</v>
      </c>
      <c r="AH9" s="17" t="n">
        <v>0.042</v>
      </c>
      <c r="AI9" s="16" t="n">
        <v>0</v>
      </c>
      <c r="AJ9" s="18" t="n">
        <v>8</v>
      </c>
      <c r="AK9" s="16" t="n">
        <v>355.2</v>
      </c>
      <c r="AL9" s="17" t="n">
        <v>4.788</v>
      </c>
      <c r="AM9" s="17" t="n">
        <v>0.013</v>
      </c>
      <c r="AN9" s="16" t="n">
        <v>168.5</v>
      </c>
      <c r="AO9" s="19"/>
      <c r="AP9" s="19"/>
      <c r="AQ9" s="19"/>
      <c r="AR9" s="19"/>
      <c r="AS9" s="18" t="n">
        <f aca="false">Table1[[#This Row],[Object_A_._head_time]]+Table1[[#This Row],[Object_B_._head_time]]</f>
        <v>20.7</v>
      </c>
      <c r="AT9" s="20"/>
      <c r="AU9" s="20"/>
      <c r="AV9" s="21"/>
      <c r="AW9" s="20"/>
      <c r="AX9" s="19" t="n">
        <f aca="false">(Table1[[#This Row],[Object_A_._head_time]]/(Table1[[#This Row],[Object_A_._head_time]]+Table1[[#This Row],[Object_B_._head_time]]))</f>
        <v>0.236714975845411</v>
      </c>
      <c r="AY9" s="22" t="s">
        <v>71</v>
      </c>
      <c r="AZ9" s="22" t="s">
        <v>76</v>
      </c>
      <c r="BA9" s="18" t="s">
        <v>66</v>
      </c>
      <c r="BB9" s="18" t="n">
        <v>94</v>
      </c>
      <c r="BC9" s="16" t="n">
        <v>3.13333333333333</v>
      </c>
      <c r="BD9" s="18" t="s">
        <v>81</v>
      </c>
      <c r="BE9" s="23" t="n">
        <v>8</v>
      </c>
      <c r="BF9" s="18" t="s">
        <v>91</v>
      </c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24"/>
    </row>
    <row r="10" s="25" customFormat="true" ht="12" hidden="false" customHeight="true" outlineLevel="0" collapsed="false">
      <c r="A10" s="14" t="n">
        <v>55</v>
      </c>
      <c r="B10" s="15" t="s">
        <v>92</v>
      </c>
      <c r="C10" s="14" t="s">
        <v>59</v>
      </c>
      <c r="D10" s="14" t="s">
        <v>60</v>
      </c>
      <c r="E10" s="14" t="s">
        <v>61</v>
      </c>
      <c r="F10" s="14" t="s">
        <v>93</v>
      </c>
      <c r="G10" s="14" t="s">
        <v>94</v>
      </c>
      <c r="H10" s="16" t="n">
        <v>360</v>
      </c>
      <c r="I10" s="17" t="n">
        <v>13.98</v>
      </c>
      <c r="J10" s="17" t="n">
        <v>0.039</v>
      </c>
      <c r="K10" s="17" t="n">
        <v>0.295</v>
      </c>
      <c r="L10" s="16" t="n">
        <v>5.1</v>
      </c>
      <c r="M10" s="18" t="n">
        <v>22</v>
      </c>
      <c r="N10" s="16" t="n">
        <v>30.9</v>
      </c>
      <c r="O10" s="17" t="n">
        <v>1.986</v>
      </c>
      <c r="P10" s="17" t="n">
        <v>0.064</v>
      </c>
      <c r="Q10" s="17" t="n">
        <v>0.295</v>
      </c>
      <c r="R10" s="16" t="n">
        <v>6</v>
      </c>
      <c r="S10" s="18" t="n">
        <v>2380</v>
      </c>
      <c r="T10" s="16" t="n">
        <v>0</v>
      </c>
      <c r="U10" s="16" t="n">
        <v>4.1</v>
      </c>
      <c r="V10" s="18" t="n">
        <v>27</v>
      </c>
      <c r="W10" s="16" t="n">
        <v>33.1</v>
      </c>
      <c r="X10" s="17" t="n">
        <v>1.58</v>
      </c>
      <c r="Y10" s="17" t="n">
        <v>0.048</v>
      </c>
      <c r="Z10" s="17" t="n">
        <v>0.2</v>
      </c>
      <c r="AA10" s="16" t="n">
        <v>12</v>
      </c>
      <c r="AB10" s="18" t="n">
        <v>2501</v>
      </c>
      <c r="AC10" s="16" t="n">
        <v>0</v>
      </c>
      <c r="AD10" s="16" t="n">
        <v>8.8</v>
      </c>
      <c r="AE10" s="18" t="n">
        <v>17</v>
      </c>
      <c r="AF10" s="16" t="n">
        <v>18.9</v>
      </c>
      <c r="AG10" s="17" t="n">
        <v>2.125</v>
      </c>
      <c r="AH10" s="17" t="n">
        <v>0.113</v>
      </c>
      <c r="AI10" s="16" t="n">
        <v>0</v>
      </c>
      <c r="AJ10" s="18" t="n">
        <v>18</v>
      </c>
      <c r="AK10" s="16" t="n">
        <v>341.1</v>
      </c>
      <c r="AL10" s="17" t="n">
        <v>11.854</v>
      </c>
      <c r="AM10" s="17" t="n">
        <v>0.035</v>
      </c>
      <c r="AN10" s="16" t="n">
        <v>5.1</v>
      </c>
      <c r="AO10" s="19"/>
      <c r="AP10" s="19"/>
      <c r="AQ10" s="19"/>
      <c r="AR10" s="19"/>
      <c r="AS10" s="18" t="n">
        <f aca="false">Table1[[#This Row],[Object_A_._head_time]]+Table1[[#This Row],[Object_B_._head_time]]</f>
        <v>64</v>
      </c>
      <c r="AT10" s="20"/>
      <c r="AU10" s="20"/>
      <c r="AV10" s="21"/>
      <c r="AW10" s="20"/>
      <c r="AX10" s="19" t="n">
        <f aca="false">(Table1[[#This Row],[Object_A_._head_time]]/(Table1[[#This Row],[Object_A_._head_time]]+Table1[[#This Row],[Object_B_._head_time]]))</f>
        <v>0.4828125</v>
      </c>
      <c r="AY10" s="22" t="s">
        <v>71</v>
      </c>
      <c r="AZ10" s="22" t="s">
        <v>76</v>
      </c>
      <c r="BA10" s="18" t="s">
        <v>66</v>
      </c>
      <c r="BB10" s="18" t="n">
        <v>94</v>
      </c>
      <c r="BC10" s="16" t="n">
        <v>3.13333333333333</v>
      </c>
      <c r="BD10" s="18" t="s">
        <v>67</v>
      </c>
      <c r="BE10" s="23" t="n">
        <v>7</v>
      </c>
      <c r="BF10" s="18" t="s">
        <v>95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24"/>
    </row>
    <row r="11" s="25" customFormat="true" ht="12" hidden="false" customHeight="true" outlineLevel="0" collapsed="false">
      <c r="A11" s="14" t="n">
        <v>57</v>
      </c>
      <c r="B11" s="15" t="s">
        <v>96</v>
      </c>
      <c r="C11" s="14" t="s">
        <v>59</v>
      </c>
      <c r="D11" s="14" t="s">
        <v>69</v>
      </c>
      <c r="E11" s="14" t="s">
        <v>61</v>
      </c>
      <c r="F11" s="14" t="s">
        <v>93</v>
      </c>
      <c r="G11" s="14" t="s">
        <v>97</v>
      </c>
      <c r="H11" s="16" t="n">
        <v>360</v>
      </c>
      <c r="I11" s="17" t="n">
        <v>20.044</v>
      </c>
      <c r="J11" s="17" t="n">
        <v>0.056</v>
      </c>
      <c r="K11" s="17" t="n">
        <v>0.256</v>
      </c>
      <c r="L11" s="16" t="n">
        <v>3.6</v>
      </c>
      <c r="M11" s="18" t="n">
        <v>30</v>
      </c>
      <c r="N11" s="16" t="n">
        <v>31.1</v>
      </c>
      <c r="O11" s="17" t="n">
        <v>2.339</v>
      </c>
      <c r="P11" s="17" t="n">
        <v>0.075</v>
      </c>
      <c r="Q11" s="17" t="n">
        <v>0.219</v>
      </c>
      <c r="R11" s="16" t="n">
        <v>6</v>
      </c>
      <c r="S11" s="18" t="n">
        <v>4279</v>
      </c>
      <c r="T11" s="16" t="n">
        <v>1.2</v>
      </c>
      <c r="U11" s="16" t="n">
        <v>3.1</v>
      </c>
      <c r="V11" s="18" t="n">
        <v>33</v>
      </c>
      <c r="W11" s="16" t="n">
        <v>70.6</v>
      </c>
      <c r="X11" s="17" t="n">
        <v>2.237</v>
      </c>
      <c r="Y11" s="17" t="n">
        <v>0.032</v>
      </c>
      <c r="Z11" s="17" t="n">
        <v>0.254</v>
      </c>
      <c r="AA11" s="16" t="n">
        <v>5.6</v>
      </c>
      <c r="AB11" s="18" t="n">
        <v>4873</v>
      </c>
      <c r="AC11" s="16" t="n">
        <v>0</v>
      </c>
      <c r="AD11" s="16" t="n">
        <v>2.9</v>
      </c>
      <c r="AE11" s="18" t="n">
        <v>27</v>
      </c>
      <c r="AF11" s="16" t="n">
        <v>32.8</v>
      </c>
      <c r="AG11" s="17" t="n">
        <v>4.583</v>
      </c>
      <c r="AH11" s="17" t="n">
        <v>0.14</v>
      </c>
      <c r="AI11" s="16" t="n">
        <v>0</v>
      </c>
      <c r="AJ11" s="18" t="n">
        <v>28</v>
      </c>
      <c r="AK11" s="16" t="n">
        <v>327.2</v>
      </c>
      <c r="AL11" s="17" t="n">
        <v>15.461</v>
      </c>
      <c r="AM11" s="17" t="n">
        <v>0.047</v>
      </c>
      <c r="AN11" s="16" t="n">
        <v>3.6</v>
      </c>
      <c r="AO11" s="19"/>
      <c r="AP11" s="19"/>
      <c r="AQ11" s="19"/>
      <c r="AR11" s="19"/>
      <c r="AS11" s="18" t="n">
        <f aca="false">Table1[[#This Row],[Object_A_._head_time]]+Table1[[#This Row],[Object_B_._head_time]]</f>
        <v>101.7</v>
      </c>
      <c r="AT11" s="20"/>
      <c r="AU11" s="20"/>
      <c r="AV11" s="21"/>
      <c r="AW11" s="20"/>
      <c r="AX11" s="19" t="n">
        <f aca="false">(Table1[[#This Row],[Object_A_._head_time]]/(Table1[[#This Row],[Object_A_._head_time]]+Table1[[#This Row],[Object_B_._head_time]]))</f>
        <v>0.305801376597837</v>
      </c>
      <c r="AY11" s="22" t="s">
        <v>71</v>
      </c>
      <c r="AZ11" s="22" t="s">
        <v>76</v>
      </c>
      <c r="BA11" s="18" t="s">
        <v>72</v>
      </c>
      <c r="BB11" s="18" t="n">
        <v>94</v>
      </c>
      <c r="BC11" s="16" t="n">
        <v>3.13333333333333</v>
      </c>
      <c r="BD11" s="18" t="s">
        <v>81</v>
      </c>
      <c r="BE11" s="23" t="n">
        <v>6</v>
      </c>
      <c r="BF11" s="18" t="s">
        <v>98</v>
      </c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24"/>
    </row>
    <row r="12" s="25" customFormat="true" ht="12" hidden="false" customHeight="true" outlineLevel="0" collapsed="false">
      <c r="A12" s="14" t="n">
        <v>56</v>
      </c>
      <c r="B12" s="15" t="s">
        <v>99</v>
      </c>
      <c r="C12" s="14" t="s">
        <v>59</v>
      </c>
      <c r="D12" s="14" t="s">
        <v>74</v>
      </c>
      <c r="E12" s="14" t="s">
        <v>61</v>
      </c>
      <c r="F12" s="14" t="s">
        <v>93</v>
      </c>
      <c r="G12" s="14" t="s">
        <v>100</v>
      </c>
      <c r="H12" s="16" t="n">
        <v>360</v>
      </c>
      <c r="I12" s="17" t="n">
        <v>9.424</v>
      </c>
      <c r="J12" s="17" t="n">
        <v>0.026</v>
      </c>
      <c r="K12" s="17" t="n">
        <v>0.271</v>
      </c>
      <c r="L12" s="16" t="n">
        <v>84.8</v>
      </c>
      <c r="M12" s="18" t="n">
        <v>11</v>
      </c>
      <c r="N12" s="16" t="n">
        <v>15.5</v>
      </c>
      <c r="O12" s="17" t="n">
        <v>0.481</v>
      </c>
      <c r="P12" s="17" t="n">
        <v>0.031</v>
      </c>
      <c r="Q12" s="17" t="n">
        <v>0.164</v>
      </c>
      <c r="R12" s="16" t="n">
        <v>11.1</v>
      </c>
      <c r="S12" s="18" t="n">
        <v>791</v>
      </c>
      <c r="T12" s="16" t="n">
        <v>0</v>
      </c>
      <c r="U12" s="16" t="n">
        <v>11.3</v>
      </c>
      <c r="V12" s="18" t="n">
        <v>11</v>
      </c>
      <c r="W12" s="16" t="n">
        <v>9.5</v>
      </c>
      <c r="X12" s="17" t="n">
        <v>0.267</v>
      </c>
      <c r="Y12" s="17" t="n">
        <v>0.028</v>
      </c>
      <c r="Z12" s="17" t="n">
        <v>0.168</v>
      </c>
      <c r="AA12" s="16" t="n">
        <v>5.9</v>
      </c>
      <c r="AB12" s="18" t="n">
        <v>683</v>
      </c>
      <c r="AC12" s="16" t="n">
        <v>0</v>
      </c>
      <c r="AD12" s="16" t="n">
        <v>7.6</v>
      </c>
      <c r="AE12" s="18" t="n">
        <v>8</v>
      </c>
      <c r="AF12" s="16" t="n">
        <v>10</v>
      </c>
      <c r="AG12" s="17" t="n">
        <v>0.926</v>
      </c>
      <c r="AH12" s="17" t="n">
        <v>0.093</v>
      </c>
      <c r="AI12" s="16" t="n">
        <v>0</v>
      </c>
      <c r="AJ12" s="18" t="n">
        <v>9</v>
      </c>
      <c r="AK12" s="16" t="n">
        <v>350</v>
      </c>
      <c r="AL12" s="17" t="n">
        <v>8.498</v>
      </c>
      <c r="AM12" s="17" t="n">
        <v>0.024</v>
      </c>
      <c r="AN12" s="16" t="n">
        <v>84.8</v>
      </c>
      <c r="AO12" s="19"/>
      <c r="AP12" s="19"/>
      <c r="AQ12" s="19"/>
      <c r="AR12" s="19"/>
      <c r="AS12" s="18" t="n">
        <f aca="false">Table1[[#This Row],[Object_A_._head_time]]+Table1[[#This Row],[Object_B_._head_time]]</f>
        <v>25</v>
      </c>
      <c r="AT12" s="20"/>
      <c r="AU12" s="20"/>
      <c r="AV12" s="21"/>
      <c r="AW12" s="20"/>
      <c r="AX12" s="19" t="n">
        <f aca="false">(Table1[[#This Row],[Object_A_._head_time]]/(Table1[[#This Row],[Object_A_._head_time]]+Table1[[#This Row],[Object_B_._head_time]]))</f>
        <v>0.62</v>
      </c>
      <c r="AY12" s="22" t="s">
        <v>71</v>
      </c>
      <c r="AZ12" s="22" t="s">
        <v>76</v>
      </c>
      <c r="BA12" s="18" t="s">
        <v>72</v>
      </c>
      <c r="BB12" s="18" t="n">
        <v>94</v>
      </c>
      <c r="BC12" s="16" t="n">
        <v>3.13333333333333</v>
      </c>
      <c r="BD12" s="18" t="s">
        <v>67</v>
      </c>
      <c r="BE12" s="23" t="n">
        <v>5</v>
      </c>
      <c r="BF12" s="18" t="s">
        <v>101</v>
      </c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24"/>
    </row>
    <row r="13" s="25" customFormat="true" ht="12" hidden="false" customHeight="true" outlineLevel="0" collapsed="false">
      <c r="A13" s="14" t="n">
        <v>58</v>
      </c>
      <c r="B13" s="15" t="s">
        <v>102</v>
      </c>
      <c r="C13" s="14" t="s">
        <v>59</v>
      </c>
      <c r="D13" s="14" t="s">
        <v>79</v>
      </c>
      <c r="E13" s="14" t="s">
        <v>61</v>
      </c>
      <c r="F13" s="14" t="s">
        <v>93</v>
      </c>
      <c r="G13" s="14" t="s">
        <v>103</v>
      </c>
      <c r="H13" s="16" t="n">
        <v>360</v>
      </c>
      <c r="I13" s="17" t="n">
        <v>1.089</v>
      </c>
      <c r="J13" s="17" t="n">
        <v>0.003</v>
      </c>
      <c r="K13" s="17" t="n">
        <v>0.064</v>
      </c>
      <c r="L13" s="16" t="n">
        <v>221.9</v>
      </c>
      <c r="M13" s="18" t="n">
        <v>0</v>
      </c>
      <c r="N13" s="16" t="n">
        <v>0</v>
      </c>
      <c r="O13" s="17" t="n">
        <v>0</v>
      </c>
      <c r="P13" s="17"/>
      <c r="Q13" s="17"/>
      <c r="R13" s="16" t="n">
        <v>0</v>
      </c>
      <c r="S13" s="18" t="n">
        <v>0</v>
      </c>
      <c r="T13" s="16" t="n">
        <v>0</v>
      </c>
      <c r="U13" s="16"/>
      <c r="V13" s="18" t="n">
        <v>0</v>
      </c>
      <c r="W13" s="16" t="n">
        <v>0</v>
      </c>
      <c r="X13" s="17" t="n">
        <v>0</v>
      </c>
      <c r="Y13" s="17"/>
      <c r="Z13" s="17"/>
      <c r="AA13" s="16" t="n">
        <v>0</v>
      </c>
      <c r="AB13" s="18" t="n">
        <v>0</v>
      </c>
      <c r="AC13" s="16" t="n">
        <v>0</v>
      </c>
      <c r="AD13" s="16"/>
      <c r="AE13" s="18" t="n">
        <v>0</v>
      </c>
      <c r="AF13" s="16" t="n">
        <v>0</v>
      </c>
      <c r="AG13" s="17" t="n">
        <v>0</v>
      </c>
      <c r="AH13" s="17"/>
      <c r="AI13" s="16" t="n">
        <v>0</v>
      </c>
      <c r="AJ13" s="18" t="n">
        <v>1</v>
      </c>
      <c r="AK13" s="16" t="n">
        <v>360</v>
      </c>
      <c r="AL13" s="17" t="n">
        <v>1.089</v>
      </c>
      <c r="AM13" s="17" t="n">
        <v>0.003</v>
      </c>
      <c r="AN13" s="16" t="n">
        <v>221.9</v>
      </c>
      <c r="AO13" s="19"/>
      <c r="AP13" s="19"/>
      <c r="AQ13" s="19"/>
      <c r="AR13" s="19"/>
      <c r="AS13" s="18" t="n">
        <f aca="false">Table1[[#This Row],[Object_A_._head_time]]+Table1[[#This Row],[Object_B_._head_time]]</f>
        <v>0</v>
      </c>
      <c r="AT13" s="20"/>
      <c r="AU13" s="20"/>
      <c r="AV13" s="21"/>
      <c r="AW13" s="20"/>
      <c r="AX13" s="26" t="e">
        <f aca="false">(Table1[[#This Row],[Object_A_._head_time]]/(Table1[[#This Row],[Object_A_._head_time]]+Table1[[#This Row],[Object_B_._head_time]]))</f>
        <v>#DIV/0!</v>
      </c>
      <c r="AY13" s="22" t="s">
        <v>71</v>
      </c>
      <c r="AZ13" s="22" t="s">
        <v>76</v>
      </c>
      <c r="BA13" s="18" t="s">
        <v>72</v>
      </c>
      <c r="BB13" s="18" t="n">
        <v>94</v>
      </c>
      <c r="BC13" s="16" t="n">
        <v>3.13333333333333</v>
      </c>
      <c r="BD13" s="18" t="s">
        <v>81</v>
      </c>
      <c r="BE13" s="23" t="n">
        <v>6</v>
      </c>
      <c r="BF13" s="18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24"/>
    </row>
    <row r="14" s="37" customFormat="true" ht="12" hidden="false" customHeight="true" outlineLevel="0" collapsed="false">
      <c r="A14" s="27" t="n">
        <v>60</v>
      </c>
      <c r="B14" s="28" t="s">
        <v>104</v>
      </c>
      <c r="C14" s="27" t="s">
        <v>59</v>
      </c>
      <c r="D14" s="27" t="s">
        <v>60</v>
      </c>
      <c r="E14" s="27" t="s">
        <v>61</v>
      </c>
      <c r="F14" s="27" t="s">
        <v>105</v>
      </c>
      <c r="G14" s="27" t="s">
        <v>106</v>
      </c>
      <c r="H14" s="29" t="n">
        <v>360</v>
      </c>
      <c r="I14" s="30" t="n">
        <v>20.514</v>
      </c>
      <c r="J14" s="30" t="n">
        <v>0.057</v>
      </c>
      <c r="K14" s="30" t="n">
        <v>0.274</v>
      </c>
      <c r="L14" s="29" t="n">
        <v>2.7</v>
      </c>
      <c r="M14" s="31" t="n">
        <v>19</v>
      </c>
      <c r="N14" s="29" t="n">
        <v>25.3</v>
      </c>
      <c r="O14" s="30" t="n">
        <v>1.426</v>
      </c>
      <c r="P14" s="30" t="n">
        <v>0.056</v>
      </c>
      <c r="Q14" s="30" t="n">
        <v>0.263</v>
      </c>
      <c r="R14" s="29" t="n">
        <v>9.6</v>
      </c>
      <c r="S14" s="31" t="n">
        <v>1786</v>
      </c>
      <c r="T14" s="29" t="n">
        <v>0</v>
      </c>
      <c r="U14" s="29" t="n">
        <v>10</v>
      </c>
      <c r="V14" s="31" t="n">
        <v>28</v>
      </c>
      <c r="W14" s="29" t="n">
        <v>37.8</v>
      </c>
      <c r="X14" s="30" t="n">
        <v>2.424</v>
      </c>
      <c r="Y14" s="30" t="n">
        <v>0.064</v>
      </c>
      <c r="Z14" s="30" t="n">
        <v>0.269</v>
      </c>
      <c r="AA14" s="29" t="n">
        <v>10</v>
      </c>
      <c r="AB14" s="31" t="n">
        <v>3019</v>
      </c>
      <c r="AC14" s="29" t="n">
        <v>0</v>
      </c>
      <c r="AD14" s="29" t="n">
        <v>10.7</v>
      </c>
      <c r="AE14" s="31" t="n">
        <v>32</v>
      </c>
      <c r="AF14" s="29" t="n">
        <v>33</v>
      </c>
      <c r="AG14" s="30" t="n">
        <v>3.735</v>
      </c>
      <c r="AH14" s="30" t="n">
        <v>0.113</v>
      </c>
      <c r="AI14" s="29" t="n">
        <v>0</v>
      </c>
      <c r="AJ14" s="31" t="n">
        <v>33</v>
      </c>
      <c r="AK14" s="29" t="n">
        <v>327</v>
      </c>
      <c r="AL14" s="30" t="n">
        <v>16.779</v>
      </c>
      <c r="AM14" s="30" t="n">
        <v>0.051</v>
      </c>
      <c r="AN14" s="29" t="n">
        <v>2.7</v>
      </c>
      <c r="AO14" s="26"/>
      <c r="AP14" s="26"/>
      <c r="AQ14" s="26"/>
      <c r="AR14" s="26"/>
      <c r="AS14" s="18" t="n">
        <f aca="false">Table1[[#This Row],[Object_A_._head_time]]+Table1[[#This Row],[Object_B_._head_time]]</f>
        <v>63.1</v>
      </c>
      <c r="AT14" s="31"/>
      <c r="AU14" s="31"/>
      <c r="AV14" s="29"/>
      <c r="AW14" s="31"/>
      <c r="AX14" s="19" t="n">
        <f aca="false">(Table1[[#This Row],[Object_A_._head_time]]/(Table1[[#This Row],[Object_A_._head_time]]+Table1[[#This Row],[Object_B_._head_time]]))</f>
        <v>0.40095087163233</v>
      </c>
      <c r="AY14" s="32" t="s">
        <v>64</v>
      </c>
      <c r="AZ14" s="32" t="s">
        <v>65</v>
      </c>
      <c r="BA14" s="32" t="s">
        <v>72</v>
      </c>
      <c r="BB14" s="32" t="n">
        <v>93</v>
      </c>
      <c r="BC14" s="33" t="n">
        <v>3.1</v>
      </c>
      <c r="BD14" s="31"/>
      <c r="BE14" s="34"/>
      <c r="BF14" s="31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6"/>
    </row>
    <row r="15" s="25" customFormat="true" ht="12" hidden="false" customHeight="true" outlineLevel="0" collapsed="false">
      <c r="A15" s="14" t="n">
        <v>61</v>
      </c>
      <c r="B15" s="15" t="s">
        <v>107</v>
      </c>
      <c r="C15" s="14" t="s">
        <v>59</v>
      </c>
      <c r="D15" s="14" t="s">
        <v>69</v>
      </c>
      <c r="E15" s="14" t="s">
        <v>61</v>
      </c>
      <c r="F15" s="14" t="s">
        <v>105</v>
      </c>
      <c r="G15" s="14" t="s">
        <v>108</v>
      </c>
      <c r="H15" s="16" t="n">
        <v>360</v>
      </c>
      <c r="I15" s="17" t="n">
        <v>13.905</v>
      </c>
      <c r="J15" s="17" t="n">
        <v>0.039</v>
      </c>
      <c r="K15" s="17" t="n">
        <v>0.244</v>
      </c>
      <c r="L15" s="16" t="n">
        <v>12.7</v>
      </c>
      <c r="M15" s="18" t="n">
        <v>20</v>
      </c>
      <c r="N15" s="16" t="n">
        <v>34.8</v>
      </c>
      <c r="O15" s="17" t="n">
        <v>1.813</v>
      </c>
      <c r="P15" s="17" t="n">
        <v>0.052</v>
      </c>
      <c r="Q15" s="17" t="n">
        <v>0.223</v>
      </c>
      <c r="R15" s="16" t="n">
        <v>9.6</v>
      </c>
      <c r="S15" s="18" t="n">
        <v>2262</v>
      </c>
      <c r="T15" s="16" t="n">
        <v>0</v>
      </c>
      <c r="U15" s="16" t="n">
        <v>4.3</v>
      </c>
      <c r="V15" s="18" t="n">
        <v>34</v>
      </c>
      <c r="W15" s="16" t="n">
        <v>47.8</v>
      </c>
      <c r="X15" s="17" t="n">
        <v>2.183</v>
      </c>
      <c r="Y15" s="17" t="n">
        <v>0.046</v>
      </c>
      <c r="Z15" s="17" t="n">
        <v>0.174</v>
      </c>
      <c r="AA15" s="16" t="n">
        <v>11.8</v>
      </c>
      <c r="AB15" s="18" t="n">
        <v>3500</v>
      </c>
      <c r="AC15" s="16" t="n">
        <v>0</v>
      </c>
      <c r="AD15" s="16" t="n">
        <v>8.1</v>
      </c>
      <c r="AE15" s="18" t="n">
        <v>23</v>
      </c>
      <c r="AF15" s="16" t="n">
        <v>56.4</v>
      </c>
      <c r="AG15" s="17" t="n">
        <v>3.396</v>
      </c>
      <c r="AH15" s="17" t="n">
        <v>0.06</v>
      </c>
      <c r="AI15" s="16" t="n">
        <v>0</v>
      </c>
      <c r="AJ15" s="18" t="n">
        <v>24</v>
      </c>
      <c r="AK15" s="16" t="n">
        <v>303.6</v>
      </c>
      <c r="AL15" s="17" t="n">
        <v>10.509</v>
      </c>
      <c r="AM15" s="17" t="n">
        <v>0.035</v>
      </c>
      <c r="AN15" s="16" t="n">
        <v>12.7</v>
      </c>
      <c r="AO15" s="19"/>
      <c r="AP15" s="19"/>
      <c r="AQ15" s="19"/>
      <c r="AR15" s="19"/>
      <c r="AS15" s="18" t="n">
        <f aca="false">Table1[[#This Row],[Object_A_._head_time]]+Table1[[#This Row],[Object_B_._head_time]]</f>
        <v>82.6</v>
      </c>
      <c r="AT15" s="20"/>
      <c r="AU15" s="20"/>
      <c r="AV15" s="21"/>
      <c r="AW15" s="20"/>
      <c r="AX15" s="19" t="n">
        <f aca="false">(Table1[[#This Row],[Object_A_._head_time]]/(Table1[[#This Row],[Object_A_._head_time]]+Table1[[#This Row],[Object_B_._head_time]]))</f>
        <v>0.421307506053269</v>
      </c>
      <c r="AY15" s="14" t="s">
        <v>64</v>
      </c>
      <c r="AZ15" s="14" t="s">
        <v>65</v>
      </c>
      <c r="BA15" s="18" t="s">
        <v>66</v>
      </c>
      <c r="BB15" s="18" t="n">
        <v>86</v>
      </c>
      <c r="BC15" s="18" t="n">
        <v>2.86666666666667</v>
      </c>
      <c r="BD15" s="18" t="s">
        <v>81</v>
      </c>
      <c r="BE15" s="23" t="n">
        <v>4</v>
      </c>
      <c r="BF15" s="18" t="s">
        <v>109</v>
      </c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24"/>
    </row>
    <row r="16" s="25" customFormat="true" ht="12" hidden="false" customHeight="true" outlineLevel="0" collapsed="false">
      <c r="A16" s="14" t="n">
        <v>62</v>
      </c>
      <c r="B16" s="15" t="s">
        <v>110</v>
      </c>
      <c r="C16" s="14" t="s">
        <v>59</v>
      </c>
      <c r="D16" s="14" t="s">
        <v>74</v>
      </c>
      <c r="E16" s="14" t="s">
        <v>61</v>
      </c>
      <c r="F16" s="14" t="s">
        <v>105</v>
      </c>
      <c r="G16" s="14" t="s">
        <v>111</v>
      </c>
      <c r="H16" s="16" t="n">
        <v>360</v>
      </c>
      <c r="I16" s="17" t="n">
        <v>9.823</v>
      </c>
      <c r="J16" s="17" t="n">
        <v>0.027</v>
      </c>
      <c r="K16" s="17" t="n">
        <v>0.272</v>
      </c>
      <c r="L16" s="16" t="n">
        <v>104.2</v>
      </c>
      <c r="M16" s="18" t="n">
        <v>15</v>
      </c>
      <c r="N16" s="16" t="n">
        <v>23.4</v>
      </c>
      <c r="O16" s="17" t="n">
        <v>1.233</v>
      </c>
      <c r="P16" s="17" t="n">
        <v>0.053</v>
      </c>
      <c r="Q16" s="17" t="n">
        <v>0.211</v>
      </c>
      <c r="R16" s="16" t="n">
        <v>7.6</v>
      </c>
      <c r="S16" s="18" t="n">
        <v>1866</v>
      </c>
      <c r="T16" s="16" t="n">
        <v>0</v>
      </c>
      <c r="U16" s="16" t="n">
        <v>4.9</v>
      </c>
      <c r="V16" s="18" t="n">
        <v>11</v>
      </c>
      <c r="W16" s="16" t="n">
        <v>21</v>
      </c>
      <c r="X16" s="17" t="n">
        <v>0.842</v>
      </c>
      <c r="Y16" s="17" t="n">
        <v>0.04</v>
      </c>
      <c r="Z16" s="17" t="n">
        <v>0.203</v>
      </c>
      <c r="AA16" s="16" t="n">
        <v>7.2</v>
      </c>
      <c r="AB16" s="18" t="n">
        <v>1701</v>
      </c>
      <c r="AC16" s="16" t="n">
        <v>0</v>
      </c>
      <c r="AD16" s="16" t="n">
        <v>4.2</v>
      </c>
      <c r="AE16" s="18" t="n">
        <v>8</v>
      </c>
      <c r="AF16" s="16" t="n">
        <v>11.7</v>
      </c>
      <c r="AG16" s="17" t="n">
        <v>0.984</v>
      </c>
      <c r="AH16" s="17" t="n">
        <v>0.084</v>
      </c>
      <c r="AI16" s="16" t="n">
        <v>0</v>
      </c>
      <c r="AJ16" s="18" t="n">
        <v>9</v>
      </c>
      <c r="AK16" s="16" t="n">
        <v>348.3</v>
      </c>
      <c r="AL16" s="17" t="n">
        <v>8.838</v>
      </c>
      <c r="AM16" s="17" t="n">
        <v>0.025</v>
      </c>
      <c r="AN16" s="16" t="n">
        <v>104.2</v>
      </c>
      <c r="AO16" s="19"/>
      <c r="AP16" s="19"/>
      <c r="AQ16" s="19"/>
      <c r="AR16" s="19"/>
      <c r="AS16" s="18" t="n">
        <f aca="false">Table1[[#This Row],[Object_A_._head_time]]+Table1[[#This Row],[Object_B_._head_time]]</f>
        <v>44.4</v>
      </c>
      <c r="AT16" s="20"/>
      <c r="AU16" s="20"/>
      <c r="AV16" s="21"/>
      <c r="AW16" s="20"/>
      <c r="AX16" s="19" t="n">
        <f aca="false">(Table1[[#This Row],[Object_A_._head_time]]/(Table1[[#This Row],[Object_A_._head_time]]+Table1[[#This Row],[Object_B_._head_time]]))</f>
        <v>0.527027027027027</v>
      </c>
      <c r="AY16" s="14" t="s">
        <v>71</v>
      </c>
      <c r="AZ16" s="14" t="s">
        <v>65</v>
      </c>
      <c r="BA16" s="18" t="s">
        <v>72</v>
      </c>
      <c r="BB16" s="18" t="n">
        <v>86</v>
      </c>
      <c r="BC16" s="18" t="n">
        <v>2.86666666666667</v>
      </c>
      <c r="BD16" s="18" t="s">
        <v>67</v>
      </c>
      <c r="BE16" s="23" t="n">
        <v>1</v>
      </c>
      <c r="BF16" s="18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24"/>
    </row>
    <row r="17" s="25" customFormat="true" ht="12" hidden="false" customHeight="true" outlineLevel="0" collapsed="false">
      <c r="A17" s="14" t="n">
        <v>59</v>
      </c>
      <c r="B17" s="15" t="s">
        <v>112</v>
      </c>
      <c r="C17" s="14" t="s">
        <v>59</v>
      </c>
      <c r="D17" s="14" t="s">
        <v>79</v>
      </c>
      <c r="E17" s="14" t="s">
        <v>61</v>
      </c>
      <c r="F17" s="14" t="s">
        <v>105</v>
      </c>
      <c r="G17" s="14" t="s">
        <v>113</v>
      </c>
      <c r="H17" s="16" t="n">
        <v>360</v>
      </c>
      <c r="I17" s="17" t="n">
        <v>35.411</v>
      </c>
      <c r="J17" s="17" t="n">
        <v>0.098</v>
      </c>
      <c r="K17" s="17" t="n">
        <v>0.305</v>
      </c>
      <c r="L17" s="16" t="n">
        <v>6.1</v>
      </c>
      <c r="M17" s="18" t="n">
        <v>43</v>
      </c>
      <c r="N17" s="16" t="n">
        <v>32.1</v>
      </c>
      <c r="O17" s="17" t="n">
        <v>4.122</v>
      </c>
      <c r="P17" s="17" t="n">
        <v>0.128</v>
      </c>
      <c r="Q17" s="17" t="n">
        <v>0.275</v>
      </c>
      <c r="R17" s="16" t="n">
        <v>10</v>
      </c>
      <c r="S17" s="18" t="n">
        <v>4139</v>
      </c>
      <c r="T17" s="16" t="n">
        <v>0</v>
      </c>
      <c r="U17" s="16" t="n">
        <v>6.4</v>
      </c>
      <c r="V17" s="18" t="n">
        <v>50</v>
      </c>
      <c r="W17" s="16" t="n">
        <v>57</v>
      </c>
      <c r="X17" s="17" t="n">
        <v>4.435</v>
      </c>
      <c r="Y17" s="17" t="n">
        <v>0.078</v>
      </c>
      <c r="Z17" s="17" t="n">
        <v>0.29</v>
      </c>
      <c r="AA17" s="16" t="n">
        <v>30.5</v>
      </c>
      <c r="AB17" s="18" t="n">
        <v>4437</v>
      </c>
      <c r="AC17" s="16" t="n">
        <v>2.9</v>
      </c>
      <c r="AD17" s="16" t="n">
        <v>21.8</v>
      </c>
      <c r="AE17" s="18" t="n">
        <v>36</v>
      </c>
      <c r="AF17" s="16" t="n">
        <v>32.7</v>
      </c>
      <c r="AG17" s="17" t="n">
        <v>4.933</v>
      </c>
      <c r="AH17" s="17" t="n">
        <v>0.151</v>
      </c>
      <c r="AI17" s="16" t="n">
        <v>0</v>
      </c>
      <c r="AJ17" s="18" t="n">
        <v>37</v>
      </c>
      <c r="AK17" s="16" t="n">
        <v>327.3</v>
      </c>
      <c r="AL17" s="17" t="n">
        <v>30.478</v>
      </c>
      <c r="AM17" s="17" t="n">
        <v>0.093</v>
      </c>
      <c r="AN17" s="16" t="n">
        <v>6.1</v>
      </c>
      <c r="AO17" s="19"/>
      <c r="AP17" s="19"/>
      <c r="AQ17" s="19"/>
      <c r="AR17" s="19"/>
      <c r="AS17" s="18" t="n">
        <f aca="false">Table1[[#This Row],[Object_A_._head_time]]+Table1[[#This Row],[Object_B_._head_time]]</f>
        <v>89.1</v>
      </c>
      <c r="AT17" s="20"/>
      <c r="AU17" s="20"/>
      <c r="AV17" s="21"/>
      <c r="AW17" s="20"/>
      <c r="AX17" s="19" t="n">
        <f aca="false">(Table1[[#This Row],[Object_A_._head_time]]/(Table1[[#This Row],[Object_A_._head_time]]+Table1[[#This Row],[Object_B_._head_time]]))</f>
        <v>0.36026936026936</v>
      </c>
      <c r="AY17" s="14" t="s">
        <v>71</v>
      </c>
      <c r="AZ17" s="14" t="s">
        <v>76</v>
      </c>
      <c r="BA17" s="18" t="s">
        <v>66</v>
      </c>
      <c r="BB17" s="18" t="n">
        <v>86</v>
      </c>
      <c r="BC17" s="18" t="n">
        <v>2.86666666666667</v>
      </c>
      <c r="BD17" s="18" t="s">
        <v>67</v>
      </c>
      <c r="BE17" s="23" t="n">
        <v>7</v>
      </c>
      <c r="BF17" s="18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24"/>
    </row>
    <row r="18" s="25" customFormat="true" ht="12" hidden="false" customHeight="true" outlineLevel="0" collapsed="false">
      <c r="A18" s="14" t="n">
        <v>63</v>
      </c>
      <c r="B18" s="15" t="s">
        <v>114</v>
      </c>
      <c r="C18" s="14" t="s">
        <v>59</v>
      </c>
      <c r="D18" s="14" t="s">
        <v>60</v>
      </c>
      <c r="E18" s="14" t="s">
        <v>61</v>
      </c>
      <c r="F18" s="14" t="s">
        <v>115</v>
      </c>
      <c r="G18" s="14" t="s">
        <v>116</v>
      </c>
      <c r="H18" s="16" t="n">
        <v>360</v>
      </c>
      <c r="I18" s="17" t="n">
        <v>5.521</v>
      </c>
      <c r="J18" s="17" t="n">
        <v>0.015</v>
      </c>
      <c r="K18" s="17" t="n">
        <v>0.256</v>
      </c>
      <c r="L18" s="16" t="n">
        <v>116.8</v>
      </c>
      <c r="M18" s="18" t="n">
        <v>3</v>
      </c>
      <c r="N18" s="16" t="n">
        <v>2</v>
      </c>
      <c r="O18" s="17" t="n">
        <v>0</v>
      </c>
      <c r="P18" s="17" t="n">
        <v>0</v>
      </c>
      <c r="Q18" s="17" t="n">
        <v>0.045</v>
      </c>
      <c r="R18" s="16" t="n">
        <v>1.7</v>
      </c>
      <c r="S18" s="18" t="n">
        <v>126</v>
      </c>
      <c r="T18" s="16" t="n">
        <v>0</v>
      </c>
      <c r="U18" s="16" t="n">
        <v>1.5</v>
      </c>
      <c r="V18" s="18" t="n">
        <v>9</v>
      </c>
      <c r="W18" s="16" t="n">
        <v>6.4</v>
      </c>
      <c r="X18" s="17" t="n">
        <v>0.108</v>
      </c>
      <c r="Y18" s="17" t="n">
        <v>0.017</v>
      </c>
      <c r="Z18" s="17" t="n">
        <v>0.129</v>
      </c>
      <c r="AA18" s="16" t="n">
        <v>4.4</v>
      </c>
      <c r="AB18" s="18" t="n">
        <v>398</v>
      </c>
      <c r="AC18" s="16" t="n">
        <v>0</v>
      </c>
      <c r="AD18" s="16" t="n">
        <v>6.4</v>
      </c>
      <c r="AE18" s="18" t="n">
        <v>0</v>
      </c>
      <c r="AF18" s="16" t="n">
        <v>0</v>
      </c>
      <c r="AG18" s="17" t="n">
        <v>0</v>
      </c>
      <c r="AH18" s="17"/>
      <c r="AI18" s="16" t="n">
        <v>0</v>
      </c>
      <c r="AJ18" s="18" t="n">
        <v>1</v>
      </c>
      <c r="AK18" s="16" t="n">
        <v>360</v>
      </c>
      <c r="AL18" s="17" t="n">
        <v>5.521</v>
      </c>
      <c r="AM18" s="17" t="n">
        <v>0.015</v>
      </c>
      <c r="AN18" s="16" t="n">
        <v>116.8</v>
      </c>
      <c r="AO18" s="19"/>
      <c r="AP18" s="19"/>
      <c r="AQ18" s="19"/>
      <c r="AR18" s="19"/>
      <c r="AS18" s="18" t="n">
        <f aca="false">Table1[[#This Row],[Object_A_._head_time]]+Table1[[#This Row],[Object_B_._head_time]]</f>
        <v>8.4</v>
      </c>
      <c r="AT18" s="20"/>
      <c r="AU18" s="20"/>
      <c r="AV18" s="21"/>
      <c r="AW18" s="20"/>
      <c r="AX18" s="19" t="n">
        <f aca="false">(Table1[[#This Row],[Object_A_._head_time]]/(Table1[[#This Row],[Object_A_._head_time]]+Table1[[#This Row],[Object_B_._head_time]]))</f>
        <v>0.238095238095238</v>
      </c>
      <c r="AY18" s="14" t="s">
        <v>71</v>
      </c>
      <c r="AZ18" s="14" t="s">
        <v>65</v>
      </c>
      <c r="BA18" s="18" t="s">
        <v>66</v>
      </c>
      <c r="BB18" s="18" t="n">
        <v>86</v>
      </c>
      <c r="BC18" s="18" t="n">
        <v>2.86666666666667</v>
      </c>
      <c r="BD18" s="18" t="s">
        <v>67</v>
      </c>
      <c r="BE18" s="23" t="n">
        <v>3</v>
      </c>
      <c r="BF18" s="18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24"/>
    </row>
    <row r="19" s="25" customFormat="true" ht="12" hidden="false" customHeight="true" outlineLevel="0" collapsed="false">
      <c r="A19" s="14" t="n">
        <v>64</v>
      </c>
      <c r="B19" s="15" t="s">
        <v>117</v>
      </c>
      <c r="C19" s="14" t="s">
        <v>59</v>
      </c>
      <c r="D19" s="14" t="s">
        <v>69</v>
      </c>
      <c r="E19" s="14" t="s">
        <v>61</v>
      </c>
      <c r="F19" s="14" t="s">
        <v>115</v>
      </c>
      <c r="G19" s="14" t="s">
        <v>118</v>
      </c>
      <c r="H19" s="16" t="n">
        <v>360</v>
      </c>
      <c r="I19" s="17" t="n">
        <v>19.612</v>
      </c>
      <c r="J19" s="17" t="n">
        <v>0.054</v>
      </c>
      <c r="K19" s="17" t="n">
        <v>0.296</v>
      </c>
      <c r="L19" s="16" t="n">
        <v>3</v>
      </c>
      <c r="M19" s="18" t="n">
        <v>39</v>
      </c>
      <c r="N19" s="16" t="n">
        <v>56</v>
      </c>
      <c r="O19" s="17" t="n">
        <v>3.419</v>
      </c>
      <c r="P19" s="17" t="n">
        <v>0.061</v>
      </c>
      <c r="Q19" s="17" t="n">
        <v>0.279</v>
      </c>
      <c r="R19" s="16" t="n">
        <v>8.9</v>
      </c>
      <c r="S19" s="18" t="n">
        <v>5072</v>
      </c>
      <c r="T19" s="16" t="n">
        <v>0</v>
      </c>
      <c r="U19" s="16" t="n">
        <v>4.8</v>
      </c>
      <c r="V19" s="18" t="n">
        <v>29</v>
      </c>
      <c r="W19" s="16" t="n">
        <v>74.9</v>
      </c>
      <c r="X19" s="17" t="n">
        <v>3.703</v>
      </c>
      <c r="Y19" s="17" t="n">
        <v>0.049</v>
      </c>
      <c r="Z19" s="17" t="n">
        <v>0.296</v>
      </c>
      <c r="AA19" s="16" t="n">
        <v>10.4</v>
      </c>
      <c r="AB19" s="18" t="n">
        <v>5829</v>
      </c>
      <c r="AC19" s="16" t="n">
        <v>0</v>
      </c>
      <c r="AD19" s="16" t="n">
        <v>9.6</v>
      </c>
      <c r="AE19" s="18" t="n">
        <v>43</v>
      </c>
      <c r="AF19" s="16" t="n">
        <v>63.1</v>
      </c>
      <c r="AG19" s="17" t="n">
        <v>5.829</v>
      </c>
      <c r="AH19" s="17" t="n">
        <v>0.092</v>
      </c>
      <c r="AI19" s="16" t="n">
        <v>0</v>
      </c>
      <c r="AJ19" s="18" t="n">
        <v>44</v>
      </c>
      <c r="AK19" s="16" t="n">
        <v>296.9</v>
      </c>
      <c r="AL19" s="17" t="n">
        <v>13.783</v>
      </c>
      <c r="AM19" s="17" t="n">
        <v>0.046</v>
      </c>
      <c r="AN19" s="16" t="n">
        <v>3</v>
      </c>
      <c r="AO19" s="19"/>
      <c r="AP19" s="19"/>
      <c r="AQ19" s="19"/>
      <c r="AR19" s="19"/>
      <c r="AS19" s="18" t="n">
        <f aca="false">Table1[[#This Row],[Object_A_._head_time]]+Table1[[#This Row],[Object_B_._head_time]]</f>
        <v>130.9</v>
      </c>
      <c r="AT19" s="20"/>
      <c r="AU19" s="20"/>
      <c r="AV19" s="21"/>
      <c r="AW19" s="20"/>
      <c r="AX19" s="19" t="n">
        <f aca="false">(Table1[[#This Row],[Object_A_._head_time]]/(Table1[[#This Row],[Object_A_._head_time]]+Table1[[#This Row],[Object_B_._head_time]]))</f>
        <v>0.427807486631016</v>
      </c>
      <c r="AY19" s="14" t="s">
        <v>64</v>
      </c>
      <c r="AZ19" s="14" t="s">
        <v>65</v>
      </c>
      <c r="BA19" s="18" t="s">
        <v>66</v>
      </c>
      <c r="BB19" s="18" t="n">
        <v>76</v>
      </c>
      <c r="BC19" s="18" t="n">
        <v>2.53333333333333</v>
      </c>
      <c r="BD19" s="18" t="s">
        <v>67</v>
      </c>
      <c r="BE19" s="23" t="n">
        <v>3</v>
      </c>
      <c r="BF19" s="18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24"/>
    </row>
    <row r="20" s="25" customFormat="true" ht="12" hidden="false" customHeight="true" outlineLevel="0" collapsed="false">
      <c r="A20" s="14" t="n">
        <v>65</v>
      </c>
      <c r="B20" s="15" t="s">
        <v>119</v>
      </c>
      <c r="C20" s="14" t="s">
        <v>59</v>
      </c>
      <c r="D20" s="14" t="s">
        <v>74</v>
      </c>
      <c r="E20" s="14" t="s">
        <v>61</v>
      </c>
      <c r="F20" s="14" t="s">
        <v>115</v>
      </c>
      <c r="G20" s="14" t="s">
        <v>120</v>
      </c>
      <c r="H20" s="16" t="n">
        <v>360</v>
      </c>
      <c r="I20" s="17" t="n">
        <v>12.22</v>
      </c>
      <c r="J20" s="17" t="n">
        <v>0.034</v>
      </c>
      <c r="K20" s="17" t="n">
        <v>0.259</v>
      </c>
      <c r="L20" s="16" t="n">
        <v>34.5</v>
      </c>
      <c r="M20" s="18" t="n">
        <v>17</v>
      </c>
      <c r="N20" s="16" t="n">
        <v>31.1</v>
      </c>
      <c r="O20" s="17" t="n">
        <v>1.238</v>
      </c>
      <c r="P20" s="17" t="n">
        <v>0.04</v>
      </c>
      <c r="Q20" s="17" t="n">
        <v>0.199</v>
      </c>
      <c r="R20" s="16" t="n">
        <v>4.2</v>
      </c>
      <c r="S20" s="18" t="n">
        <v>1638</v>
      </c>
      <c r="T20" s="16" t="n">
        <v>1.1</v>
      </c>
      <c r="U20" s="16" t="n">
        <v>5</v>
      </c>
      <c r="V20" s="18" t="n">
        <v>30</v>
      </c>
      <c r="W20" s="16" t="n">
        <v>38.6</v>
      </c>
      <c r="X20" s="17" t="n">
        <v>1.802</v>
      </c>
      <c r="Y20" s="17" t="n">
        <v>0.047</v>
      </c>
      <c r="Z20" s="17" t="n">
        <v>0.199</v>
      </c>
      <c r="AA20" s="16" t="n">
        <v>12.5</v>
      </c>
      <c r="AB20" s="18" t="n">
        <v>2532</v>
      </c>
      <c r="AC20" s="16" t="n">
        <v>0.7</v>
      </c>
      <c r="AD20" s="16" t="n">
        <v>12.4</v>
      </c>
      <c r="AE20" s="18" t="n">
        <v>18</v>
      </c>
      <c r="AF20" s="16" t="n">
        <v>24.6</v>
      </c>
      <c r="AG20" s="17" t="n">
        <v>2.143</v>
      </c>
      <c r="AH20" s="17" t="n">
        <v>0.087</v>
      </c>
      <c r="AI20" s="16" t="n">
        <v>0</v>
      </c>
      <c r="AJ20" s="18" t="n">
        <v>18</v>
      </c>
      <c r="AK20" s="16" t="n">
        <v>335.4</v>
      </c>
      <c r="AL20" s="17" t="n">
        <v>10.078</v>
      </c>
      <c r="AM20" s="17" t="n">
        <v>0.03</v>
      </c>
      <c r="AN20" s="16" t="n">
        <v>34.5</v>
      </c>
      <c r="AO20" s="19"/>
      <c r="AP20" s="19"/>
      <c r="AQ20" s="19"/>
      <c r="AR20" s="19"/>
      <c r="AS20" s="18" t="n">
        <f aca="false">Table1[[#This Row],[Object_A_._head_time]]+Table1[[#This Row],[Object_B_._head_time]]</f>
        <v>69.7</v>
      </c>
      <c r="AT20" s="20"/>
      <c r="AU20" s="20"/>
      <c r="AV20" s="21"/>
      <c r="AW20" s="20"/>
      <c r="AX20" s="19" t="n">
        <f aca="false">(Table1[[#This Row],[Object_A_._head_time]]/(Table1[[#This Row],[Object_A_._head_time]]+Table1[[#This Row],[Object_B_._head_time]]))</f>
        <v>0.446197991391679</v>
      </c>
      <c r="AY20" s="14" t="s">
        <v>64</v>
      </c>
      <c r="AZ20" s="14" t="s">
        <v>76</v>
      </c>
      <c r="BA20" s="18" t="s">
        <v>66</v>
      </c>
      <c r="BB20" s="18" t="n">
        <v>76</v>
      </c>
      <c r="BC20" s="18" t="n">
        <v>2.53333333333333</v>
      </c>
      <c r="BD20" s="18" t="s">
        <v>81</v>
      </c>
      <c r="BE20" s="23" t="n">
        <v>8</v>
      </c>
      <c r="BF20" s="18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24"/>
    </row>
    <row r="21" s="25" customFormat="true" ht="12" hidden="false" customHeight="true" outlineLevel="0" collapsed="false">
      <c r="A21" s="14" t="n">
        <v>66</v>
      </c>
      <c r="B21" s="15" t="s">
        <v>121</v>
      </c>
      <c r="C21" s="14" t="s">
        <v>59</v>
      </c>
      <c r="D21" s="14" t="s">
        <v>79</v>
      </c>
      <c r="E21" s="14" t="s">
        <v>61</v>
      </c>
      <c r="F21" s="14" t="s">
        <v>115</v>
      </c>
      <c r="G21" s="14" t="s">
        <v>122</v>
      </c>
      <c r="H21" s="16" t="n">
        <v>360</v>
      </c>
      <c r="I21" s="17" t="n">
        <v>15.667</v>
      </c>
      <c r="J21" s="17" t="n">
        <v>0.044</v>
      </c>
      <c r="K21" s="17" t="n">
        <v>0.296</v>
      </c>
      <c r="L21" s="16" t="n">
        <v>37.5</v>
      </c>
      <c r="M21" s="18" t="n">
        <v>18</v>
      </c>
      <c r="N21" s="16" t="n">
        <v>15.4</v>
      </c>
      <c r="O21" s="17" t="n">
        <v>0.924</v>
      </c>
      <c r="P21" s="17" t="n">
        <v>0.06</v>
      </c>
      <c r="Q21" s="17" t="n">
        <v>0.257</v>
      </c>
      <c r="R21" s="16" t="n">
        <v>8.9</v>
      </c>
      <c r="S21" s="18" t="n">
        <v>1222</v>
      </c>
      <c r="T21" s="16" t="n">
        <v>0</v>
      </c>
      <c r="U21" s="16" t="n">
        <v>9.7</v>
      </c>
      <c r="V21" s="18" t="n">
        <v>37</v>
      </c>
      <c r="W21" s="16" t="n">
        <v>30.9</v>
      </c>
      <c r="X21" s="17" t="n">
        <v>1.499</v>
      </c>
      <c r="Y21" s="17" t="n">
        <v>0.048</v>
      </c>
      <c r="Z21" s="17" t="n">
        <v>0.191</v>
      </c>
      <c r="AA21" s="16" t="n">
        <v>12.6</v>
      </c>
      <c r="AB21" s="18" t="n">
        <v>2762</v>
      </c>
      <c r="AC21" s="16" t="n">
        <v>0.7</v>
      </c>
      <c r="AD21" s="16" t="n">
        <v>18.3</v>
      </c>
      <c r="AE21" s="18" t="n">
        <v>9</v>
      </c>
      <c r="AF21" s="16" t="n">
        <v>12.7</v>
      </c>
      <c r="AG21" s="17" t="n">
        <v>1.671</v>
      </c>
      <c r="AH21" s="17" t="n">
        <v>0.132</v>
      </c>
      <c r="AI21" s="16" t="n">
        <v>0</v>
      </c>
      <c r="AJ21" s="18" t="n">
        <v>10</v>
      </c>
      <c r="AK21" s="16" t="n">
        <v>347.3</v>
      </c>
      <c r="AL21" s="17" t="n">
        <v>13.996</v>
      </c>
      <c r="AM21" s="17" t="n">
        <v>0.04</v>
      </c>
      <c r="AN21" s="16" t="n">
        <v>37.5</v>
      </c>
      <c r="AO21" s="19"/>
      <c r="AP21" s="19"/>
      <c r="AQ21" s="19"/>
      <c r="AR21" s="19"/>
      <c r="AS21" s="18" t="n">
        <f aca="false">Table1[[#This Row],[Object_A_._head_time]]+Table1[[#This Row],[Object_B_._head_time]]</f>
        <v>46.3</v>
      </c>
      <c r="AT21" s="20"/>
      <c r="AU21" s="20"/>
      <c r="AV21" s="21"/>
      <c r="AW21" s="20"/>
      <c r="AX21" s="19" t="n">
        <f aca="false">(Table1[[#This Row],[Object_A_._head_time]]/(Table1[[#This Row],[Object_A_._head_time]]+Table1[[#This Row],[Object_B_._head_time]]))</f>
        <v>0.332613390928726</v>
      </c>
      <c r="AY21" s="14" t="s">
        <v>71</v>
      </c>
      <c r="AZ21" s="14" t="s">
        <v>65</v>
      </c>
      <c r="BA21" s="18" t="s">
        <v>66</v>
      </c>
      <c r="BB21" s="18" t="n">
        <v>76</v>
      </c>
      <c r="BC21" s="18" t="n">
        <v>2.53333333333333</v>
      </c>
      <c r="BD21" s="18" t="s">
        <v>67</v>
      </c>
      <c r="BE21" s="23" t="n">
        <v>3</v>
      </c>
      <c r="BF21" s="18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24"/>
    </row>
    <row r="22" s="25" customFormat="true" ht="12" hidden="false" customHeight="true" outlineLevel="0" collapsed="false">
      <c r="A22" s="14" t="n">
        <v>67</v>
      </c>
      <c r="B22" s="15" t="s">
        <v>123</v>
      </c>
      <c r="C22" s="14" t="s">
        <v>59</v>
      </c>
      <c r="D22" s="14" t="s">
        <v>60</v>
      </c>
      <c r="E22" s="14" t="s">
        <v>61</v>
      </c>
      <c r="F22" s="14" t="s">
        <v>124</v>
      </c>
      <c r="G22" s="14" t="s">
        <v>125</v>
      </c>
      <c r="H22" s="16" t="n">
        <v>360</v>
      </c>
      <c r="I22" s="17" t="n">
        <v>17.592</v>
      </c>
      <c r="J22" s="17" t="n">
        <v>0.049</v>
      </c>
      <c r="K22" s="17" t="n">
        <v>0.321</v>
      </c>
      <c r="L22" s="16" t="n">
        <v>7.7</v>
      </c>
      <c r="M22" s="18" t="n">
        <v>18</v>
      </c>
      <c r="N22" s="16" t="n">
        <v>12.3</v>
      </c>
      <c r="O22" s="17" t="n">
        <v>0.471</v>
      </c>
      <c r="P22" s="17" t="n">
        <v>0.038</v>
      </c>
      <c r="Q22" s="17" t="n">
        <v>0.2</v>
      </c>
      <c r="R22" s="16" t="n">
        <v>7.5</v>
      </c>
      <c r="S22" s="18" t="n">
        <v>897</v>
      </c>
      <c r="T22" s="16" t="n">
        <v>0</v>
      </c>
      <c r="U22" s="16" t="n">
        <v>11.6</v>
      </c>
      <c r="V22" s="18" t="n">
        <v>16</v>
      </c>
      <c r="W22" s="16" t="n">
        <v>11.5</v>
      </c>
      <c r="X22" s="17" t="n">
        <v>0.517</v>
      </c>
      <c r="Y22" s="17" t="n">
        <v>0.045</v>
      </c>
      <c r="Z22" s="17" t="n">
        <v>0.184</v>
      </c>
      <c r="AA22" s="16" t="n">
        <v>6.6</v>
      </c>
      <c r="AB22" s="18" t="n">
        <v>735</v>
      </c>
      <c r="AC22" s="16" t="n">
        <v>0</v>
      </c>
      <c r="AD22" s="16" t="n">
        <v>11.5</v>
      </c>
      <c r="AE22" s="18" t="n">
        <v>2</v>
      </c>
      <c r="AF22" s="16" t="n">
        <v>2.4</v>
      </c>
      <c r="AG22" s="17" t="n">
        <v>0.324</v>
      </c>
      <c r="AH22" s="17" t="n">
        <v>0.132</v>
      </c>
      <c r="AI22" s="16" t="n">
        <v>0</v>
      </c>
      <c r="AJ22" s="18" t="n">
        <v>3</v>
      </c>
      <c r="AK22" s="16" t="n">
        <v>357.6</v>
      </c>
      <c r="AL22" s="17" t="n">
        <v>17.267</v>
      </c>
      <c r="AM22" s="17" t="n">
        <v>0.048</v>
      </c>
      <c r="AN22" s="16" t="n">
        <v>7.7</v>
      </c>
      <c r="AO22" s="19"/>
      <c r="AP22" s="19"/>
      <c r="AQ22" s="19"/>
      <c r="AR22" s="19"/>
      <c r="AS22" s="18" t="n">
        <f aca="false">Table1[[#This Row],[Object_A_._head_time]]+Table1[[#This Row],[Object_B_._head_time]]</f>
        <v>23.8</v>
      </c>
      <c r="AT22" s="20"/>
      <c r="AU22" s="20"/>
      <c r="AV22" s="21"/>
      <c r="AW22" s="20"/>
      <c r="AX22" s="19" t="n">
        <f aca="false">(Table1[[#This Row],[Object_A_._head_time]]/(Table1[[#This Row],[Object_A_._head_time]]+Table1[[#This Row],[Object_B_._head_time]]))</f>
        <v>0.516806722689076</v>
      </c>
      <c r="AY22" s="14" t="s">
        <v>71</v>
      </c>
      <c r="AZ22" s="14" t="s">
        <v>76</v>
      </c>
      <c r="BA22" s="18" t="s">
        <v>72</v>
      </c>
      <c r="BB22" s="18" t="n">
        <v>76</v>
      </c>
      <c r="BC22" s="18" t="n">
        <v>2.53333333333333</v>
      </c>
      <c r="BD22" s="18" t="s">
        <v>67</v>
      </c>
      <c r="BE22" s="23" t="n">
        <v>5</v>
      </c>
      <c r="BF22" s="18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24"/>
    </row>
    <row r="23" s="37" customFormat="true" ht="12" hidden="false" customHeight="true" outlineLevel="0" collapsed="false">
      <c r="A23" s="27" t="n">
        <v>68</v>
      </c>
      <c r="B23" s="28" t="s">
        <v>126</v>
      </c>
      <c r="C23" s="27" t="s">
        <v>59</v>
      </c>
      <c r="D23" s="27" t="s">
        <v>69</v>
      </c>
      <c r="E23" s="27" t="s">
        <v>61</v>
      </c>
      <c r="F23" s="27" t="s">
        <v>124</v>
      </c>
      <c r="G23" s="27" t="s">
        <v>127</v>
      </c>
      <c r="H23" s="29" t="n">
        <v>360</v>
      </c>
      <c r="I23" s="30" t="n">
        <v>14.509</v>
      </c>
      <c r="J23" s="30" t="n">
        <v>0.04</v>
      </c>
      <c r="K23" s="30" t="n">
        <v>0.274</v>
      </c>
      <c r="L23" s="29" t="n">
        <v>50.2</v>
      </c>
      <c r="M23" s="31" t="n">
        <v>29</v>
      </c>
      <c r="N23" s="29" t="n">
        <v>60.6</v>
      </c>
      <c r="O23" s="30" t="n">
        <v>1.157</v>
      </c>
      <c r="P23" s="30" t="n">
        <v>0.019</v>
      </c>
      <c r="Q23" s="30" t="n">
        <v>0.197</v>
      </c>
      <c r="R23" s="29" t="n">
        <v>32.4</v>
      </c>
      <c r="S23" s="31" t="n">
        <v>1823</v>
      </c>
      <c r="T23" s="29" t="n">
        <v>27.5</v>
      </c>
      <c r="U23" s="29" t="n">
        <v>55.1</v>
      </c>
      <c r="V23" s="31" t="n">
        <v>19</v>
      </c>
      <c r="W23" s="29" t="n">
        <v>14.4</v>
      </c>
      <c r="X23" s="30" t="n">
        <v>0.759</v>
      </c>
      <c r="Y23" s="30" t="n">
        <v>0.053</v>
      </c>
      <c r="Z23" s="30" t="n">
        <v>0.215</v>
      </c>
      <c r="AA23" s="29" t="n">
        <v>8</v>
      </c>
      <c r="AB23" s="31" t="n">
        <v>1018</v>
      </c>
      <c r="AC23" s="29" t="n">
        <v>0</v>
      </c>
      <c r="AD23" s="29" t="n">
        <v>10.8</v>
      </c>
      <c r="AE23" s="31" t="n">
        <v>8</v>
      </c>
      <c r="AF23" s="29" t="n">
        <v>13</v>
      </c>
      <c r="AG23" s="30" t="n">
        <v>1.279</v>
      </c>
      <c r="AH23" s="30" t="n">
        <v>0.098</v>
      </c>
      <c r="AI23" s="29" t="n">
        <v>0</v>
      </c>
      <c r="AJ23" s="31" t="n">
        <v>9</v>
      </c>
      <c r="AK23" s="29" t="n">
        <v>347</v>
      </c>
      <c r="AL23" s="30" t="n">
        <v>13.23</v>
      </c>
      <c r="AM23" s="30" t="n">
        <v>0.038</v>
      </c>
      <c r="AN23" s="29" t="n">
        <v>50.2</v>
      </c>
      <c r="AO23" s="26"/>
      <c r="AP23" s="26"/>
      <c r="AQ23" s="26"/>
      <c r="AR23" s="26"/>
      <c r="AS23" s="18" t="n">
        <f aca="false">Table1[[#This Row],[Object_A_._head_time]]+Table1[[#This Row],[Object_B_._head_time]]</f>
        <v>75</v>
      </c>
      <c r="AT23" s="31"/>
      <c r="AU23" s="31"/>
      <c r="AV23" s="29"/>
      <c r="AW23" s="31"/>
      <c r="AX23" s="26" t="n">
        <f aca="false">(Table1[[#This Row],[Object_A_._head_time]]/(Table1[[#This Row],[Object_A_._head_time]]+Table1[[#This Row],[Object_B_._head_time]]))</f>
        <v>0.808</v>
      </c>
      <c r="AY23" s="27" t="s">
        <v>71</v>
      </c>
      <c r="AZ23" s="27" t="s">
        <v>65</v>
      </c>
      <c r="BA23" s="27" t="s">
        <v>72</v>
      </c>
      <c r="BB23" s="27" t="n">
        <v>81</v>
      </c>
      <c r="BC23" s="29" t="n">
        <v>2.7</v>
      </c>
      <c r="BD23" s="31"/>
      <c r="BE23" s="34"/>
      <c r="BF23" s="31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6"/>
    </row>
    <row r="24" s="25" customFormat="true" ht="12" hidden="false" customHeight="true" outlineLevel="0" collapsed="false">
      <c r="A24" s="14" t="n">
        <v>69</v>
      </c>
      <c r="B24" s="15" t="s">
        <v>128</v>
      </c>
      <c r="C24" s="14" t="s">
        <v>59</v>
      </c>
      <c r="D24" s="14" t="s">
        <v>74</v>
      </c>
      <c r="E24" s="14" t="s">
        <v>61</v>
      </c>
      <c r="F24" s="14" t="s">
        <v>124</v>
      </c>
      <c r="G24" s="14" t="s">
        <v>129</v>
      </c>
      <c r="H24" s="16" t="n">
        <v>360</v>
      </c>
      <c r="I24" s="17" t="n">
        <v>13.062</v>
      </c>
      <c r="J24" s="17" t="n">
        <v>0.036</v>
      </c>
      <c r="K24" s="17" t="n">
        <v>0.211</v>
      </c>
      <c r="L24" s="16" t="n">
        <v>27.1</v>
      </c>
      <c r="M24" s="18" t="n">
        <v>17</v>
      </c>
      <c r="N24" s="16" t="n">
        <v>42.1</v>
      </c>
      <c r="O24" s="17" t="n">
        <v>1.447</v>
      </c>
      <c r="P24" s="17" t="n">
        <v>0.034</v>
      </c>
      <c r="Q24" s="17" t="n">
        <v>0.177</v>
      </c>
      <c r="R24" s="16" t="n">
        <v>9</v>
      </c>
      <c r="S24" s="18" t="n">
        <v>2700</v>
      </c>
      <c r="T24" s="16" t="n">
        <v>0</v>
      </c>
      <c r="U24" s="16" t="n">
        <v>6.1</v>
      </c>
      <c r="V24" s="18" t="n">
        <v>28</v>
      </c>
      <c r="W24" s="16" t="n">
        <v>57.7</v>
      </c>
      <c r="X24" s="17" t="n">
        <v>2.366</v>
      </c>
      <c r="Y24" s="17" t="n">
        <v>0.041</v>
      </c>
      <c r="Z24" s="17" t="n">
        <v>0.196</v>
      </c>
      <c r="AA24" s="16" t="n">
        <v>20</v>
      </c>
      <c r="AB24" s="18" t="n">
        <v>3748</v>
      </c>
      <c r="AC24" s="16" t="n">
        <v>0</v>
      </c>
      <c r="AD24" s="16" t="n">
        <v>17.8</v>
      </c>
      <c r="AE24" s="18" t="n">
        <v>20</v>
      </c>
      <c r="AF24" s="16" t="n">
        <v>46.1</v>
      </c>
      <c r="AG24" s="17" t="n">
        <v>3.165</v>
      </c>
      <c r="AH24" s="17" t="n">
        <v>0.069</v>
      </c>
      <c r="AI24" s="16" t="n">
        <v>0</v>
      </c>
      <c r="AJ24" s="18" t="n">
        <v>21</v>
      </c>
      <c r="AK24" s="16" t="n">
        <v>313.9</v>
      </c>
      <c r="AL24" s="17" t="n">
        <v>9.897</v>
      </c>
      <c r="AM24" s="17" t="n">
        <v>0.032</v>
      </c>
      <c r="AN24" s="16" t="n">
        <v>27.1</v>
      </c>
      <c r="AO24" s="19"/>
      <c r="AP24" s="19"/>
      <c r="AQ24" s="19"/>
      <c r="AR24" s="19"/>
      <c r="AS24" s="18" t="n">
        <f aca="false">Table1[[#This Row],[Object_A_._head_time]]+Table1[[#This Row],[Object_B_._head_time]]</f>
        <v>99.8</v>
      </c>
      <c r="AT24" s="20"/>
      <c r="AU24" s="20"/>
      <c r="AV24" s="21"/>
      <c r="AW24" s="20"/>
      <c r="AX24" s="19" t="n">
        <f aca="false">(Table1[[#This Row],[Object_A_._head_time]]/(Table1[[#This Row],[Object_A_._head_time]]+Table1[[#This Row],[Object_B_._head_time]]))</f>
        <v>0.421843687374749</v>
      </c>
      <c r="AY24" s="14" t="s">
        <v>64</v>
      </c>
      <c r="AZ24" s="14" t="s">
        <v>76</v>
      </c>
      <c r="BA24" s="18" t="s">
        <v>72</v>
      </c>
      <c r="BB24" s="18" t="n">
        <v>68</v>
      </c>
      <c r="BC24" s="18" t="n">
        <v>2.26666666666667</v>
      </c>
      <c r="BD24" s="18" t="s">
        <v>81</v>
      </c>
      <c r="BE24" s="23" t="n">
        <v>6</v>
      </c>
      <c r="BF24" s="18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24"/>
    </row>
    <row r="25" s="25" customFormat="true" ht="12" hidden="false" customHeight="true" outlineLevel="0" collapsed="false">
      <c r="A25" s="14" t="n">
        <v>70</v>
      </c>
      <c r="B25" s="15" t="s">
        <v>130</v>
      </c>
      <c r="C25" s="14" t="s">
        <v>59</v>
      </c>
      <c r="D25" s="14" t="s">
        <v>79</v>
      </c>
      <c r="E25" s="14" t="s">
        <v>61</v>
      </c>
      <c r="F25" s="14" t="s">
        <v>124</v>
      </c>
      <c r="G25" s="14" t="s">
        <v>131</v>
      </c>
      <c r="H25" s="16" t="n">
        <v>360</v>
      </c>
      <c r="I25" s="17" t="n">
        <v>19.473</v>
      </c>
      <c r="J25" s="17" t="n">
        <v>0.054</v>
      </c>
      <c r="K25" s="17" t="n">
        <v>0.317</v>
      </c>
      <c r="L25" s="16" t="n">
        <v>14.7</v>
      </c>
      <c r="M25" s="18" t="n">
        <v>21</v>
      </c>
      <c r="N25" s="16" t="n">
        <v>23</v>
      </c>
      <c r="O25" s="17" t="n">
        <v>1.558</v>
      </c>
      <c r="P25" s="17" t="n">
        <v>0.068</v>
      </c>
      <c r="Q25" s="17" t="n">
        <v>0.255</v>
      </c>
      <c r="R25" s="16" t="n">
        <v>8.9</v>
      </c>
      <c r="S25" s="18" t="n">
        <v>2159</v>
      </c>
      <c r="T25" s="16" t="n">
        <v>0</v>
      </c>
      <c r="U25" s="16" t="n">
        <v>4.3</v>
      </c>
      <c r="V25" s="18" t="n">
        <v>27</v>
      </c>
      <c r="W25" s="16" t="n">
        <v>34.4</v>
      </c>
      <c r="X25" s="17" t="n">
        <v>2.279</v>
      </c>
      <c r="Y25" s="17" t="n">
        <v>0.066</v>
      </c>
      <c r="Z25" s="17" t="n">
        <v>0.237</v>
      </c>
      <c r="AA25" s="16" t="n">
        <v>13.3</v>
      </c>
      <c r="AB25" s="18" t="n">
        <v>2661</v>
      </c>
      <c r="AC25" s="16" t="n">
        <v>0</v>
      </c>
      <c r="AD25" s="16" t="n">
        <v>9.2</v>
      </c>
      <c r="AE25" s="18" t="n">
        <v>34</v>
      </c>
      <c r="AF25" s="16" t="n">
        <v>60.2</v>
      </c>
      <c r="AG25" s="17" t="n">
        <v>3.555</v>
      </c>
      <c r="AH25" s="17" t="n">
        <v>0.059</v>
      </c>
      <c r="AI25" s="16" t="n">
        <v>3.3</v>
      </c>
      <c r="AJ25" s="18" t="n">
        <v>35</v>
      </c>
      <c r="AK25" s="16" t="n">
        <v>299.8</v>
      </c>
      <c r="AL25" s="17" t="n">
        <v>15.917</v>
      </c>
      <c r="AM25" s="17" t="n">
        <v>0.053</v>
      </c>
      <c r="AN25" s="16" t="n">
        <v>11.3</v>
      </c>
      <c r="AO25" s="19"/>
      <c r="AP25" s="19"/>
      <c r="AQ25" s="19"/>
      <c r="AR25" s="19"/>
      <c r="AS25" s="18" t="n">
        <f aca="false">Table1[[#This Row],[Object_A_._head_time]]+Table1[[#This Row],[Object_B_._head_time]]</f>
        <v>57.4</v>
      </c>
      <c r="AT25" s="20"/>
      <c r="AU25" s="20"/>
      <c r="AV25" s="21"/>
      <c r="AW25" s="20"/>
      <c r="AX25" s="19" t="n">
        <f aca="false">(Table1[[#This Row],[Object_A_._head_time]]/(Table1[[#This Row],[Object_A_._head_time]]+Table1[[#This Row],[Object_B_._head_time]]))</f>
        <v>0.400696864111498</v>
      </c>
      <c r="AY25" s="14" t="s">
        <v>64</v>
      </c>
      <c r="AZ25" s="14" t="s">
        <v>76</v>
      </c>
      <c r="BA25" s="18" t="s">
        <v>72</v>
      </c>
      <c r="BB25" s="18" t="n">
        <v>68</v>
      </c>
      <c r="BC25" s="18" t="n">
        <v>2.26666666666667</v>
      </c>
      <c r="BD25" s="18" t="s">
        <v>67</v>
      </c>
      <c r="BE25" s="23" t="n">
        <v>5</v>
      </c>
      <c r="BF25" s="18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24"/>
    </row>
    <row r="26" s="37" customFormat="true" ht="12" hidden="false" customHeight="true" outlineLevel="0" collapsed="false">
      <c r="A26" s="27" t="n">
        <v>71</v>
      </c>
      <c r="B26" s="28" t="s">
        <v>132</v>
      </c>
      <c r="C26" s="27" t="s">
        <v>59</v>
      </c>
      <c r="D26" s="27" t="s">
        <v>60</v>
      </c>
      <c r="E26" s="27" t="s">
        <v>61</v>
      </c>
      <c r="F26" s="27" t="s">
        <v>133</v>
      </c>
      <c r="G26" s="27" t="s">
        <v>134</v>
      </c>
      <c r="H26" s="29" t="n">
        <v>360</v>
      </c>
      <c r="I26" s="30" t="n">
        <v>5.606</v>
      </c>
      <c r="J26" s="30" t="n">
        <v>0.016</v>
      </c>
      <c r="K26" s="30" t="n">
        <v>0.226</v>
      </c>
      <c r="L26" s="29" t="n">
        <v>65.9</v>
      </c>
      <c r="M26" s="31" t="n">
        <v>10</v>
      </c>
      <c r="N26" s="29" t="n">
        <v>8.1</v>
      </c>
      <c r="O26" s="30" t="n">
        <v>0.493</v>
      </c>
      <c r="P26" s="30" t="n">
        <v>0.061</v>
      </c>
      <c r="Q26" s="30" t="n">
        <v>0.167</v>
      </c>
      <c r="R26" s="29" t="n">
        <v>2.9</v>
      </c>
      <c r="S26" s="31" t="n">
        <v>420</v>
      </c>
      <c r="T26" s="29" t="n">
        <v>0</v>
      </c>
      <c r="U26" s="29" t="n">
        <v>6.7</v>
      </c>
      <c r="V26" s="31" t="n">
        <v>28</v>
      </c>
      <c r="W26" s="29" t="n">
        <v>52</v>
      </c>
      <c r="X26" s="30" t="n">
        <v>0.619</v>
      </c>
      <c r="Y26" s="30" t="n">
        <v>0.012</v>
      </c>
      <c r="Z26" s="30" t="n">
        <v>0.226</v>
      </c>
      <c r="AA26" s="29" t="n">
        <v>24.5</v>
      </c>
      <c r="AB26" s="31" t="n">
        <v>3835</v>
      </c>
      <c r="AC26" s="29" t="n">
        <v>2.3</v>
      </c>
      <c r="AD26" s="29" t="n">
        <v>35.4</v>
      </c>
      <c r="AE26" s="31" t="n">
        <v>5</v>
      </c>
      <c r="AF26" s="29" t="n">
        <v>8</v>
      </c>
      <c r="AG26" s="30" t="n">
        <v>0.619</v>
      </c>
      <c r="AH26" s="30" t="n">
        <v>0.077</v>
      </c>
      <c r="AI26" s="29" t="n">
        <v>0</v>
      </c>
      <c r="AJ26" s="31" t="n">
        <v>6</v>
      </c>
      <c r="AK26" s="29" t="n">
        <v>352</v>
      </c>
      <c r="AL26" s="30" t="n">
        <v>4.987</v>
      </c>
      <c r="AM26" s="30" t="n">
        <v>0.014</v>
      </c>
      <c r="AN26" s="29" t="n">
        <v>65.9</v>
      </c>
      <c r="AO26" s="26"/>
      <c r="AP26" s="26"/>
      <c r="AQ26" s="26"/>
      <c r="AR26" s="26"/>
      <c r="AS26" s="18" t="n">
        <f aca="false">Table1[[#This Row],[Object_A_._head_time]]+Table1[[#This Row],[Object_B_._head_time]]</f>
        <v>60.1</v>
      </c>
      <c r="AT26" s="31"/>
      <c r="AU26" s="31"/>
      <c r="AV26" s="29"/>
      <c r="AW26" s="31"/>
      <c r="AX26" s="26" t="n">
        <f aca="false">(Table1[[#This Row],[Object_A_._head_time]]/(Table1[[#This Row],[Object_A_._head_time]]+Table1[[#This Row],[Object_B_._head_time]]))</f>
        <v>0.13477537437604</v>
      </c>
      <c r="AY26" s="27" t="s">
        <v>64</v>
      </c>
      <c r="AZ26" s="27" t="s">
        <v>76</v>
      </c>
      <c r="BA26" s="27" t="s">
        <v>66</v>
      </c>
      <c r="BB26" s="27" t="n">
        <v>73</v>
      </c>
      <c r="BC26" s="29" t="n">
        <v>2.43333333333333</v>
      </c>
      <c r="BD26" s="31"/>
      <c r="BE26" s="34"/>
      <c r="BF26" s="31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6"/>
    </row>
    <row r="27" s="25" customFormat="true" ht="12" hidden="false" customHeight="true" outlineLevel="0" collapsed="false">
      <c r="A27" s="14" t="n">
        <v>72</v>
      </c>
      <c r="B27" s="15" t="s">
        <v>135</v>
      </c>
      <c r="C27" s="14" t="s">
        <v>59</v>
      </c>
      <c r="D27" s="14" t="s">
        <v>69</v>
      </c>
      <c r="E27" s="14" t="s">
        <v>61</v>
      </c>
      <c r="F27" s="14" t="s">
        <v>133</v>
      </c>
      <c r="G27" s="14" t="s">
        <v>136</v>
      </c>
      <c r="H27" s="16" t="n">
        <v>360</v>
      </c>
      <c r="I27" s="17" t="n">
        <v>18.953</v>
      </c>
      <c r="J27" s="17" t="n">
        <v>0.053</v>
      </c>
      <c r="K27" s="17" t="n">
        <v>0.264</v>
      </c>
      <c r="L27" s="16" t="n">
        <v>9.7</v>
      </c>
      <c r="M27" s="18" t="n">
        <v>34</v>
      </c>
      <c r="N27" s="16" t="n">
        <v>64.3</v>
      </c>
      <c r="O27" s="17" t="n">
        <v>2.825</v>
      </c>
      <c r="P27" s="17" t="n">
        <v>0.044</v>
      </c>
      <c r="Q27" s="17" t="n">
        <v>0.226</v>
      </c>
      <c r="R27" s="16" t="n">
        <v>11.2</v>
      </c>
      <c r="S27" s="18" t="n">
        <v>4801</v>
      </c>
      <c r="T27" s="16" t="n">
        <v>1.1</v>
      </c>
      <c r="U27" s="16" t="n">
        <v>13.3</v>
      </c>
      <c r="V27" s="18" t="n">
        <v>33</v>
      </c>
      <c r="W27" s="16" t="n">
        <v>46.4</v>
      </c>
      <c r="X27" s="17" t="n">
        <v>3.115</v>
      </c>
      <c r="Y27" s="17" t="n">
        <v>0.067</v>
      </c>
      <c r="Z27" s="17" t="n">
        <v>0.235</v>
      </c>
      <c r="AA27" s="16" t="n">
        <v>11.2</v>
      </c>
      <c r="AB27" s="18" t="n">
        <v>3753</v>
      </c>
      <c r="AC27" s="16" t="n">
        <v>0</v>
      </c>
      <c r="AD27" s="16" t="n">
        <v>7.4</v>
      </c>
      <c r="AE27" s="18" t="n">
        <v>27</v>
      </c>
      <c r="AF27" s="16" t="n">
        <v>31</v>
      </c>
      <c r="AG27" s="17" t="n">
        <v>3.689</v>
      </c>
      <c r="AH27" s="17" t="n">
        <v>0.119</v>
      </c>
      <c r="AI27" s="16" t="n">
        <v>0</v>
      </c>
      <c r="AJ27" s="18" t="n">
        <v>28</v>
      </c>
      <c r="AK27" s="16" t="n">
        <v>329</v>
      </c>
      <c r="AL27" s="17" t="n">
        <v>15.265</v>
      </c>
      <c r="AM27" s="17" t="n">
        <v>0.046</v>
      </c>
      <c r="AN27" s="16" t="n">
        <v>9.7</v>
      </c>
      <c r="AO27" s="19"/>
      <c r="AP27" s="19"/>
      <c r="AQ27" s="19"/>
      <c r="AR27" s="19"/>
      <c r="AS27" s="18" t="n">
        <f aca="false">Table1[[#This Row],[Object_A_._head_time]]+Table1[[#This Row],[Object_B_._head_time]]</f>
        <v>110.7</v>
      </c>
      <c r="AT27" s="20"/>
      <c r="AU27" s="20"/>
      <c r="AV27" s="21"/>
      <c r="AW27" s="20"/>
      <c r="AX27" s="19" t="n">
        <f aca="false">(Table1[[#This Row],[Object_A_._head_time]]/(Table1[[#This Row],[Object_A_._head_time]]+Table1[[#This Row],[Object_B_._head_time]]))</f>
        <v>0.580849141824752</v>
      </c>
      <c r="AY27" s="14" t="s">
        <v>64</v>
      </c>
      <c r="AZ27" s="14" t="s">
        <v>76</v>
      </c>
      <c r="BA27" s="18" t="s">
        <v>72</v>
      </c>
      <c r="BB27" s="18" t="n">
        <v>68</v>
      </c>
      <c r="BC27" s="18" t="n">
        <v>2.26666666666667</v>
      </c>
      <c r="BD27" s="18" t="s">
        <v>81</v>
      </c>
      <c r="BE27" s="23" t="n">
        <v>6</v>
      </c>
      <c r="BF27" s="18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24"/>
    </row>
    <row r="28" s="25" customFormat="true" ht="12" hidden="false" customHeight="true" outlineLevel="0" collapsed="false">
      <c r="A28" s="14" t="n">
        <v>73</v>
      </c>
      <c r="B28" s="15" t="s">
        <v>137</v>
      </c>
      <c r="C28" s="14" t="s">
        <v>59</v>
      </c>
      <c r="D28" s="14" t="s">
        <v>74</v>
      </c>
      <c r="E28" s="14" t="s">
        <v>61</v>
      </c>
      <c r="F28" s="14" t="s">
        <v>133</v>
      </c>
      <c r="G28" s="14" t="s">
        <v>138</v>
      </c>
      <c r="H28" s="16" t="n">
        <v>360</v>
      </c>
      <c r="I28" s="17" t="n">
        <v>14.138</v>
      </c>
      <c r="J28" s="17" t="n">
        <v>0.039</v>
      </c>
      <c r="K28" s="17" t="n">
        <v>0.242</v>
      </c>
      <c r="L28" s="16" t="n">
        <v>38.4</v>
      </c>
      <c r="M28" s="18" t="n">
        <v>21</v>
      </c>
      <c r="N28" s="16" t="n">
        <v>30.3</v>
      </c>
      <c r="O28" s="17" t="n">
        <v>1.384</v>
      </c>
      <c r="P28" s="17" t="n">
        <v>0.046</v>
      </c>
      <c r="Q28" s="17" t="n">
        <v>0.219</v>
      </c>
      <c r="R28" s="16" t="n">
        <v>10.3</v>
      </c>
      <c r="S28" s="18" t="n">
        <v>2339</v>
      </c>
      <c r="T28" s="16" t="n">
        <v>0</v>
      </c>
      <c r="U28" s="16" t="n">
        <v>8.1</v>
      </c>
      <c r="V28" s="18" t="n">
        <v>30</v>
      </c>
      <c r="W28" s="16" t="n">
        <v>35.8</v>
      </c>
      <c r="X28" s="17" t="n">
        <v>1.728</v>
      </c>
      <c r="Y28" s="17" t="n">
        <v>0.048</v>
      </c>
      <c r="Z28" s="17" t="n">
        <v>0.242</v>
      </c>
      <c r="AA28" s="16" t="n">
        <v>12.1</v>
      </c>
      <c r="AB28" s="18" t="n">
        <v>2947</v>
      </c>
      <c r="AC28" s="16" t="n">
        <v>0</v>
      </c>
      <c r="AD28" s="16" t="n">
        <v>9.1</v>
      </c>
      <c r="AE28" s="18" t="n">
        <v>17</v>
      </c>
      <c r="AF28" s="16" t="n">
        <v>36.4</v>
      </c>
      <c r="AG28" s="17" t="n">
        <v>2.673</v>
      </c>
      <c r="AH28" s="17" t="n">
        <v>0.073</v>
      </c>
      <c r="AI28" s="16" t="n">
        <v>0</v>
      </c>
      <c r="AJ28" s="18" t="n">
        <v>18</v>
      </c>
      <c r="AK28" s="16" t="n">
        <v>323.6</v>
      </c>
      <c r="AL28" s="17" t="n">
        <v>11.466</v>
      </c>
      <c r="AM28" s="17" t="n">
        <v>0.035</v>
      </c>
      <c r="AN28" s="16" t="n">
        <v>38.4</v>
      </c>
      <c r="AO28" s="19"/>
      <c r="AP28" s="19"/>
      <c r="AQ28" s="19"/>
      <c r="AR28" s="19"/>
      <c r="AS28" s="18" t="n">
        <f aca="false">Table1[[#This Row],[Object_A_._head_time]]+Table1[[#This Row],[Object_B_._head_time]]</f>
        <v>66.1</v>
      </c>
      <c r="AT28" s="20"/>
      <c r="AU28" s="20"/>
      <c r="AV28" s="21"/>
      <c r="AW28" s="20"/>
      <c r="AX28" s="19" t="n">
        <f aca="false">(Table1[[#This Row],[Object_A_._head_time]]/(Table1[[#This Row],[Object_A_._head_time]]+Table1[[#This Row],[Object_B_._head_time]]))</f>
        <v>0.45839636913767</v>
      </c>
      <c r="AY28" s="14" t="s">
        <v>64</v>
      </c>
      <c r="AZ28" s="14" t="s">
        <v>76</v>
      </c>
      <c r="BA28" s="18" t="s">
        <v>66</v>
      </c>
      <c r="BB28" s="18" t="n">
        <v>68</v>
      </c>
      <c r="BC28" s="18" t="n">
        <v>2.26666666666667</v>
      </c>
      <c r="BD28" s="18" t="s">
        <v>81</v>
      </c>
      <c r="BE28" s="23" t="n">
        <v>8</v>
      </c>
      <c r="BF28" s="18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24"/>
    </row>
    <row r="29" s="25" customFormat="true" ht="12" hidden="false" customHeight="true" outlineLevel="0" collapsed="false">
      <c r="A29" s="14" t="n">
        <v>74</v>
      </c>
      <c r="B29" s="15" t="s">
        <v>139</v>
      </c>
      <c r="C29" s="14" t="s">
        <v>59</v>
      </c>
      <c r="D29" s="14" t="s">
        <v>79</v>
      </c>
      <c r="E29" s="14" t="s">
        <v>61</v>
      </c>
      <c r="F29" s="14" t="s">
        <v>133</v>
      </c>
      <c r="G29" s="14" t="s">
        <v>140</v>
      </c>
      <c r="H29" s="16" t="n">
        <v>360</v>
      </c>
      <c r="I29" s="17" t="n">
        <v>5.358</v>
      </c>
      <c r="J29" s="17" t="n">
        <v>0.015</v>
      </c>
      <c r="K29" s="17" t="n">
        <v>0.214</v>
      </c>
      <c r="L29" s="16" t="n">
        <v>137.6</v>
      </c>
      <c r="M29" s="18" t="n">
        <v>6</v>
      </c>
      <c r="N29" s="16" t="n">
        <v>5.4</v>
      </c>
      <c r="O29" s="17" t="n">
        <v>0.303</v>
      </c>
      <c r="P29" s="17" t="n">
        <v>0.056</v>
      </c>
      <c r="Q29" s="17" t="n">
        <v>0.214</v>
      </c>
      <c r="R29" s="16" t="n">
        <v>2.3</v>
      </c>
      <c r="S29" s="18" t="n">
        <v>304</v>
      </c>
      <c r="T29" s="16" t="n">
        <v>0</v>
      </c>
      <c r="U29" s="16" t="n">
        <v>2.7</v>
      </c>
      <c r="V29" s="18" t="n">
        <v>10</v>
      </c>
      <c r="W29" s="16" t="n">
        <v>9.9</v>
      </c>
      <c r="X29" s="17" t="n">
        <v>0.393</v>
      </c>
      <c r="Y29" s="17" t="n">
        <v>0.04</v>
      </c>
      <c r="Z29" s="17" t="n">
        <v>0.187</v>
      </c>
      <c r="AA29" s="16" t="n">
        <v>7.4</v>
      </c>
      <c r="AB29" s="18" t="n">
        <v>587</v>
      </c>
      <c r="AC29" s="16" t="n">
        <v>0</v>
      </c>
      <c r="AD29" s="16" t="n">
        <v>5.8</v>
      </c>
      <c r="AE29" s="18" t="n">
        <v>2</v>
      </c>
      <c r="AF29" s="16" t="n">
        <v>2.9</v>
      </c>
      <c r="AG29" s="17" t="n">
        <v>0.312</v>
      </c>
      <c r="AH29" s="17" t="n">
        <v>0.106</v>
      </c>
      <c r="AI29" s="16" t="n">
        <v>0</v>
      </c>
      <c r="AJ29" s="18" t="n">
        <v>3</v>
      </c>
      <c r="AK29" s="16" t="n">
        <v>357.1</v>
      </c>
      <c r="AL29" s="17" t="n">
        <v>5.045</v>
      </c>
      <c r="AM29" s="17" t="n">
        <v>0.014</v>
      </c>
      <c r="AN29" s="16" t="n">
        <v>137.6</v>
      </c>
      <c r="AO29" s="19"/>
      <c r="AP29" s="19"/>
      <c r="AQ29" s="19"/>
      <c r="AR29" s="19"/>
      <c r="AS29" s="18" t="n">
        <f aca="false">Table1[[#This Row],[Object_A_._head_time]]+Table1[[#This Row],[Object_B_._head_time]]</f>
        <v>15.3</v>
      </c>
      <c r="AT29" s="20"/>
      <c r="AU29" s="20"/>
      <c r="AV29" s="21"/>
      <c r="AW29" s="20"/>
      <c r="AX29" s="19" t="n">
        <f aca="false">(Table1[[#This Row],[Object_A_._head_time]]/(Table1[[#This Row],[Object_A_._head_time]]+Table1[[#This Row],[Object_B_._head_time]]))</f>
        <v>0.352941176470588</v>
      </c>
      <c r="AY29" s="14" t="s">
        <v>64</v>
      </c>
      <c r="AZ29" s="14" t="s">
        <v>76</v>
      </c>
      <c r="BA29" s="18" t="s">
        <v>72</v>
      </c>
      <c r="BB29" s="18" t="n">
        <v>68</v>
      </c>
      <c r="BC29" s="18" t="n">
        <v>2.26666666666667</v>
      </c>
      <c r="BD29" s="18" t="s">
        <v>67</v>
      </c>
      <c r="BE29" s="23" t="n">
        <v>5</v>
      </c>
      <c r="BF29" s="18" t="s">
        <v>141</v>
      </c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24"/>
    </row>
    <row r="30" s="25" customFormat="true" ht="12" hidden="false" customHeight="true" outlineLevel="0" collapsed="false">
      <c r="A30" s="14" t="n">
        <v>75</v>
      </c>
      <c r="B30" s="15" t="s">
        <v>142</v>
      </c>
      <c r="C30" s="14" t="s">
        <v>59</v>
      </c>
      <c r="D30" s="14" t="s">
        <v>60</v>
      </c>
      <c r="E30" s="14" t="s">
        <v>61</v>
      </c>
      <c r="F30" s="14" t="s">
        <v>143</v>
      </c>
      <c r="G30" s="14" t="s">
        <v>144</v>
      </c>
      <c r="H30" s="16" t="n">
        <v>360</v>
      </c>
      <c r="I30" s="17" t="n">
        <v>11.515</v>
      </c>
      <c r="J30" s="17" t="n">
        <v>0.032</v>
      </c>
      <c r="K30" s="17" t="n">
        <v>0.273</v>
      </c>
      <c r="L30" s="16" t="n">
        <v>22</v>
      </c>
      <c r="M30" s="18" t="n">
        <v>15</v>
      </c>
      <c r="N30" s="16" t="n">
        <v>29</v>
      </c>
      <c r="O30" s="17" t="n">
        <v>1.239</v>
      </c>
      <c r="P30" s="17" t="n">
        <v>0.043</v>
      </c>
      <c r="Q30" s="17" t="n">
        <v>0.255</v>
      </c>
      <c r="R30" s="16" t="n">
        <v>5.2</v>
      </c>
      <c r="S30" s="18" t="n">
        <v>2206</v>
      </c>
      <c r="T30" s="16" t="n">
        <v>0</v>
      </c>
      <c r="U30" s="16" t="n">
        <v>6</v>
      </c>
      <c r="V30" s="18" t="n">
        <v>28</v>
      </c>
      <c r="W30" s="16" t="n">
        <v>54.7</v>
      </c>
      <c r="X30" s="17" t="n">
        <v>2.063</v>
      </c>
      <c r="Y30" s="17" t="n">
        <v>0.038</v>
      </c>
      <c r="Z30" s="17" t="n">
        <v>0.242</v>
      </c>
      <c r="AA30" s="16" t="n">
        <v>9.2</v>
      </c>
      <c r="AB30" s="18" t="n">
        <v>3479</v>
      </c>
      <c r="AC30" s="16" t="n">
        <v>5.2</v>
      </c>
      <c r="AD30" s="16" t="n">
        <v>19.1</v>
      </c>
      <c r="AE30" s="18" t="n">
        <v>17</v>
      </c>
      <c r="AF30" s="16" t="n">
        <v>56.7</v>
      </c>
      <c r="AG30" s="17" t="n">
        <v>2.432</v>
      </c>
      <c r="AH30" s="17" t="n">
        <v>0.043</v>
      </c>
      <c r="AI30" s="16" t="n">
        <v>4.9</v>
      </c>
      <c r="AJ30" s="18" t="n">
        <v>18</v>
      </c>
      <c r="AK30" s="16" t="n">
        <v>303.3</v>
      </c>
      <c r="AL30" s="17" t="n">
        <v>9.083</v>
      </c>
      <c r="AM30" s="17" t="n">
        <v>0.03</v>
      </c>
      <c r="AN30" s="16" t="n">
        <v>17.2</v>
      </c>
      <c r="AO30" s="19"/>
      <c r="AP30" s="19"/>
      <c r="AQ30" s="19"/>
      <c r="AR30" s="19"/>
      <c r="AS30" s="18" t="n">
        <f aca="false">Table1[[#This Row],[Object_A_._head_time]]+Table1[[#This Row],[Object_B_._head_time]]</f>
        <v>83.7</v>
      </c>
      <c r="AT30" s="20"/>
      <c r="AU30" s="20"/>
      <c r="AV30" s="21"/>
      <c r="AW30" s="20"/>
      <c r="AX30" s="19" t="n">
        <f aca="false">(Table1[[#This Row],[Object_A_._head_time]]/(Table1[[#This Row],[Object_A_._head_time]]+Table1[[#This Row],[Object_B_._head_time]]))</f>
        <v>0.34647550776583</v>
      </c>
      <c r="AY30" s="14" t="s">
        <v>64</v>
      </c>
      <c r="AZ30" s="14" t="s">
        <v>76</v>
      </c>
      <c r="BA30" s="18" t="s">
        <v>66</v>
      </c>
      <c r="BB30" s="18" t="n">
        <v>68</v>
      </c>
      <c r="BC30" s="18" t="n">
        <v>2.26666666666667</v>
      </c>
      <c r="BD30" s="18" t="s">
        <v>67</v>
      </c>
      <c r="BE30" s="23" t="n">
        <v>7</v>
      </c>
      <c r="BF30" s="18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24"/>
    </row>
    <row r="31" s="25" customFormat="true" ht="12" hidden="false" customHeight="true" outlineLevel="0" collapsed="false">
      <c r="A31" s="14" t="n">
        <v>76</v>
      </c>
      <c r="B31" s="15" t="s">
        <v>145</v>
      </c>
      <c r="C31" s="14" t="s">
        <v>59</v>
      </c>
      <c r="D31" s="14" t="s">
        <v>69</v>
      </c>
      <c r="E31" s="14" t="s">
        <v>61</v>
      </c>
      <c r="F31" s="14" t="s">
        <v>143</v>
      </c>
      <c r="G31" s="14" t="s">
        <v>146</v>
      </c>
      <c r="H31" s="16" t="n">
        <v>360</v>
      </c>
      <c r="I31" s="17" t="n">
        <v>17.909</v>
      </c>
      <c r="J31" s="17" t="n">
        <v>0.05</v>
      </c>
      <c r="K31" s="17" t="n">
        <v>0.255</v>
      </c>
      <c r="L31" s="16" t="n">
        <v>5.4</v>
      </c>
      <c r="M31" s="18" t="n">
        <v>44</v>
      </c>
      <c r="N31" s="16" t="n">
        <v>85.2</v>
      </c>
      <c r="O31" s="17" t="n">
        <v>4.036</v>
      </c>
      <c r="P31" s="17" t="n">
        <v>0.047</v>
      </c>
      <c r="Q31" s="17" t="n">
        <v>0.22</v>
      </c>
      <c r="R31" s="16" t="n">
        <v>21</v>
      </c>
      <c r="S31" s="18" t="n">
        <v>6529</v>
      </c>
      <c r="T31" s="16" t="n">
        <v>0</v>
      </c>
      <c r="U31" s="16" t="n">
        <v>12.3</v>
      </c>
      <c r="V31" s="18" t="n">
        <v>29</v>
      </c>
      <c r="W31" s="16" t="n">
        <v>51.5</v>
      </c>
      <c r="X31" s="17" t="n">
        <v>2.836</v>
      </c>
      <c r="Y31" s="17" t="n">
        <v>0.055</v>
      </c>
      <c r="Z31" s="17" t="n">
        <v>0.239</v>
      </c>
      <c r="AA31" s="16" t="n">
        <v>13.8</v>
      </c>
      <c r="AB31" s="18" t="n">
        <v>3696</v>
      </c>
      <c r="AC31" s="16" t="n">
        <v>1.1</v>
      </c>
      <c r="AD31" s="16" t="n">
        <v>8.1</v>
      </c>
      <c r="AE31" s="18" t="n">
        <v>32</v>
      </c>
      <c r="AF31" s="16" t="n">
        <v>66.2</v>
      </c>
      <c r="AG31" s="17" t="n">
        <v>4.991</v>
      </c>
      <c r="AH31" s="17" t="n">
        <v>0.075</v>
      </c>
      <c r="AI31" s="16" t="n">
        <v>1.1</v>
      </c>
      <c r="AJ31" s="18" t="n">
        <v>32</v>
      </c>
      <c r="AK31" s="16" t="n">
        <v>293.8</v>
      </c>
      <c r="AL31" s="17" t="n">
        <v>12.918</v>
      </c>
      <c r="AM31" s="17" t="n">
        <v>0.044</v>
      </c>
      <c r="AN31" s="16" t="n">
        <v>4.3</v>
      </c>
      <c r="AO31" s="19"/>
      <c r="AP31" s="19"/>
      <c r="AQ31" s="19"/>
      <c r="AR31" s="19"/>
      <c r="AS31" s="18" t="n">
        <f aca="false">Table1[[#This Row],[Object_A_._head_time]]+Table1[[#This Row],[Object_B_._head_time]]</f>
        <v>136.7</v>
      </c>
      <c r="AT31" s="20"/>
      <c r="AU31" s="20"/>
      <c r="AV31" s="21"/>
      <c r="AW31" s="20"/>
      <c r="AX31" s="19" t="n">
        <f aca="false">(Table1[[#This Row],[Object_A_._head_time]]/(Table1[[#This Row],[Object_A_._head_time]]+Table1[[#This Row],[Object_B_._head_time]]))</f>
        <v>0.623262618873446</v>
      </c>
      <c r="AY31" s="14" t="s">
        <v>71</v>
      </c>
      <c r="AZ31" s="14" t="s">
        <v>76</v>
      </c>
      <c r="BA31" s="18" t="s">
        <v>72</v>
      </c>
      <c r="BB31" s="18" t="n">
        <v>68</v>
      </c>
      <c r="BC31" s="18" t="n">
        <v>2.26666666666667</v>
      </c>
      <c r="BD31" s="18" t="s">
        <v>81</v>
      </c>
      <c r="BE31" s="23" t="n">
        <v>6</v>
      </c>
      <c r="BF31" s="18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24"/>
    </row>
    <row r="32" s="25" customFormat="true" ht="12" hidden="false" customHeight="true" outlineLevel="0" collapsed="false">
      <c r="A32" s="14" t="n">
        <v>77</v>
      </c>
      <c r="B32" s="15" t="s">
        <v>147</v>
      </c>
      <c r="C32" s="14" t="s">
        <v>59</v>
      </c>
      <c r="D32" s="14" t="s">
        <v>74</v>
      </c>
      <c r="E32" s="14" t="s">
        <v>61</v>
      </c>
      <c r="F32" s="14" t="s">
        <v>143</v>
      </c>
      <c r="G32" s="14" t="s">
        <v>148</v>
      </c>
      <c r="H32" s="16" t="n">
        <v>360</v>
      </c>
      <c r="I32" s="17" t="n">
        <v>13.767</v>
      </c>
      <c r="J32" s="17" t="n">
        <v>0.038</v>
      </c>
      <c r="K32" s="17" t="n">
        <v>0.256</v>
      </c>
      <c r="L32" s="16" t="n">
        <v>17.7</v>
      </c>
      <c r="M32" s="18" t="n">
        <v>31</v>
      </c>
      <c r="N32" s="16" t="n">
        <v>66.3</v>
      </c>
      <c r="O32" s="17" t="n">
        <v>2.55</v>
      </c>
      <c r="P32" s="17" t="n">
        <v>0.038</v>
      </c>
      <c r="Q32" s="17" t="n">
        <v>0.216</v>
      </c>
      <c r="R32" s="16" t="n">
        <v>9.7</v>
      </c>
      <c r="S32" s="18" t="n">
        <v>3670</v>
      </c>
      <c r="T32" s="16" t="n">
        <v>0</v>
      </c>
      <c r="U32" s="16" t="n">
        <v>11.5</v>
      </c>
      <c r="V32" s="18" t="n">
        <v>28</v>
      </c>
      <c r="W32" s="16" t="n">
        <v>45.8</v>
      </c>
      <c r="X32" s="17" t="n">
        <v>1.877</v>
      </c>
      <c r="Y32" s="17" t="n">
        <v>0.041</v>
      </c>
      <c r="Z32" s="17" t="n">
        <v>0.174</v>
      </c>
      <c r="AA32" s="16" t="n">
        <v>14</v>
      </c>
      <c r="AB32" s="18" t="n">
        <v>3063</v>
      </c>
      <c r="AC32" s="16" t="n">
        <v>0</v>
      </c>
      <c r="AD32" s="16" t="n">
        <v>8.7</v>
      </c>
      <c r="AE32" s="18" t="n">
        <v>19</v>
      </c>
      <c r="AF32" s="16" t="n">
        <v>36.9</v>
      </c>
      <c r="AG32" s="17" t="n">
        <v>1.972</v>
      </c>
      <c r="AH32" s="17" t="n">
        <v>0.054</v>
      </c>
      <c r="AI32" s="16" t="n">
        <v>0</v>
      </c>
      <c r="AJ32" s="18" t="n">
        <v>20</v>
      </c>
      <c r="AK32" s="16" t="n">
        <v>323.1</v>
      </c>
      <c r="AL32" s="17" t="n">
        <v>11.795</v>
      </c>
      <c r="AM32" s="17" t="n">
        <v>0.037</v>
      </c>
      <c r="AN32" s="16" t="n">
        <v>17.7</v>
      </c>
      <c r="AO32" s="19"/>
      <c r="AP32" s="19"/>
      <c r="AQ32" s="19"/>
      <c r="AR32" s="19"/>
      <c r="AS32" s="18" t="n">
        <f aca="false">Table1[[#This Row],[Object_A_._head_time]]+Table1[[#This Row],[Object_B_._head_time]]</f>
        <v>112.1</v>
      </c>
      <c r="AT32" s="20"/>
      <c r="AU32" s="20"/>
      <c r="AV32" s="21"/>
      <c r="AW32" s="20"/>
      <c r="AX32" s="19" t="n">
        <f aca="false">(Table1[[#This Row],[Object_A_._head_time]]/(Table1[[#This Row],[Object_A_._head_time]]+Table1[[#This Row],[Object_B_._head_time]]))</f>
        <v>0.591436217662801</v>
      </c>
      <c r="AY32" s="14" t="s">
        <v>71</v>
      </c>
      <c r="AZ32" s="14" t="s">
        <v>76</v>
      </c>
      <c r="BA32" s="18" t="s">
        <v>66</v>
      </c>
      <c r="BB32" s="18" t="n">
        <v>68</v>
      </c>
      <c r="BC32" s="18" t="n">
        <v>2.26666666666667</v>
      </c>
      <c r="BD32" s="18" t="s">
        <v>81</v>
      </c>
      <c r="BE32" s="23" t="n">
        <v>8</v>
      </c>
      <c r="BF32" s="18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24"/>
    </row>
    <row r="33" s="25" customFormat="true" ht="12" hidden="false" customHeight="true" outlineLevel="0" collapsed="false">
      <c r="A33" s="14" t="n">
        <v>78</v>
      </c>
      <c r="B33" s="15" t="s">
        <v>149</v>
      </c>
      <c r="C33" s="14" t="s">
        <v>59</v>
      </c>
      <c r="D33" s="14" t="s">
        <v>79</v>
      </c>
      <c r="E33" s="14" t="s">
        <v>61</v>
      </c>
      <c r="F33" s="14" t="s">
        <v>143</v>
      </c>
      <c r="G33" s="14" t="s">
        <v>150</v>
      </c>
      <c r="H33" s="16" t="n">
        <v>360</v>
      </c>
      <c r="I33" s="17" t="n">
        <v>10.224</v>
      </c>
      <c r="J33" s="17" t="n">
        <v>0.028</v>
      </c>
      <c r="K33" s="17" t="n">
        <v>0.476</v>
      </c>
      <c r="L33" s="16" t="n">
        <v>80</v>
      </c>
      <c r="M33" s="18" t="n">
        <v>16</v>
      </c>
      <c r="N33" s="16" t="n">
        <v>14.9</v>
      </c>
      <c r="O33" s="17" t="n">
        <v>0.666</v>
      </c>
      <c r="P33" s="17" t="n">
        <v>0.045</v>
      </c>
      <c r="Q33" s="17" t="n">
        <v>0.176</v>
      </c>
      <c r="R33" s="16" t="n">
        <v>8.7</v>
      </c>
      <c r="S33" s="18" t="n">
        <v>1235</v>
      </c>
      <c r="T33" s="16" t="n">
        <v>0</v>
      </c>
      <c r="U33" s="16" t="n">
        <v>9.3</v>
      </c>
      <c r="V33" s="18" t="n">
        <v>13</v>
      </c>
      <c r="W33" s="16" t="n">
        <v>11.5</v>
      </c>
      <c r="X33" s="17" t="n">
        <v>0.435</v>
      </c>
      <c r="Y33" s="17" t="n">
        <v>0.038</v>
      </c>
      <c r="Z33" s="17" t="n">
        <v>0.215</v>
      </c>
      <c r="AA33" s="16" t="n">
        <v>8.8</v>
      </c>
      <c r="AB33" s="18" t="n">
        <v>940</v>
      </c>
      <c r="AC33" s="16" t="n">
        <v>0</v>
      </c>
      <c r="AD33" s="16" t="n">
        <v>8.7</v>
      </c>
      <c r="AE33" s="18" t="n">
        <v>5</v>
      </c>
      <c r="AF33" s="16" t="n">
        <v>9.5</v>
      </c>
      <c r="AG33" s="17" t="n">
        <v>0.873</v>
      </c>
      <c r="AH33" s="17" t="n">
        <v>0.092</v>
      </c>
      <c r="AI33" s="16" t="n">
        <v>0</v>
      </c>
      <c r="AJ33" s="18" t="n">
        <v>6</v>
      </c>
      <c r="AK33" s="16" t="n">
        <v>350.5</v>
      </c>
      <c r="AL33" s="17" t="n">
        <v>9.351</v>
      </c>
      <c r="AM33" s="17" t="n">
        <v>0.027</v>
      </c>
      <c r="AN33" s="16" t="n">
        <v>80</v>
      </c>
      <c r="AO33" s="19"/>
      <c r="AP33" s="19"/>
      <c r="AQ33" s="19"/>
      <c r="AR33" s="19"/>
      <c r="AS33" s="18" t="n">
        <f aca="false">Table1[[#This Row],[Object_A_._head_time]]+Table1[[#This Row],[Object_B_._head_time]]</f>
        <v>26.4</v>
      </c>
      <c r="AT33" s="20"/>
      <c r="AU33" s="20"/>
      <c r="AV33" s="21"/>
      <c r="AW33" s="20"/>
      <c r="AX33" s="19" t="n">
        <f aca="false">(Table1[[#This Row],[Object_A_._head_time]]/(Table1[[#This Row],[Object_A_._head_time]]+Table1[[#This Row],[Object_B_._head_time]]))</f>
        <v>0.564393939393939</v>
      </c>
      <c r="AY33" s="14" t="s">
        <v>71</v>
      </c>
      <c r="AZ33" s="14" t="s">
        <v>76</v>
      </c>
      <c r="BA33" s="18" t="s">
        <v>66</v>
      </c>
      <c r="BB33" s="18" t="n">
        <v>68</v>
      </c>
      <c r="BC33" s="18" t="n">
        <v>2.26666666666667</v>
      </c>
      <c r="BD33" s="18" t="s">
        <v>67</v>
      </c>
      <c r="BE33" s="23" t="n">
        <v>7</v>
      </c>
      <c r="BF33" s="18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24"/>
    </row>
    <row r="34" s="25" customFormat="true" ht="12" hidden="false" customHeight="true" outlineLevel="0" collapsed="false">
      <c r="A34" s="14" t="n">
        <v>79</v>
      </c>
      <c r="B34" s="15" t="s">
        <v>151</v>
      </c>
      <c r="C34" s="14" t="s">
        <v>59</v>
      </c>
      <c r="D34" s="14" t="s">
        <v>60</v>
      </c>
      <c r="E34" s="14" t="s">
        <v>61</v>
      </c>
      <c r="F34" s="14" t="s">
        <v>152</v>
      </c>
      <c r="G34" s="14" t="s">
        <v>153</v>
      </c>
      <c r="H34" s="16" t="n">
        <v>360</v>
      </c>
      <c r="I34" s="17" t="n">
        <v>16.404</v>
      </c>
      <c r="J34" s="17" t="n">
        <v>0.046</v>
      </c>
      <c r="K34" s="17" t="n">
        <v>0.315</v>
      </c>
      <c r="L34" s="16" t="n">
        <v>6.5</v>
      </c>
      <c r="M34" s="18" t="n">
        <v>21</v>
      </c>
      <c r="N34" s="16" t="n">
        <v>35.2</v>
      </c>
      <c r="O34" s="17" t="n">
        <v>1.477</v>
      </c>
      <c r="P34" s="17" t="n">
        <v>0.042</v>
      </c>
      <c r="Q34" s="17" t="n">
        <v>0.21</v>
      </c>
      <c r="R34" s="16" t="n">
        <v>11.2</v>
      </c>
      <c r="S34" s="18" t="n">
        <v>2557</v>
      </c>
      <c r="T34" s="16" t="n">
        <v>0</v>
      </c>
      <c r="U34" s="16" t="n">
        <v>12.8</v>
      </c>
      <c r="V34" s="18" t="n">
        <v>32</v>
      </c>
      <c r="W34" s="16" t="n">
        <v>44</v>
      </c>
      <c r="X34" s="17" t="n">
        <v>2.209</v>
      </c>
      <c r="Y34" s="17" t="n">
        <v>0.05</v>
      </c>
      <c r="Z34" s="17" t="n">
        <v>0.285</v>
      </c>
      <c r="AA34" s="16" t="n">
        <v>16.5</v>
      </c>
      <c r="AB34" s="18" t="n">
        <v>3109</v>
      </c>
      <c r="AC34" s="16" t="n">
        <v>0</v>
      </c>
      <c r="AD34" s="16" t="n">
        <v>17.9</v>
      </c>
      <c r="AE34" s="18" t="n">
        <v>22</v>
      </c>
      <c r="AF34" s="16" t="n">
        <v>31</v>
      </c>
      <c r="AG34" s="17" t="n">
        <v>2.49</v>
      </c>
      <c r="AH34" s="17" t="n">
        <v>0.08</v>
      </c>
      <c r="AI34" s="16" t="n">
        <v>0</v>
      </c>
      <c r="AJ34" s="18" t="n">
        <v>23</v>
      </c>
      <c r="AK34" s="16" t="n">
        <v>329</v>
      </c>
      <c r="AL34" s="17" t="n">
        <v>13.914</v>
      </c>
      <c r="AM34" s="17" t="n">
        <v>0.042</v>
      </c>
      <c r="AN34" s="16" t="n">
        <v>6.5</v>
      </c>
      <c r="AO34" s="19"/>
      <c r="AP34" s="19"/>
      <c r="AQ34" s="19"/>
      <c r="AR34" s="19"/>
      <c r="AS34" s="18" t="n">
        <f aca="false">Table1[[#This Row],[Object_A_._head_time]]+Table1[[#This Row],[Object_B_._head_time]]</f>
        <v>79.2</v>
      </c>
      <c r="AT34" s="20"/>
      <c r="AU34" s="20"/>
      <c r="AV34" s="21"/>
      <c r="AW34" s="20"/>
      <c r="AX34" s="19" t="n">
        <f aca="false">(Table1[[#This Row],[Object_A_._head_time]]/(Table1[[#This Row],[Object_A_._head_time]]+Table1[[#This Row],[Object_B_._head_time]]))</f>
        <v>0.444444444444444</v>
      </c>
      <c r="AY34" s="14" t="s">
        <v>71</v>
      </c>
      <c r="AZ34" s="14" t="s">
        <v>76</v>
      </c>
      <c r="BA34" s="18" t="s">
        <v>72</v>
      </c>
      <c r="BB34" s="18" t="n">
        <v>68</v>
      </c>
      <c r="BC34" s="18" t="n">
        <v>2.26666666666667</v>
      </c>
      <c r="BD34" s="18" t="s">
        <v>67</v>
      </c>
      <c r="BE34" s="23" t="n">
        <v>5</v>
      </c>
      <c r="BF34" s="18" t="s">
        <v>154</v>
      </c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24"/>
    </row>
    <row r="35" s="25" customFormat="true" ht="12" hidden="false" customHeight="true" outlineLevel="0" collapsed="false">
      <c r="A35" s="14" t="n">
        <v>80</v>
      </c>
      <c r="B35" s="15" t="s">
        <v>155</v>
      </c>
      <c r="C35" s="14" t="s">
        <v>59</v>
      </c>
      <c r="D35" s="14" t="s">
        <v>69</v>
      </c>
      <c r="E35" s="14" t="s">
        <v>61</v>
      </c>
      <c r="F35" s="14" t="s">
        <v>152</v>
      </c>
      <c r="G35" s="14" t="s">
        <v>156</v>
      </c>
      <c r="H35" s="16" t="n">
        <v>360</v>
      </c>
      <c r="I35" s="17" t="n">
        <v>10.773</v>
      </c>
      <c r="J35" s="17" t="n">
        <v>0.03</v>
      </c>
      <c r="K35" s="17" t="n">
        <v>0.298</v>
      </c>
      <c r="L35" s="16" t="n">
        <v>52.4</v>
      </c>
      <c r="M35" s="18" t="n">
        <v>17</v>
      </c>
      <c r="N35" s="16" t="n">
        <v>25.1</v>
      </c>
      <c r="O35" s="17" t="n">
        <v>1.428</v>
      </c>
      <c r="P35" s="17" t="n">
        <v>0.057</v>
      </c>
      <c r="Q35" s="17" t="n">
        <v>0.203</v>
      </c>
      <c r="R35" s="16" t="n">
        <v>6.4</v>
      </c>
      <c r="S35" s="18" t="n">
        <v>2146</v>
      </c>
      <c r="T35" s="16" t="n">
        <v>0</v>
      </c>
      <c r="U35" s="16" t="n">
        <v>5.5</v>
      </c>
      <c r="V35" s="18" t="n">
        <v>21</v>
      </c>
      <c r="W35" s="16" t="n">
        <v>45.2</v>
      </c>
      <c r="X35" s="17" t="n">
        <v>1.519</v>
      </c>
      <c r="Y35" s="17" t="n">
        <v>0.034</v>
      </c>
      <c r="Z35" s="17" t="n">
        <v>0.245</v>
      </c>
      <c r="AA35" s="16" t="n">
        <v>6.5</v>
      </c>
      <c r="AB35" s="18" t="n">
        <v>2447</v>
      </c>
      <c r="AC35" s="16" t="n">
        <v>9.5</v>
      </c>
      <c r="AD35" s="16" t="n">
        <v>22.7</v>
      </c>
      <c r="AE35" s="18" t="n">
        <v>9</v>
      </c>
      <c r="AF35" s="16" t="n">
        <v>10.6</v>
      </c>
      <c r="AG35" s="17" t="n">
        <v>1.182</v>
      </c>
      <c r="AH35" s="17" t="n">
        <v>0.111</v>
      </c>
      <c r="AI35" s="16" t="n">
        <v>0</v>
      </c>
      <c r="AJ35" s="18" t="n">
        <v>10</v>
      </c>
      <c r="AK35" s="16" t="n">
        <v>349.4</v>
      </c>
      <c r="AL35" s="17" t="n">
        <v>9.591</v>
      </c>
      <c r="AM35" s="17" t="n">
        <v>0.027</v>
      </c>
      <c r="AN35" s="16" t="n">
        <v>52.4</v>
      </c>
      <c r="AO35" s="19"/>
      <c r="AP35" s="19"/>
      <c r="AQ35" s="19"/>
      <c r="AR35" s="19"/>
      <c r="AS35" s="18" t="n">
        <f aca="false">Table1[[#This Row],[Object_A_._head_time]]+Table1[[#This Row],[Object_B_._head_time]]</f>
        <v>70.3</v>
      </c>
      <c r="AT35" s="20"/>
      <c r="AU35" s="20"/>
      <c r="AV35" s="21"/>
      <c r="AW35" s="20"/>
      <c r="AX35" s="19" t="n">
        <f aca="false">(Table1[[#This Row],[Object_A_._head_time]]/(Table1[[#This Row],[Object_A_._head_time]]+Table1[[#This Row],[Object_B_._head_time]]))</f>
        <v>0.357041251778094</v>
      </c>
      <c r="AY35" s="14" t="s">
        <v>64</v>
      </c>
      <c r="AZ35" s="14" t="s">
        <v>65</v>
      </c>
      <c r="BA35" s="18" t="s">
        <v>72</v>
      </c>
      <c r="BB35" s="18" t="n">
        <v>61</v>
      </c>
      <c r="BC35" s="18" t="n">
        <v>2.03333333333333</v>
      </c>
      <c r="BD35" s="18" t="s">
        <v>67</v>
      </c>
      <c r="BE35" s="23" t="n">
        <v>1</v>
      </c>
      <c r="BF35" s="18" t="s">
        <v>157</v>
      </c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24"/>
    </row>
    <row r="36" s="25" customFormat="true" ht="12" hidden="false" customHeight="true" outlineLevel="0" collapsed="false">
      <c r="A36" s="14" t="n">
        <v>82</v>
      </c>
      <c r="B36" s="15" t="s">
        <v>158</v>
      </c>
      <c r="C36" s="14" t="s">
        <v>59</v>
      </c>
      <c r="D36" s="14" t="s">
        <v>74</v>
      </c>
      <c r="E36" s="14" t="s">
        <v>61</v>
      </c>
      <c r="F36" s="14" t="s">
        <v>152</v>
      </c>
      <c r="G36" s="14" t="s">
        <v>159</v>
      </c>
      <c r="H36" s="16" t="n">
        <v>360</v>
      </c>
      <c r="I36" s="17" t="n">
        <v>68.345</v>
      </c>
      <c r="J36" s="17" t="n">
        <v>0.19</v>
      </c>
      <c r="K36" s="17" t="n">
        <v>0.472</v>
      </c>
      <c r="L36" s="16" t="n">
        <v>4.7</v>
      </c>
      <c r="M36" s="18" t="n">
        <v>102</v>
      </c>
      <c r="N36" s="16" t="n">
        <v>70.4</v>
      </c>
      <c r="O36" s="17" t="n">
        <v>9.36</v>
      </c>
      <c r="P36" s="17" t="n">
        <v>0.133</v>
      </c>
      <c r="Q36" s="17" t="n">
        <v>0.43</v>
      </c>
      <c r="R36" s="16" t="n">
        <v>24.9</v>
      </c>
      <c r="S36" s="18" t="n">
        <v>11176</v>
      </c>
      <c r="T36" s="16" t="n">
        <v>4.3</v>
      </c>
      <c r="U36" s="16" t="n">
        <v>14</v>
      </c>
      <c r="V36" s="18" t="n">
        <v>86</v>
      </c>
      <c r="W36" s="16" t="n">
        <v>57.9</v>
      </c>
      <c r="X36" s="17" t="n">
        <v>8.342</v>
      </c>
      <c r="Y36" s="17" t="n">
        <v>0.144</v>
      </c>
      <c r="Z36" s="17" t="n">
        <v>0.472</v>
      </c>
      <c r="AA36" s="16" t="n">
        <v>20</v>
      </c>
      <c r="AB36" s="18" t="n">
        <v>9188</v>
      </c>
      <c r="AC36" s="16" t="n">
        <v>0</v>
      </c>
      <c r="AD36" s="16" t="n">
        <v>11.2</v>
      </c>
      <c r="AE36" s="18" t="n">
        <v>144</v>
      </c>
      <c r="AF36" s="16" t="n">
        <v>87.9</v>
      </c>
      <c r="AG36" s="17" t="n">
        <v>20.014</v>
      </c>
      <c r="AH36" s="17" t="n">
        <v>0.228</v>
      </c>
      <c r="AI36" s="16" t="n">
        <v>0</v>
      </c>
      <c r="AJ36" s="18" t="n">
        <v>145</v>
      </c>
      <c r="AK36" s="16" t="n">
        <v>272.1</v>
      </c>
      <c r="AL36" s="17" t="n">
        <v>48.33</v>
      </c>
      <c r="AM36" s="17" t="n">
        <v>0.178</v>
      </c>
      <c r="AN36" s="16" t="n">
        <v>4.7</v>
      </c>
      <c r="AO36" s="19"/>
      <c r="AP36" s="19"/>
      <c r="AQ36" s="19"/>
      <c r="AR36" s="19"/>
      <c r="AS36" s="18" t="n">
        <f aca="false">Table1[[#This Row],[Object_A_._head_time]]+Table1[[#This Row],[Object_B_._head_time]]</f>
        <v>128.3</v>
      </c>
      <c r="AT36" s="20"/>
      <c r="AU36" s="20"/>
      <c r="AV36" s="21"/>
      <c r="AW36" s="20"/>
      <c r="AX36" s="19" t="n">
        <f aca="false">(Table1[[#This Row],[Object_A_._head_time]]/(Table1[[#This Row],[Object_A_._head_time]]+Table1[[#This Row],[Object_B_._head_time]]))</f>
        <v>0.54871395167576</v>
      </c>
      <c r="AY36" s="14" t="s">
        <v>64</v>
      </c>
      <c r="AZ36" s="14" t="s">
        <v>65</v>
      </c>
      <c r="BA36" s="18" t="s">
        <v>66</v>
      </c>
      <c r="BB36" s="18" t="n">
        <v>61</v>
      </c>
      <c r="BC36" s="18" t="n">
        <v>2.03333333333333</v>
      </c>
      <c r="BD36" s="18" t="s">
        <v>81</v>
      </c>
      <c r="BE36" s="23" t="n">
        <v>4</v>
      </c>
      <c r="BF36" s="18" t="s">
        <v>160</v>
      </c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24"/>
    </row>
    <row r="37" s="25" customFormat="true" ht="12" hidden="false" customHeight="true" outlineLevel="0" collapsed="false">
      <c r="A37" s="14" t="n">
        <v>81</v>
      </c>
      <c r="B37" s="15" t="s">
        <v>161</v>
      </c>
      <c r="C37" s="14" t="s">
        <v>59</v>
      </c>
      <c r="D37" s="14" t="s">
        <v>79</v>
      </c>
      <c r="E37" s="14" t="s">
        <v>61</v>
      </c>
      <c r="F37" s="14" t="s">
        <v>152</v>
      </c>
      <c r="G37" s="14" t="s">
        <v>162</v>
      </c>
      <c r="H37" s="16" t="n">
        <v>360</v>
      </c>
      <c r="I37" s="17" t="n">
        <v>23.363</v>
      </c>
      <c r="J37" s="17" t="n">
        <v>0.065</v>
      </c>
      <c r="K37" s="17" t="n">
        <v>0.335</v>
      </c>
      <c r="L37" s="16" t="n">
        <v>14.4</v>
      </c>
      <c r="M37" s="18" t="n">
        <v>44</v>
      </c>
      <c r="N37" s="16" t="n">
        <v>45.1</v>
      </c>
      <c r="O37" s="17" t="n">
        <v>3.129</v>
      </c>
      <c r="P37" s="17" t="n">
        <v>0.069</v>
      </c>
      <c r="Q37" s="17" t="n">
        <v>0.317</v>
      </c>
      <c r="R37" s="16" t="n">
        <v>14.6</v>
      </c>
      <c r="S37" s="18" t="n">
        <v>4232</v>
      </c>
      <c r="T37" s="16" t="n">
        <v>0</v>
      </c>
      <c r="U37" s="16" t="n">
        <v>16.3</v>
      </c>
      <c r="V37" s="18" t="n">
        <v>31</v>
      </c>
      <c r="W37" s="16" t="n">
        <v>29.8</v>
      </c>
      <c r="X37" s="17" t="n">
        <v>2.238</v>
      </c>
      <c r="Y37" s="17" t="n">
        <v>0.075</v>
      </c>
      <c r="Z37" s="17" t="n">
        <v>0.265</v>
      </c>
      <c r="AA37" s="16" t="n">
        <v>12</v>
      </c>
      <c r="AB37" s="18" t="n">
        <v>3114</v>
      </c>
      <c r="AC37" s="16" t="n">
        <v>0</v>
      </c>
      <c r="AD37" s="16" t="n">
        <v>10.7</v>
      </c>
      <c r="AE37" s="18" t="n">
        <v>22</v>
      </c>
      <c r="AF37" s="16" t="n">
        <v>24.5</v>
      </c>
      <c r="AG37" s="17" t="n">
        <v>3.154</v>
      </c>
      <c r="AH37" s="17" t="n">
        <v>0.129</v>
      </c>
      <c r="AI37" s="16" t="n">
        <v>0</v>
      </c>
      <c r="AJ37" s="18" t="n">
        <v>23</v>
      </c>
      <c r="AK37" s="16" t="n">
        <v>335.5</v>
      </c>
      <c r="AL37" s="17" t="n">
        <v>20.209</v>
      </c>
      <c r="AM37" s="17" t="n">
        <v>0.06</v>
      </c>
      <c r="AN37" s="16" t="n">
        <v>14.4</v>
      </c>
      <c r="AO37" s="19"/>
      <c r="AP37" s="19"/>
      <c r="AQ37" s="19"/>
      <c r="AR37" s="19"/>
      <c r="AS37" s="18" t="n">
        <f aca="false">Table1[[#This Row],[Object_A_._head_time]]+Table1[[#This Row],[Object_B_._head_time]]</f>
        <v>74.9</v>
      </c>
      <c r="AT37" s="20"/>
      <c r="AU37" s="20"/>
      <c r="AV37" s="21"/>
      <c r="AW37" s="20"/>
      <c r="AX37" s="19" t="n">
        <f aca="false">(Table1[[#This Row],[Object_A_._head_time]]/(Table1[[#This Row],[Object_A_._head_time]]+Table1[[#This Row],[Object_B_._head_time]]))</f>
        <v>0.602136181575434</v>
      </c>
      <c r="AY37" s="14" t="s">
        <v>64</v>
      </c>
      <c r="AZ37" s="14" t="s">
        <v>65</v>
      </c>
      <c r="BA37" s="18" t="s">
        <v>72</v>
      </c>
      <c r="BB37" s="18" t="n">
        <v>61</v>
      </c>
      <c r="BC37" s="18" t="n">
        <v>2.03333333333333</v>
      </c>
      <c r="BD37" s="18" t="s">
        <v>81</v>
      </c>
      <c r="BE37" s="23" t="n">
        <v>2</v>
      </c>
      <c r="BF37" s="18" t="s">
        <v>157</v>
      </c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24"/>
    </row>
    <row r="38" s="25" customFormat="true" ht="12" hidden="false" customHeight="true" outlineLevel="0" collapsed="false">
      <c r="A38" s="14" t="n">
        <v>84</v>
      </c>
      <c r="B38" s="15" t="s">
        <v>163</v>
      </c>
      <c r="C38" s="14" t="s">
        <v>59</v>
      </c>
      <c r="D38" s="14" t="s">
        <v>60</v>
      </c>
      <c r="E38" s="14" t="s">
        <v>61</v>
      </c>
      <c r="F38" s="14" t="s">
        <v>164</v>
      </c>
      <c r="G38" s="14" t="s">
        <v>165</v>
      </c>
      <c r="H38" s="16" t="n">
        <v>360</v>
      </c>
      <c r="I38" s="17" t="n">
        <v>19.808</v>
      </c>
      <c r="J38" s="17" t="n">
        <v>0.055</v>
      </c>
      <c r="K38" s="17" t="n">
        <v>0.306</v>
      </c>
      <c r="L38" s="16" t="n">
        <v>26.3</v>
      </c>
      <c r="M38" s="18" t="n">
        <v>22</v>
      </c>
      <c r="N38" s="16" t="n">
        <v>15.7</v>
      </c>
      <c r="O38" s="17" t="n">
        <v>0.562</v>
      </c>
      <c r="P38" s="17" t="n">
        <v>0.036</v>
      </c>
      <c r="Q38" s="17" t="n">
        <v>0.174</v>
      </c>
      <c r="R38" s="16" t="n">
        <v>9.5</v>
      </c>
      <c r="S38" s="18" t="n">
        <v>1133</v>
      </c>
      <c r="T38" s="16" t="n">
        <v>0</v>
      </c>
      <c r="U38" s="16" t="n">
        <v>13.4</v>
      </c>
      <c r="V38" s="18" t="n">
        <v>14</v>
      </c>
      <c r="W38" s="16" t="n">
        <v>10.7</v>
      </c>
      <c r="X38" s="17" t="n">
        <v>0.392</v>
      </c>
      <c r="Y38" s="17" t="n">
        <v>0.037</v>
      </c>
      <c r="Z38" s="17" t="n">
        <v>0.183</v>
      </c>
      <c r="AA38" s="16" t="n">
        <v>5.5</v>
      </c>
      <c r="AB38" s="18" t="n">
        <v>905</v>
      </c>
      <c r="AC38" s="16" t="n">
        <v>0</v>
      </c>
      <c r="AD38" s="16" t="n">
        <v>10.2</v>
      </c>
      <c r="AE38" s="18" t="n">
        <v>6</v>
      </c>
      <c r="AF38" s="16" t="n">
        <v>5.2</v>
      </c>
      <c r="AG38" s="17" t="n">
        <v>0.582</v>
      </c>
      <c r="AH38" s="17" t="n">
        <v>0.112</v>
      </c>
      <c r="AI38" s="16" t="n">
        <v>0</v>
      </c>
      <c r="AJ38" s="18" t="n">
        <v>7</v>
      </c>
      <c r="AK38" s="16" t="n">
        <v>354.8</v>
      </c>
      <c r="AL38" s="17" t="n">
        <v>19.226</v>
      </c>
      <c r="AM38" s="17" t="n">
        <v>0.054</v>
      </c>
      <c r="AN38" s="16" t="n">
        <v>26.3</v>
      </c>
      <c r="AO38" s="19"/>
      <c r="AP38" s="19"/>
      <c r="AQ38" s="19"/>
      <c r="AR38" s="19"/>
      <c r="AS38" s="18" t="n">
        <f aca="false">Table1[[#This Row],[Object_A_._head_time]]+Table1[[#This Row],[Object_B_._head_time]]</f>
        <v>26.4</v>
      </c>
      <c r="AT38" s="20"/>
      <c r="AU38" s="20"/>
      <c r="AV38" s="21"/>
      <c r="AW38" s="20"/>
      <c r="AX38" s="19" t="n">
        <f aca="false">(Table1[[#This Row],[Object_A_._head_time]]/(Table1[[#This Row],[Object_A_._head_time]]+Table1[[#This Row],[Object_B_._head_time]]))</f>
        <v>0.59469696969697</v>
      </c>
      <c r="AY38" s="14" t="s">
        <v>64</v>
      </c>
      <c r="AZ38" s="14" t="s">
        <v>65</v>
      </c>
      <c r="BA38" s="18" t="s">
        <v>66</v>
      </c>
      <c r="BB38" s="18" t="n">
        <v>61</v>
      </c>
      <c r="BC38" s="18" t="n">
        <v>2.03333333333333</v>
      </c>
      <c r="BD38" s="18" t="s">
        <v>81</v>
      </c>
      <c r="BE38" s="23" t="n">
        <v>4</v>
      </c>
      <c r="BF38" s="18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24"/>
    </row>
    <row r="39" s="25" customFormat="true" ht="12" hidden="false" customHeight="true" outlineLevel="0" collapsed="false">
      <c r="A39" s="14" t="n">
        <v>83</v>
      </c>
      <c r="B39" s="15" t="s">
        <v>166</v>
      </c>
      <c r="C39" s="14" t="s">
        <v>59</v>
      </c>
      <c r="D39" s="14" t="s">
        <v>69</v>
      </c>
      <c r="E39" s="14" t="s">
        <v>61</v>
      </c>
      <c r="F39" s="14" t="s">
        <v>164</v>
      </c>
      <c r="G39" s="14" t="s">
        <v>167</v>
      </c>
      <c r="H39" s="16" t="n">
        <v>360</v>
      </c>
      <c r="I39" s="17" t="n">
        <v>13.918</v>
      </c>
      <c r="J39" s="17" t="n">
        <v>0.039</v>
      </c>
      <c r="K39" s="17" t="n">
        <v>0.274</v>
      </c>
      <c r="L39" s="16" t="n">
        <v>109.2</v>
      </c>
      <c r="M39" s="18" t="n">
        <v>13</v>
      </c>
      <c r="N39" s="16" t="n">
        <v>15.2</v>
      </c>
      <c r="O39" s="17" t="n">
        <v>1.151</v>
      </c>
      <c r="P39" s="17" t="n">
        <v>0.076</v>
      </c>
      <c r="Q39" s="17" t="n">
        <v>0.232</v>
      </c>
      <c r="R39" s="16" t="n">
        <v>4.7</v>
      </c>
      <c r="S39" s="18" t="n">
        <v>1213</v>
      </c>
      <c r="T39" s="16" t="n">
        <v>0</v>
      </c>
      <c r="U39" s="16" t="n">
        <v>7.3</v>
      </c>
      <c r="V39" s="18" t="n">
        <v>29</v>
      </c>
      <c r="W39" s="16" t="n">
        <v>33.3</v>
      </c>
      <c r="X39" s="17" t="n">
        <v>1.949</v>
      </c>
      <c r="Y39" s="17" t="n">
        <v>0.058</v>
      </c>
      <c r="Z39" s="17" t="n">
        <v>0.262</v>
      </c>
      <c r="AA39" s="16" t="n">
        <v>10.9</v>
      </c>
      <c r="AB39" s="18" t="n">
        <v>2751</v>
      </c>
      <c r="AC39" s="16" t="n">
        <v>0</v>
      </c>
      <c r="AD39" s="16" t="n">
        <v>11.6</v>
      </c>
      <c r="AE39" s="18" t="n">
        <v>15</v>
      </c>
      <c r="AF39" s="16" t="n">
        <v>17.8</v>
      </c>
      <c r="AG39" s="17" t="n">
        <v>1.882</v>
      </c>
      <c r="AH39" s="17" t="n">
        <v>0.105</v>
      </c>
      <c r="AI39" s="16" t="n">
        <v>0</v>
      </c>
      <c r="AJ39" s="18" t="n">
        <v>16</v>
      </c>
      <c r="AK39" s="16" t="n">
        <v>342.2</v>
      </c>
      <c r="AL39" s="17" t="n">
        <v>12.036</v>
      </c>
      <c r="AM39" s="17" t="n">
        <v>0.035</v>
      </c>
      <c r="AN39" s="16" t="n">
        <v>109.2</v>
      </c>
      <c r="AO39" s="19"/>
      <c r="AP39" s="19"/>
      <c r="AQ39" s="19"/>
      <c r="AR39" s="19"/>
      <c r="AS39" s="18" t="n">
        <f aca="false">Table1[[#This Row],[Object_A_._head_time]]+Table1[[#This Row],[Object_B_._head_time]]</f>
        <v>48.5</v>
      </c>
      <c r="AT39" s="20"/>
      <c r="AU39" s="20"/>
      <c r="AV39" s="21"/>
      <c r="AW39" s="20"/>
      <c r="AX39" s="19" t="n">
        <f aca="false">(Table1[[#This Row],[Object_A_._head_time]]/(Table1[[#This Row],[Object_A_._head_time]]+Table1[[#This Row],[Object_B_._head_time]]))</f>
        <v>0.31340206185567</v>
      </c>
      <c r="AY39" s="14" t="s">
        <v>64</v>
      </c>
      <c r="AZ39" s="14" t="s">
        <v>65</v>
      </c>
      <c r="BA39" s="18" t="s">
        <v>66</v>
      </c>
      <c r="BB39" s="18" t="n">
        <v>61</v>
      </c>
      <c r="BC39" s="18" t="n">
        <v>2.03333333333333</v>
      </c>
      <c r="BD39" s="18" t="s">
        <v>67</v>
      </c>
      <c r="BE39" s="23" t="n">
        <v>3</v>
      </c>
      <c r="BF39" s="18" t="s">
        <v>168</v>
      </c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24"/>
    </row>
    <row r="40" s="25" customFormat="true" ht="12" hidden="false" customHeight="true" outlineLevel="0" collapsed="false">
      <c r="A40" s="14" t="n">
        <v>85</v>
      </c>
      <c r="B40" s="15" t="s">
        <v>169</v>
      </c>
      <c r="C40" s="14" t="s">
        <v>59</v>
      </c>
      <c r="D40" s="14" t="s">
        <v>74</v>
      </c>
      <c r="E40" s="14" t="s">
        <v>61</v>
      </c>
      <c r="F40" s="14" t="s">
        <v>164</v>
      </c>
      <c r="G40" s="14" t="s">
        <v>170</v>
      </c>
      <c r="H40" s="16" t="n">
        <v>360</v>
      </c>
      <c r="I40" s="17" t="n">
        <v>12.358</v>
      </c>
      <c r="J40" s="17" t="n">
        <v>0.034</v>
      </c>
      <c r="K40" s="17" t="n">
        <v>0.292</v>
      </c>
      <c r="L40" s="16" t="n">
        <v>112.6</v>
      </c>
      <c r="M40" s="18" t="n">
        <v>18</v>
      </c>
      <c r="N40" s="16" t="n">
        <v>11.7</v>
      </c>
      <c r="O40" s="17" t="n">
        <v>0.481</v>
      </c>
      <c r="P40" s="17" t="n">
        <v>0.041</v>
      </c>
      <c r="Q40" s="17" t="n">
        <v>0.2</v>
      </c>
      <c r="R40" s="16" t="n">
        <v>7.2</v>
      </c>
      <c r="S40" s="18" t="n">
        <v>835</v>
      </c>
      <c r="T40" s="16" t="n">
        <v>0.1</v>
      </c>
      <c r="U40" s="16" t="n">
        <v>10.5</v>
      </c>
      <c r="V40" s="18" t="n">
        <v>10</v>
      </c>
      <c r="W40" s="16" t="n">
        <v>10.1</v>
      </c>
      <c r="X40" s="17" t="n">
        <v>0.42</v>
      </c>
      <c r="Y40" s="17" t="n">
        <v>0.041</v>
      </c>
      <c r="Z40" s="17" t="n">
        <v>0.209</v>
      </c>
      <c r="AA40" s="16" t="n">
        <v>5.8</v>
      </c>
      <c r="AB40" s="18" t="n">
        <v>702</v>
      </c>
      <c r="AC40" s="16" t="n">
        <v>0</v>
      </c>
      <c r="AD40" s="16" t="n">
        <v>8.8</v>
      </c>
      <c r="AE40" s="18" t="n">
        <v>3</v>
      </c>
      <c r="AF40" s="16" t="n">
        <v>6.9</v>
      </c>
      <c r="AG40" s="17" t="n">
        <v>0.683</v>
      </c>
      <c r="AH40" s="17" t="n">
        <v>0.099</v>
      </c>
      <c r="AI40" s="16" t="n">
        <v>0</v>
      </c>
      <c r="AJ40" s="18" t="n">
        <v>4</v>
      </c>
      <c r="AK40" s="16" t="n">
        <v>353.1</v>
      </c>
      <c r="AL40" s="17" t="n">
        <v>11.674</v>
      </c>
      <c r="AM40" s="17" t="n">
        <v>0.033</v>
      </c>
      <c r="AN40" s="16" t="n">
        <v>112.6</v>
      </c>
      <c r="AO40" s="19"/>
      <c r="AP40" s="19"/>
      <c r="AQ40" s="19"/>
      <c r="AR40" s="19"/>
      <c r="AS40" s="18" t="n">
        <f aca="false">Table1[[#This Row],[Object_A_._head_time]]+Table1[[#This Row],[Object_B_._head_time]]</f>
        <v>21.8</v>
      </c>
      <c r="AT40" s="20"/>
      <c r="AU40" s="20"/>
      <c r="AV40" s="21"/>
      <c r="AW40" s="20"/>
      <c r="AX40" s="19" t="n">
        <f aca="false">(Table1[[#This Row],[Object_A_._head_time]]/(Table1[[#This Row],[Object_A_._head_time]]+Table1[[#This Row],[Object_B_._head_time]]))</f>
        <v>0.536697247706422</v>
      </c>
      <c r="AY40" s="14" t="s">
        <v>71</v>
      </c>
      <c r="AZ40" s="14" t="s">
        <v>65</v>
      </c>
      <c r="BA40" s="18" t="s">
        <v>72</v>
      </c>
      <c r="BB40" s="18" t="n">
        <v>61</v>
      </c>
      <c r="BC40" s="18" t="n">
        <v>2.03333333333333</v>
      </c>
      <c r="BD40" s="18" t="s">
        <v>67</v>
      </c>
      <c r="BE40" s="23" t="n">
        <v>1</v>
      </c>
      <c r="BF40" s="18" t="s">
        <v>171</v>
      </c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24"/>
    </row>
    <row r="41" s="25" customFormat="true" ht="12" hidden="false" customHeight="true" outlineLevel="0" collapsed="false">
      <c r="A41" s="14" t="n">
        <v>86</v>
      </c>
      <c r="B41" s="15" t="s">
        <v>172</v>
      </c>
      <c r="C41" s="14" t="s">
        <v>59</v>
      </c>
      <c r="D41" s="14" t="s">
        <v>79</v>
      </c>
      <c r="E41" s="14" t="s">
        <v>61</v>
      </c>
      <c r="F41" s="14" t="s">
        <v>164</v>
      </c>
      <c r="G41" s="14" t="s">
        <v>173</v>
      </c>
      <c r="H41" s="16" t="n">
        <v>360</v>
      </c>
      <c r="I41" s="17" t="n">
        <v>9.807</v>
      </c>
      <c r="J41" s="17" t="n">
        <v>0.027</v>
      </c>
      <c r="K41" s="17" t="n">
        <v>0.202</v>
      </c>
      <c r="L41" s="16" t="n">
        <v>105</v>
      </c>
      <c r="M41" s="18" t="n">
        <v>15</v>
      </c>
      <c r="N41" s="16" t="n">
        <v>12.2</v>
      </c>
      <c r="O41" s="17" t="n">
        <v>0.577</v>
      </c>
      <c r="P41" s="17" t="n">
        <v>0.047</v>
      </c>
      <c r="Q41" s="17" t="n">
        <v>0.189</v>
      </c>
      <c r="R41" s="16" t="n">
        <v>5</v>
      </c>
      <c r="S41" s="18" t="n">
        <v>1036</v>
      </c>
      <c r="T41" s="16" t="n">
        <v>0</v>
      </c>
      <c r="U41" s="16" t="n">
        <v>6.6</v>
      </c>
      <c r="V41" s="18" t="n">
        <v>11</v>
      </c>
      <c r="W41" s="16" t="n">
        <v>13.5</v>
      </c>
      <c r="X41" s="17" t="n">
        <v>0.663</v>
      </c>
      <c r="Y41" s="17" t="n">
        <v>0.049</v>
      </c>
      <c r="Z41" s="17" t="n">
        <v>0.154</v>
      </c>
      <c r="AA41" s="16" t="n">
        <v>5.8</v>
      </c>
      <c r="AB41" s="18" t="n">
        <v>944</v>
      </c>
      <c r="AC41" s="16" t="n">
        <v>0.9</v>
      </c>
      <c r="AD41" s="16" t="n">
        <v>4.6</v>
      </c>
      <c r="AE41" s="18" t="n">
        <v>19</v>
      </c>
      <c r="AF41" s="16" t="n">
        <v>34.9</v>
      </c>
      <c r="AG41" s="17" t="n">
        <v>2.459</v>
      </c>
      <c r="AH41" s="17" t="n">
        <v>0.07</v>
      </c>
      <c r="AI41" s="16" t="n">
        <v>0.3</v>
      </c>
      <c r="AJ41" s="18" t="n">
        <v>19</v>
      </c>
      <c r="AK41" s="16" t="n">
        <v>325.1</v>
      </c>
      <c r="AL41" s="17" t="n">
        <v>7.348</v>
      </c>
      <c r="AM41" s="17" t="n">
        <v>0.023</v>
      </c>
      <c r="AN41" s="16" t="n">
        <v>104.7</v>
      </c>
      <c r="AO41" s="19"/>
      <c r="AP41" s="19"/>
      <c r="AQ41" s="19"/>
      <c r="AR41" s="19"/>
      <c r="AS41" s="18" t="n">
        <f aca="false">Table1[[#This Row],[Object_A_._head_time]]+Table1[[#This Row],[Object_B_._head_time]]</f>
        <v>25.7</v>
      </c>
      <c r="AT41" s="20"/>
      <c r="AU41" s="20"/>
      <c r="AV41" s="21"/>
      <c r="AW41" s="20"/>
      <c r="AX41" s="19" t="n">
        <f aca="false">(Table1[[#This Row],[Object_A_._head_time]]/(Table1[[#This Row],[Object_A_._head_time]]+Table1[[#This Row],[Object_B_._head_time]]))</f>
        <v>0.474708171206226</v>
      </c>
      <c r="AY41" s="14" t="s">
        <v>71</v>
      </c>
      <c r="AZ41" s="14" t="s">
        <v>65</v>
      </c>
      <c r="BA41" s="18" t="s">
        <v>66</v>
      </c>
      <c r="BB41" s="18" t="n">
        <v>61</v>
      </c>
      <c r="BC41" s="18" t="n">
        <v>2.03333333333333</v>
      </c>
      <c r="BD41" s="18" t="s">
        <v>81</v>
      </c>
      <c r="BE41" s="23" t="n">
        <v>4</v>
      </c>
      <c r="BF41" s="18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24"/>
    </row>
    <row r="42" s="25" customFormat="true" ht="12" hidden="false" customHeight="true" outlineLevel="0" collapsed="false">
      <c r="A42" s="14" t="n">
        <v>87</v>
      </c>
      <c r="B42" s="15" t="s">
        <v>174</v>
      </c>
      <c r="C42" s="14" t="s">
        <v>59</v>
      </c>
      <c r="D42" s="14" t="s">
        <v>60</v>
      </c>
      <c r="E42" s="14" t="s">
        <v>61</v>
      </c>
      <c r="F42" s="14" t="s">
        <v>175</v>
      </c>
      <c r="G42" s="14" t="s">
        <v>176</v>
      </c>
      <c r="H42" s="16" t="n">
        <v>360</v>
      </c>
      <c r="I42" s="17" t="n">
        <v>5.271</v>
      </c>
      <c r="J42" s="17" t="n">
        <v>0.015</v>
      </c>
      <c r="K42" s="17" t="n">
        <v>0.308</v>
      </c>
      <c r="L42" s="16" t="n">
        <v>176.6</v>
      </c>
      <c r="M42" s="18" t="n">
        <v>54</v>
      </c>
      <c r="N42" s="16" t="n">
        <v>45.4</v>
      </c>
      <c r="O42" s="17" t="n">
        <v>0.516</v>
      </c>
      <c r="P42" s="17" t="n">
        <v>0.011</v>
      </c>
      <c r="Q42" s="17" t="n">
        <v>0.27</v>
      </c>
      <c r="R42" s="16" t="n">
        <v>24</v>
      </c>
      <c r="S42" s="18" t="n">
        <v>1857</v>
      </c>
      <c r="T42" s="16" t="n">
        <v>21</v>
      </c>
      <c r="U42" s="16" t="n">
        <v>38.7</v>
      </c>
      <c r="V42" s="18" t="n">
        <v>5</v>
      </c>
      <c r="W42" s="16" t="n">
        <v>3.2</v>
      </c>
      <c r="X42" s="17" t="n">
        <v>0.296</v>
      </c>
      <c r="Y42" s="17" t="n">
        <v>0.092</v>
      </c>
      <c r="Z42" s="17" t="n">
        <v>0.205</v>
      </c>
      <c r="AA42" s="16" t="n">
        <v>1.7</v>
      </c>
      <c r="AB42" s="18" t="n">
        <v>274</v>
      </c>
      <c r="AC42" s="16" t="n">
        <v>0</v>
      </c>
      <c r="AD42" s="16" t="n">
        <v>2.1</v>
      </c>
      <c r="AE42" s="18" t="n">
        <v>5</v>
      </c>
      <c r="AF42" s="16" t="n">
        <v>3.1</v>
      </c>
      <c r="AG42" s="17" t="n">
        <v>0.75</v>
      </c>
      <c r="AH42" s="17" t="n">
        <v>0.239</v>
      </c>
      <c r="AI42" s="16" t="n">
        <v>0</v>
      </c>
      <c r="AJ42" s="18" t="n">
        <v>7</v>
      </c>
      <c r="AK42" s="16" t="n">
        <v>355.5</v>
      </c>
      <c r="AL42" s="17" t="n">
        <v>4.475</v>
      </c>
      <c r="AM42" s="17" t="n">
        <v>0.013</v>
      </c>
      <c r="AN42" s="16" t="n">
        <v>176</v>
      </c>
      <c r="AO42" s="19"/>
      <c r="AP42" s="19"/>
      <c r="AQ42" s="19"/>
      <c r="AR42" s="19"/>
      <c r="AS42" s="18" t="n">
        <f aca="false">Table1[[#This Row],[Object_A_._head_time]]+Table1[[#This Row],[Object_B_._head_time]]</f>
        <v>48.6</v>
      </c>
      <c r="AT42" s="20"/>
      <c r="AU42" s="20"/>
      <c r="AV42" s="21"/>
      <c r="AW42" s="20"/>
      <c r="AX42" s="26" t="n">
        <f aca="false">(Table1[[#This Row],[Object_A_._head_time]]/(Table1[[#This Row],[Object_A_._head_time]]+Table1[[#This Row],[Object_B_._head_time]]))</f>
        <v>0.934156378600823</v>
      </c>
      <c r="AY42" s="14" t="s">
        <v>71</v>
      </c>
      <c r="AZ42" s="14" t="s">
        <v>65</v>
      </c>
      <c r="BA42" s="18" t="s">
        <v>72</v>
      </c>
      <c r="BB42" s="18" t="n">
        <v>61</v>
      </c>
      <c r="BC42" s="18" t="n">
        <v>2.03333333333333</v>
      </c>
      <c r="BD42" s="18" t="s">
        <v>81</v>
      </c>
      <c r="BE42" s="23" t="n">
        <v>2</v>
      </c>
      <c r="BF42" s="18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24"/>
    </row>
    <row r="43" s="25" customFormat="true" ht="12" hidden="false" customHeight="true" outlineLevel="0" collapsed="false">
      <c r="A43" s="14" t="n">
        <v>88</v>
      </c>
      <c r="B43" s="15" t="s">
        <v>177</v>
      </c>
      <c r="C43" s="14" t="s">
        <v>59</v>
      </c>
      <c r="D43" s="14" t="s">
        <v>69</v>
      </c>
      <c r="E43" s="14" t="s">
        <v>61</v>
      </c>
      <c r="F43" s="14" t="s">
        <v>175</v>
      </c>
      <c r="G43" s="14" t="s">
        <v>178</v>
      </c>
      <c r="H43" s="16" t="n">
        <v>360</v>
      </c>
      <c r="I43" s="17" t="n">
        <v>11.217</v>
      </c>
      <c r="J43" s="17" t="n">
        <v>0.031</v>
      </c>
      <c r="K43" s="17" t="n">
        <v>0.241</v>
      </c>
      <c r="L43" s="16" t="n">
        <v>46.1</v>
      </c>
      <c r="M43" s="18" t="n">
        <v>17</v>
      </c>
      <c r="N43" s="16" t="n">
        <v>15.3</v>
      </c>
      <c r="O43" s="17" t="n">
        <v>1.182</v>
      </c>
      <c r="P43" s="17" t="n">
        <v>0.077</v>
      </c>
      <c r="Q43" s="17" t="n">
        <v>0.207</v>
      </c>
      <c r="R43" s="16" t="n">
        <v>8.7</v>
      </c>
      <c r="S43" s="18" t="n">
        <v>1281</v>
      </c>
      <c r="T43" s="16" t="n">
        <v>0</v>
      </c>
      <c r="U43" s="16" t="n">
        <v>6.1</v>
      </c>
      <c r="V43" s="18" t="n">
        <v>22</v>
      </c>
      <c r="W43" s="16" t="n">
        <v>22.6</v>
      </c>
      <c r="X43" s="17" t="n">
        <v>1.265</v>
      </c>
      <c r="Y43" s="17" t="n">
        <v>0.056</v>
      </c>
      <c r="Z43" s="17" t="n">
        <v>0.202</v>
      </c>
      <c r="AA43" s="16" t="n">
        <v>7</v>
      </c>
      <c r="AB43" s="18" t="n">
        <v>2072</v>
      </c>
      <c r="AC43" s="16" t="n">
        <v>0</v>
      </c>
      <c r="AD43" s="16" t="n">
        <v>5.6</v>
      </c>
      <c r="AE43" s="18" t="n">
        <v>8</v>
      </c>
      <c r="AF43" s="16" t="n">
        <v>10.2</v>
      </c>
      <c r="AG43" s="17" t="n">
        <v>1.483</v>
      </c>
      <c r="AH43" s="17" t="n">
        <v>0.145</v>
      </c>
      <c r="AI43" s="16" t="n">
        <v>0</v>
      </c>
      <c r="AJ43" s="18" t="n">
        <v>9</v>
      </c>
      <c r="AK43" s="16" t="n">
        <v>349.8</v>
      </c>
      <c r="AL43" s="17" t="n">
        <v>9.735</v>
      </c>
      <c r="AM43" s="17" t="n">
        <v>0.028</v>
      </c>
      <c r="AN43" s="16" t="n">
        <v>46.1</v>
      </c>
      <c r="AO43" s="19"/>
      <c r="AP43" s="19"/>
      <c r="AQ43" s="19"/>
      <c r="AR43" s="19"/>
      <c r="AS43" s="18" t="n">
        <f aca="false">Table1[[#This Row],[Object_A_._head_time]]+Table1[[#This Row],[Object_B_._head_time]]</f>
        <v>37.9</v>
      </c>
      <c r="AT43" s="20"/>
      <c r="AU43" s="20"/>
      <c r="AV43" s="21"/>
      <c r="AW43" s="20"/>
      <c r="AX43" s="19" t="n">
        <f aca="false">(Table1[[#This Row],[Object_A_._head_time]]/(Table1[[#This Row],[Object_A_._head_time]]+Table1[[#This Row],[Object_B_._head_time]]))</f>
        <v>0.403693931398417</v>
      </c>
      <c r="AY43" s="14" t="s">
        <v>64</v>
      </c>
      <c r="AZ43" s="14" t="s">
        <v>65</v>
      </c>
      <c r="BA43" s="18" t="s">
        <v>72</v>
      </c>
      <c r="BB43" s="18" t="n">
        <v>60</v>
      </c>
      <c r="BC43" s="18" t="n">
        <v>2</v>
      </c>
      <c r="BD43" s="18" t="s">
        <v>67</v>
      </c>
      <c r="BE43" s="23" t="n">
        <v>1</v>
      </c>
      <c r="BF43" s="18" t="s">
        <v>179</v>
      </c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24"/>
    </row>
    <row r="44" s="25" customFormat="true" ht="12" hidden="false" customHeight="true" outlineLevel="0" collapsed="false">
      <c r="A44" s="14" t="n">
        <v>89</v>
      </c>
      <c r="B44" s="15" t="s">
        <v>180</v>
      </c>
      <c r="C44" s="14" t="s">
        <v>59</v>
      </c>
      <c r="D44" s="14" t="s">
        <v>74</v>
      </c>
      <c r="E44" s="14" t="s">
        <v>61</v>
      </c>
      <c r="F44" s="14" t="s">
        <v>175</v>
      </c>
      <c r="G44" s="14" t="s">
        <v>181</v>
      </c>
      <c r="H44" s="16" t="n">
        <v>360</v>
      </c>
      <c r="I44" s="17" t="n">
        <v>12.542</v>
      </c>
      <c r="J44" s="17" t="n">
        <v>0.035</v>
      </c>
      <c r="K44" s="17" t="n">
        <v>0.245</v>
      </c>
      <c r="L44" s="16" t="n">
        <v>10.3</v>
      </c>
      <c r="M44" s="18" t="n">
        <v>20</v>
      </c>
      <c r="N44" s="16" t="n">
        <v>23.4</v>
      </c>
      <c r="O44" s="17" t="n">
        <v>1.109</v>
      </c>
      <c r="P44" s="17" t="n">
        <v>0.047</v>
      </c>
      <c r="Q44" s="17" t="n">
        <v>0.197</v>
      </c>
      <c r="R44" s="16" t="n">
        <v>8.5</v>
      </c>
      <c r="S44" s="18" t="n">
        <v>1859</v>
      </c>
      <c r="T44" s="16" t="n">
        <v>0</v>
      </c>
      <c r="U44" s="16" t="n">
        <v>9.7</v>
      </c>
      <c r="V44" s="18" t="n">
        <v>20</v>
      </c>
      <c r="W44" s="16" t="n">
        <v>24.8</v>
      </c>
      <c r="X44" s="17" t="n">
        <v>1.322</v>
      </c>
      <c r="Y44" s="17" t="n">
        <v>0.053</v>
      </c>
      <c r="Z44" s="17" t="n">
        <v>0.189</v>
      </c>
      <c r="AA44" s="16" t="n">
        <v>12.2</v>
      </c>
      <c r="AB44" s="18" t="n">
        <v>1710</v>
      </c>
      <c r="AC44" s="16" t="n">
        <v>0</v>
      </c>
      <c r="AD44" s="16" t="n">
        <v>7.9</v>
      </c>
      <c r="AE44" s="18" t="n">
        <v>13</v>
      </c>
      <c r="AF44" s="16" t="n">
        <v>27.9</v>
      </c>
      <c r="AG44" s="17" t="n">
        <v>2.509</v>
      </c>
      <c r="AH44" s="17" t="n">
        <v>0.09</v>
      </c>
      <c r="AI44" s="16" t="n">
        <v>0</v>
      </c>
      <c r="AJ44" s="18" t="n">
        <v>14</v>
      </c>
      <c r="AK44" s="16" t="n">
        <v>332.1</v>
      </c>
      <c r="AL44" s="17" t="n">
        <v>10.033</v>
      </c>
      <c r="AM44" s="17" t="n">
        <v>0.03</v>
      </c>
      <c r="AN44" s="16" t="n">
        <v>10.3</v>
      </c>
      <c r="AO44" s="19"/>
      <c r="AP44" s="19"/>
      <c r="AQ44" s="19"/>
      <c r="AR44" s="19"/>
      <c r="AS44" s="18" t="n">
        <f aca="false">Table1[[#This Row],[Object_A_._head_time]]+Table1[[#This Row],[Object_B_._head_time]]</f>
        <v>48.2</v>
      </c>
      <c r="AT44" s="20"/>
      <c r="AU44" s="20"/>
      <c r="AV44" s="21"/>
      <c r="AW44" s="20"/>
      <c r="AX44" s="19" t="n">
        <f aca="false">(Table1[[#This Row],[Object_A_._head_time]]/(Table1[[#This Row],[Object_A_._head_time]]+Table1[[#This Row],[Object_B_._head_time]]))</f>
        <v>0.485477178423236</v>
      </c>
      <c r="AY44" s="14" t="s">
        <v>71</v>
      </c>
      <c r="AZ44" s="14" t="s">
        <v>65</v>
      </c>
      <c r="BA44" s="18" t="s">
        <v>72</v>
      </c>
      <c r="BB44" s="18" t="n">
        <v>53</v>
      </c>
      <c r="BC44" s="18" t="n">
        <v>1.76666666666667</v>
      </c>
      <c r="BD44" s="18" t="s">
        <v>81</v>
      </c>
      <c r="BE44" s="23" t="n">
        <v>2</v>
      </c>
      <c r="BF44" s="18" t="s">
        <v>182</v>
      </c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24"/>
    </row>
    <row r="45" s="25" customFormat="true" ht="12" hidden="false" customHeight="true" outlineLevel="0" collapsed="false">
      <c r="A45" s="14" t="n">
        <v>90</v>
      </c>
      <c r="B45" s="15" t="s">
        <v>183</v>
      </c>
      <c r="C45" s="14" t="s">
        <v>59</v>
      </c>
      <c r="D45" s="14" t="s">
        <v>79</v>
      </c>
      <c r="E45" s="14" t="s">
        <v>61</v>
      </c>
      <c r="F45" s="14" t="s">
        <v>175</v>
      </c>
      <c r="G45" s="14" t="s">
        <v>184</v>
      </c>
      <c r="H45" s="16" t="n">
        <v>360</v>
      </c>
      <c r="I45" s="17" t="n">
        <v>16.099</v>
      </c>
      <c r="J45" s="17" t="n">
        <v>0.045</v>
      </c>
      <c r="K45" s="17" t="n">
        <v>0.292</v>
      </c>
      <c r="L45" s="16" t="n">
        <v>55.7</v>
      </c>
      <c r="M45" s="18" t="n">
        <v>31</v>
      </c>
      <c r="N45" s="16" t="n">
        <v>33.2</v>
      </c>
      <c r="O45" s="17" t="n">
        <v>1.891</v>
      </c>
      <c r="P45" s="17" t="n">
        <v>0.057</v>
      </c>
      <c r="Q45" s="17" t="n">
        <v>0.223</v>
      </c>
      <c r="R45" s="16" t="n">
        <v>16</v>
      </c>
      <c r="S45" s="18" t="n">
        <v>2578</v>
      </c>
      <c r="T45" s="16" t="n">
        <v>0</v>
      </c>
      <c r="U45" s="16" t="n">
        <v>19.6</v>
      </c>
      <c r="V45" s="18" t="n">
        <v>21</v>
      </c>
      <c r="W45" s="16" t="n">
        <v>28.9</v>
      </c>
      <c r="X45" s="17" t="n">
        <v>1.579</v>
      </c>
      <c r="Y45" s="17" t="n">
        <v>0.055</v>
      </c>
      <c r="Z45" s="17" t="n">
        <v>0.212</v>
      </c>
      <c r="AA45" s="16" t="n">
        <v>13.9</v>
      </c>
      <c r="AB45" s="18" t="n">
        <v>2081</v>
      </c>
      <c r="AC45" s="16" t="n">
        <v>0</v>
      </c>
      <c r="AD45" s="16" t="n">
        <v>12.4</v>
      </c>
      <c r="AE45" s="18" t="n">
        <v>15</v>
      </c>
      <c r="AF45" s="16" t="n">
        <v>20.2</v>
      </c>
      <c r="AG45" s="17" t="n">
        <v>1.768</v>
      </c>
      <c r="AH45" s="17" t="n">
        <v>0.087</v>
      </c>
      <c r="AI45" s="16" t="n">
        <v>0</v>
      </c>
      <c r="AJ45" s="18" t="n">
        <v>16</v>
      </c>
      <c r="AK45" s="16" t="n">
        <v>339.8</v>
      </c>
      <c r="AL45" s="17" t="n">
        <v>14.331</v>
      </c>
      <c r="AM45" s="17" t="n">
        <v>0.042</v>
      </c>
      <c r="AN45" s="16" t="n">
        <v>55.7</v>
      </c>
      <c r="AO45" s="19"/>
      <c r="AP45" s="19"/>
      <c r="AQ45" s="19"/>
      <c r="AR45" s="19"/>
      <c r="AS45" s="18" t="n">
        <f aca="false">Table1[[#This Row],[Object_A_._head_time]]+Table1[[#This Row],[Object_B_._head_time]]</f>
        <v>62.1</v>
      </c>
      <c r="AT45" s="20"/>
      <c r="AU45" s="20"/>
      <c r="AV45" s="21"/>
      <c r="AW45" s="20"/>
      <c r="AX45" s="19" t="n">
        <f aca="false">(Table1[[#This Row],[Object_A_._head_time]]/(Table1[[#This Row],[Object_A_._head_time]]+Table1[[#This Row],[Object_B_._head_time]]))</f>
        <v>0.534621578099839</v>
      </c>
      <c r="AY45" s="14" t="s">
        <v>71</v>
      </c>
      <c r="AZ45" s="14" t="s">
        <v>76</v>
      </c>
      <c r="BA45" s="18" t="s">
        <v>72</v>
      </c>
      <c r="BB45" s="18" t="n">
        <v>42</v>
      </c>
      <c r="BC45" s="18" t="n">
        <v>1.4</v>
      </c>
      <c r="BD45" s="18" t="s">
        <v>67</v>
      </c>
      <c r="BE45" s="23" t="n">
        <v>5</v>
      </c>
      <c r="BF45" s="18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24"/>
    </row>
    <row r="46" s="25" customFormat="true" ht="12" hidden="false" customHeight="true" outlineLevel="0" collapsed="false">
      <c r="A46" s="14" t="n">
        <v>92</v>
      </c>
      <c r="B46" s="15" t="s">
        <v>185</v>
      </c>
      <c r="C46" s="14" t="s">
        <v>59</v>
      </c>
      <c r="D46" s="14" t="s">
        <v>60</v>
      </c>
      <c r="E46" s="14" t="s">
        <v>61</v>
      </c>
      <c r="F46" s="14" t="s">
        <v>186</v>
      </c>
      <c r="G46" s="14" t="s">
        <v>187</v>
      </c>
      <c r="H46" s="16" t="n">
        <v>360</v>
      </c>
      <c r="I46" s="17" t="n">
        <v>18.15</v>
      </c>
      <c r="J46" s="17" t="n">
        <v>0.05</v>
      </c>
      <c r="K46" s="17" t="n">
        <v>0.315</v>
      </c>
      <c r="L46" s="16" t="n">
        <v>19.6</v>
      </c>
      <c r="M46" s="18" t="n">
        <v>23</v>
      </c>
      <c r="N46" s="16" t="n">
        <v>25.8</v>
      </c>
      <c r="O46" s="17" t="n">
        <v>0.641</v>
      </c>
      <c r="P46" s="17" t="n">
        <v>0.025</v>
      </c>
      <c r="Q46" s="17" t="n">
        <v>0.194</v>
      </c>
      <c r="R46" s="16" t="n">
        <v>18.2</v>
      </c>
      <c r="S46" s="18" t="n">
        <v>1823</v>
      </c>
      <c r="T46" s="16" t="n">
        <v>0</v>
      </c>
      <c r="U46" s="16" t="n">
        <v>21.3</v>
      </c>
      <c r="V46" s="18" t="n">
        <v>28</v>
      </c>
      <c r="W46" s="16" t="n">
        <v>25.5</v>
      </c>
      <c r="X46" s="17" t="n">
        <v>0.887</v>
      </c>
      <c r="Y46" s="17" t="n">
        <v>0.035</v>
      </c>
      <c r="Z46" s="17" t="n">
        <v>0.241</v>
      </c>
      <c r="AA46" s="16" t="n">
        <v>17.2</v>
      </c>
      <c r="AB46" s="18" t="n">
        <v>2159</v>
      </c>
      <c r="AC46" s="16" t="n">
        <v>0</v>
      </c>
      <c r="AD46" s="16" t="n">
        <v>20.8</v>
      </c>
      <c r="AE46" s="18" t="n">
        <v>7</v>
      </c>
      <c r="AF46" s="16" t="n">
        <v>8.5</v>
      </c>
      <c r="AG46" s="17" t="n">
        <v>0.861</v>
      </c>
      <c r="AH46" s="17" t="n">
        <v>0.101</v>
      </c>
      <c r="AI46" s="16" t="n">
        <v>0</v>
      </c>
      <c r="AJ46" s="18" t="n">
        <v>8</v>
      </c>
      <c r="AK46" s="16" t="n">
        <v>351.5</v>
      </c>
      <c r="AL46" s="17" t="n">
        <v>17.289</v>
      </c>
      <c r="AM46" s="17" t="n">
        <v>0.049</v>
      </c>
      <c r="AN46" s="16" t="n">
        <v>19.6</v>
      </c>
      <c r="AO46" s="19"/>
      <c r="AP46" s="19"/>
      <c r="AQ46" s="19"/>
      <c r="AR46" s="19"/>
      <c r="AS46" s="18" t="n">
        <f aca="false">Table1[[#This Row],[Object_A_._head_time]]+Table1[[#This Row],[Object_B_._head_time]]</f>
        <v>51.3</v>
      </c>
      <c r="AT46" s="20"/>
      <c r="AU46" s="20"/>
      <c r="AV46" s="21"/>
      <c r="AW46" s="20"/>
      <c r="AX46" s="19" t="n">
        <f aca="false">(Table1[[#This Row],[Object_A_._head_time]]/(Table1[[#This Row],[Object_A_._head_time]]+Table1[[#This Row],[Object_B_._head_time]]))</f>
        <v>0.502923976608187</v>
      </c>
      <c r="AY46" s="14" t="s">
        <v>71</v>
      </c>
      <c r="AZ46" s="14" t="s">
        <v>76</v>
      </c>
      <c r="BA46" s="18" t="s">
        <v>66</v>
      </c>
      <c r="BB46" s="18" t="n">
        <v>42</v>
      </c>
      <c r="BC46" s="18" t="n">
        <v>1.4</v>
      </c>
      <c r="BD46" s="18" t="s">
        <v>81</v>
      </c>
      <c r="BE46" s="23" t="n">
        <v>8</v>
      </c>
      <c r="BF46" s="18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24"/>
    </row>
    <row r="47" s="25" customFormat="true" ht="12" hidden="false" customHeight="true" outlineLevel="0" collapsed="false">
      <c r="A47" s="14" t="n">
        <v>91</v>
      </c>
      <c r="B47" s="15" t="s">
        <v>188</v>
      </c>
      <c r="C47" s="14" t="s">
        <v>59</v>
      </c>
      <c r="D47" s="14" t="s">
        <v>69</v>
      </c>
      <c r="E47" s="14" t="s">
        <v>61</v>
      </c>
      <c r="F47" s="14" t="s">
        <v>186</v>
      </c>
      <c r="G47" s="14" t="s">
        <v>189</v>
      </c>
      <c r="H47" s="16" t="n">
        <v>360</v>
      </c>
      <c r="I47" s="17" t="n">
        <v>18.548</v>
      </c>
      <c r="J47" s="17" t="n">
        <v>0.052</v>
      </c>
      <c r="K47" s="17" t="n">
        <v>0.273</v>
      </c>
      <c r="L47" s="16" t="n">
        <v>2.7</v>
      </c>
      <c r="M47" s="18" t="n">
        <v>26</v>
      </c>
      <c r="N47" s="16" t="n">
        <v>49.7</v>
      </c>
      <c r="O47" s="17" t="n">
        <v>2.918</v>
      </c>
      <c r="P47" s="17" t="n">
        <v>0.059</v>
      </c>
      <c r="Q47" s="17" t="n">
        <v>0.225</v>
      </c>
      <c r="R47" s="16" t="n">
        <v>13.6</v>
      </c>
      <c r="S47" s="18" t="n">
        <v>4708</v>
      </c>
      <c r="T47" s="16" t="n">
        <v>0</v>
      </c>
      <c r="U47" s="16" t="n">
        <v>5.2</v>
      </c>
      <c r="V47" s="18" t="n">
        <v>30</v>
      </c>
      <c r="W47" s="16" t="n">
        <v>66.4</v>
      </c>
      <c r="X47" s="17" t="n">
        <v>2.9</v>
      </c>
      <c r="Y47" s="17" t="n">
        <v>0.044</v>
      </c>
      <c r="Z47" s="17" t="n">
        <v>0.245</v>
      </c>
      <c r="AA47" s="16" t="n">
        <v>15.9</v>
      </c>
      <c r="AB47" s="18" t="n">
        <v>5279</v>
      </c>
      <c r="AC47" s="16" t="n">
        <v>0</v>
      </c>
      <c r="AD47" s="16" t="n">
        <v>5.8</v>
      </c>
      <c r="AE47" s="18" t="n">
        <v>21</v>
      </c>
      <c r="AF47" s="16" t="n">
        <v>25.5</v>
      </c>
      <c r="AG47" s="17" t="n">
        <v>2.264</v>
      </c>
      <c r="AH47" s="17" t="n">
        <v>0.089</v>
      </c>
      <c r="AI47" s="16" t="n">
        <v>0</v>
      </c>
      <c r="AJ47" s="18" t="n">
        <v>22</v>
      </c>
      <c r="AK47" s="16" t="n">
        <v>334.5</v>
      </c>
      <c r="AL47" s="17" t="n">
        <v>16.284</v>
      </c>
      <c r="AM47" s="17" t="n">
        <v>0.049</v>
      </c>
      <c r="AN47" s="16" t="n">
        <v>2.7</v>
      </c>
      <c r="AO47" s="19"/>
      <c r="AP47" s="19"/>
      <c r="AQ47" s="19"/>
      <c r="AR47" s="19"/>
      <c r="AS47" s="18" t="n">
        <f aca="false">Table1[[#This Row],[Object_A_._head_time]]+Table1[[#This Row],[Object_B_._head_time]]</f>
        <v>116.1</v>
      </c>
      <c r="AT47" s="20"/>
      <c r="AU47" s="20"/>
      <c r="AV47" s="21"/>
      <c r="AW47" s="20"/>
      <c r="AX47" s="19" t="n">
        <f aca="false">(Table1[[#This Row],[Object_A_._head_time]]/(Table1[[#This Row],[Object_A_._head_time]]+Table1[[#This Row],[Object_B_._head_time]]))</f>
        <v>0.42807924203273</v>
      </c>
      <c r="AY47" s="22" t="s">
        <v>71</v>
      </c>
      <c r="AZ47" s="22" t="s">
        <v>76</v>
      </c>
      <c r="BA47" s="18" t="s">
        <v>66</v>
      </c>
      <c r="BB47" s="18" t="n">
        <v>42</v>
      </c>
      <c r="BC47" s="16" t="n">
        <v>1.4</v>
      </c>
      <c r="BD47" s="18" t="s">
        <v>67</v>
      </c>
      <c r="BE47" s="23" t="n">
        <v>7</v>
      </c>
      <c r="BF47" s="18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24"/>
    </row>
    <row r="48" s="48" customFormat="true" ht="12" hidden="false" customHeight="true" outlineLevel="0" collapsed="false">
      <c r="A48" s="38" t="n">
        <v>96</v>
      </c>
      <c r="B48" s="39" t="s">
        <v>58</v>
      </c>
      <c r="C48" s="38" t="s">
        <v>190</v>
      </c>
      <c r="D48" s="38" t="s">
        <v>60</v>
      </c>
      <c r="E48" s="38" t="s">
        <v>61</v>
      </c>
      <c r="F48" s="38" t="s">
        <v>191</v>
      </c>
      <c r="G48" s="38" t="s">
        <v>192</v>
      </c>
      <c r="H48" s="40" t="n">
        <v>360</v>
      </c>
      <c r="I48" s="41" t="n">
        <v>11.291</v>
      </c>
      <c r="J48" s="41" t="n">
        <v>0.031</v>
      </c>
      <c r="K48" s="41" t="n">
        <v>0.258</v>
      </c>
      <c r="L48" s="40" t="n">
        <v>68.3</v>
      </c>
      <c r="M48" s="42" t="n">
        <v>15</v>
      </c>
      <c r="N48" s="40" t="n">
        <v>52.9</v>
      </c>
      <c r="O48" s="41" t="n">
        <v>0.862</v>
      </c>
      <c r="P48" s="41" t="n">
        <v>0.016</v>
      </c>
      <c r="Q48" s="41" t="n">
        <v>0.246</v>
      </c>
      <c r="R48" s="40" t="n">
        <v>18.8</v>
      </c>
      <c r="S48" s="42" t="n">
        <v>2545</v>
      </c>
      <c r="T48" s="40" t="n">
        <v>22.2</v>
      </c>
      <c r="U48" s="40" t="n">
        <v>42.8</v>
      </c>
      <c r="V48" s="42" t="n">
        <v>22</v>
      </c>
      <c r="W48" s="40" t="n">
        <v>25.9</v>
      </c>
      <c r="X48" s="41" t="n">
        <v>1.356</v>
      </c>
      <c r="Y48" s="41" t="n">
        <v>0.052</v>
      </c>
      <c r="Z48" s="41" t="n">
        <v>0.248</v>
      </c>
      <c r="AA48" s="40" t="n">
        <v>7.7</v>
      </c>
      <c r="AB48" s="42" t="n">
        <v>1842</v>
      </c>
      <c r="AC48" s="40" t="n">
        <v>0</v>
      </c>
      <c r="AD48" s="40" t="n">
        <v>9.3</v>
      </c>
      <c r="AE48" s="42" t="n">
        <v>12</v>
      </c>
      <c r="AF48" s="40" t="n">
        <v>16</v>
      </c>
      <c r="AG48" s="41" t="n">
        <v>1.9</v>
      </c>
      <c r="AH48" s="41" t="n">
        <v>0.119</v>
      </c>
      <c r="AI48" s="40" t="n">
        <v>0</v>
      </c>
      <c r="AJ48" s="42" t="n">
        <v>13</v>
      </c>
      <c r="AK48" s="40" t="n">
        <v>344</v>
      </c>
      <c r="AL48" s="41" t="n">
        <v>9.391</v>
      </c>
      <c r="AM48" s="41" t="n">
        <v>0.027</v>
      </c>
      <c r="AN48" s="40" t="n">
        <v>68.3</v>
      </c>
      <c r="AO48" s="43"/>
      <c r="AP48" s="43"/>
      <c r="AQ48" s="43"/>
      <c r="AR48" s="43"/>
      <c r="AS48" s="42"/>
      <c r="AT48" s="42" t="n">
        <f aca="false">Table1[[#This Row],[Object_A_._head_time]]+Table1[[#This Row],[Object_B_._head_time]]</f>
        <v>78.8</v>
      </c>
      <c r="AU48" s="42" t="n">
        <f aca="false">Table1[[#This Row],[Object_B_._head_time]]-Table1[[#This Row],[Object_A_._head_time]]</f>
        <v>-27</v>
      </c>
      <c r="AV48" s="40" t="n">
        <f aca="false">Table1[[#This Row],[D1: Absolute discrimination measure (D1 = B2- A2)]]/Table1[[#This Row],[E2: total exploration time in second trial E2 ( E2 = A2 + B2)]]</f>
        <v>-0.342639593908629</v>
      </c>
      <c r="AW48" s="43" t="n">
        <f aca="false">Table1[[#This Row],[Object_B_._head_time]]/Table1[[#This Row],[E2: total exploration time in second trial E2 ( E2 = A2 + B2)]]</f>
        <v>0.328680203045685</v>
      </c>
      <c r="AX48" s="44"/>
      <c r="AY48" s="45" t="s">
        <v>64</v>
      </c>
      <c r="AZ48" s="45" t="s">
        <v>65</v>
      </c>
      <c r="BA48" s="42" t="s">
        <v>66</v>
      </c>
      <c r="BB48" s="42" t="n">
        <v>99</v>
      </c>
      <c r="BC48" s="40" t="n">
        <v>3.3</v>
      </c>
      <c r="BD48" s="42" t="s">
        <v>67</v>
      </c>
      <c r="BE48" s="46" t="n">
        <v>3</v>
      </c>
      <c r="BF48" s="42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47"/>
    </row>
    <row r="49" s="48" customFormat="true" ht="12" hidden="false" customHeight="true" outlineLevel="0" collapsed="false">
      <c r="A49" s="38" t="n">
        <v>93</v>
      </c>
      <c r="B49" s="39" t="s">
        <v>68</v>
      </c>
      <c r="C49" s="38" t="s">
        <v>190</v>
      </c>
      <c r="D49" s="38" t="s">
        <v>69</v>
      </c>
      <c r="E49" s="38" t="s">
        <v>61</v>
      </c>
      <c r="F49" s="38" t="s">
        <v>191</v>
      </c>
      <c r="G49" s="38" t="s">
        <v>193</v>
      </c>
      <c r="H49" s="40" t="n">
        <v>360</v>
      </c>
      <c r="I49" s="41" t="n">
        <v>8.089</v>
      </c>
      <c r="J49" s="41" t="n">
        <v>0.022</v>
      </c>
      <c r="K49" s="41" t="n">
        <v>0.327</v>
      </c>
      <c r="L49" s="40" t="n">
        <v>80.2</v>
      </c>
      <c r="M49" s="42" t="n">
        <v>22</v>
      </c>
      <c r="N49" s="40" t="n">
        <v>30.6</v>
      </c>
      <c r="O49" s="41" t="n">
        <v>0.765</v>
      </c>
      <c r="P49" s="41" t="n">
        <v>0.025</v>
      </c>
      <c r="Q49" s="41" t="n">
        <v>0.279</v>
      </c>
      <c r="R49" s="40" t="n">
        <v>3.2</v>
      </c>
      <c r="S49" s="42" t="n">
        <v>1496</v>
      </c>
      <c r="T49" s="40" t="n">
        <v>4.4</v>
      </c>
      <c r="U49" s="40" t="n">
        <v>19.6</v>
      </c>
      <c r="V49" s="42" t="n">
        <v>17</v>
      </c>
      <c r="W49" s="40" t="n">
        <v>114.1</v>
      </c>
      <c r="X49" s="41" t="n">
        <v>1.399</v>
      </c>
      <c r="Y49" s="41" t="n">
        <v>0.012</v>
      </c>
      <c r="Z49" s="41" t="n">
        <v>0.176</v>
      </c>
      <c r="AA49" s="40" t="n">
        <v>32.3</v>
      </c>
      <c r="AB49" s="42" t="n">
        <v>4930</v>
      </c>
      <c r="AC49" s="40" t="n">
        <v>48.1</v>
      </c>
      <c r="AD49" s="40" t="n">
        <v>49.4</v>
      </c>
      <c r="AE49" s="42" t="n">
        <v>13</v>
      </c>
      <c r="AF49" s="40" t="n">
        <v>12.9</v>
      </c>
      <c r="AG49" s="41" t="n">
        <v>1.452</v>
      </c>
      <c r="AH49" s="41" t="n">
        <v>0.113</v>
      </c>
      <c r="AI49" s="40" t="n">
        <v>0</v>
      </c>
      <c r="AJ49" s="42" t="n">
        <v>13</v>
      </c>
      <c r="AK49" s="40" t="n">
        <v>347.1</v>
      </c>
      <c r="AL49" s="41" t="n">
        <v>6.638</v>
      </c>
      <c r="AM49" s="41" t="n">
        <v>0.019</v>
      </c>
      <c r="AN49" s="40" t="n">
        <v>80.2</v>
      </c>
      <c r="AO49" s="43"/>
      <c r="AP49" s="43"/>
      <c r="AQ49" s="43"/>
      <c r="AR49" s="43"/>
      <c r="AS49" s="42"/>
      <c r="AT49" s="42" t="n">
        <f aca="false">Table1[[#This Row],[Object_A_._head_time]]+Table1[[#This Row],[Object_B_._head_time]]</f>
        <v>144.7</v>
      </c>
      <c r="AU49" s="42" t="n">
        <f aca="false">Table1[[#This Row],[Object_B_._head_time]]-Table1[[#This Row],[Object_A_._head_time]]</f>
        <v>83.5</v>
      </c>
      <c r="AV49" s="40" t="n">
        <f aca="false">Table1[[#This Row],[D1: Absolute discrimination measure (D1 = B2- A2)]]/Table1[[#This Row],[E2: total exploration time in second trial E2 ( E2 = A2 + B2)]]</f>
        <v>0.57705597788528</v>
      </c>
      <c r="AW49" s="43" t="n">
        <f aca="false">Table1[[#This Row],[Object_B_._head_time]]/Table1[[#This Row],[E2: total exploration time in second trial E2 ( E2 = A2 + B2)]]</f>
        <v>0.78852798894264</v>
      </c>
      <c r="AX49" s="44"/>
      <c r="AY49" s="45" t="s">
        <v>71</v>
      </c>
      <c r="AZ49" s="45" t="s">
        <v>65</v>
      </c>
      <c r="BA49" s="42" t="s">
        <v>72</v>
      </c>
      <c r="BB49" s="42" t="n">
        <v>99</v>
      </c>
      <c r="BC49" s="40" t="n">
        <v>3.3</v>
      </c>
      <c r="BD49" s="42" t="s">
        <v>67</v>
      </c>
      <c r="BE49" s="46" t="n">
        <v>1</v>
      </c>
      <c r="BF49" s="42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47"/>
    </row>
    <row r="50" s="48" customFormat="true" ht="12" hidden="false" customHeight="true" outlineLevel="0" collapsed="false">
      <c r="A50" s="38" t="n">
        <v>95</v>
      </c>
      <c r="B50" s="39" t="s">
        <v>73</v>
      </c>
      <c r="C50" s="38" t="s">
        <v>190</v>
      </c>
      <c r="D50" s="38" t="s">
        <v>74</v>
      </c>
      <c r="E50" s="38" t="s">
        <v>61</v>
      </c>
      <c r="F50" s="38" t="s">
        <v>191</v>
      </c>
      <c r="G50" s="38" t="s">
        <v>194</v>
      </c>
      <c r="H50" s="40" t="n">
        <v>360</v>
      </c>
      <c r="I50" s="41" t="n">
        <v>10.077</v>
      </c>
      <c r="J50" s="41" t="n">
        <v>0.028</v>
      </c>
      <c r="K50" s="41" t="n">
        <v>0.247</v>
      </c>
      <c r="L50" s="40" t="n">
        <v>40.1</v>
      </c>
      <c r="M50" s="42" t="n">
        <v>21</v>
      </c>
      <c r="N50" s="40" t="n">
        <v>62.4</v>
      </c>
      <c r="O50" s="41" t="n">
        <v>2.448</v>
      </c>
      <c r="P50" s="41" t="n">
        <v>0.039</v>
      </c>
      <c r="Q50" s="41" t="n">
        <v>0.236</v>
      </c>
      <c r="R50" s="40" t="n">
        <v>7.3</v>
      </c>
      <c r="S50" s="42" t="n">
        <v>3005</v>
      </c>
      <c r="T50" s="40" t="n">
        <v>0</v>
      </c>
      <c r="U50" s="40" t="n">
        <v>8</v>
      </c>
      <c r="V50" s="42" t="n">
        <v>18</v>
      </c>
      <c r="W50" s="40" t="n">
        <v>51.8</v>
      </c>
      <c r="X50" s="41" t="n">
        <v>1.834</v>
      </c>
      <c r="Y50" s="41" t="n">
        <v>0.035</v>
      </c>
      <c r="Z50" s="41" t="n">
        <v>0.245</v>
      </c>
      <c r="AA50" s="40" t="n">
        <v>6.1</v>
      </c>
      <c r="AB50" s="42" t="n">
        <v>3568</v>
      </c>
      <c r="AC50" s="40" t="n">
        <v>0</v>
      </c>
      <c r="AD50" s="40" t="n">
        <v>5.4</v>
      </c>
      <c r="AE50" s="42" t="n">
        <v>24</v>
      </c>
      <c r="AF50" s="40" t="n">
        <v>51.7</v>
      </c>
      <c r="AG50" s="41" t="n">
        <v>2.48</v>
      </c>
      <c r="AH50" s="41" t="n">
        <v>0.048</v>
      </c>
      <c r="AI50" s="40" t="n">
        <v>1.2</v>
      </c>
      <c r="AJ50" s="42" t="n">
        <v>25</v>
      </c>
      <c r="AK50" s="40" t="n">
        <v>308.3</v>
      </c>
      <c r="AL50" s="41" t="n">
        <v>7.598</v>
      </c>
      <c r="AM50" s="41" t="n">
        <v>0.025</v>
      </c>
      <c r="AN50" s="40" t="n">
        <v>38.9</v>
      </c>
      <c r="AO50" s="43"/>
      <c r="AP50" s="43"/>
      <c r="AQ50" s="43"/>
      <c r="AR50" s="43"/>
      <c r="AS50" s="42"/>
      <c r="AT50" s="42" t="n">
        <f aca="false">Table1[[#This Row],[Object_A_._head_time]]+Table1[[#This Row],[Object_B_._head_time]]</f>
        <v>114.2</v>
      </c>
      <c r="AU50" s="42" t="n">
        <f aca="false">Table1[[#This Row],[Object_B_._head_time]]-Table1[[#This Row],[Object_A_._head_time]]</f>
        <v>-10.6</v>
      </c>
      <c r="AV50" s="40" t="n">
        <f aca="false">Table1[[#This Row],[D1: Absolute discrimination measure (D1 = B2- A2)]]/Table1[[#This Row],[E2: total exploration time in second trial E2 ( E2 = A2 + B2)]]</f>
        <v>-0.0928196147110333</v>
      </c>
      <c r="AW50" s="43" t="n">
        <f aca="false">Table1[[#This Row],[Object_B_._head_time]]/Table1[[#This Row],[E2: total exploration time in second trial E2 ( E2 = A2 + B2)]]</f>
        <v>0.453590192644483</v>
      </c>
      <c r="AX50" s="44"/>
      <c r="AY50" s="45" t="s">
        <v>64</v>
      </c>
      <c r="AZ50" s="45" t="s">
        <v>76</v>
      </c>
      <c r="BA50" s="42" t="s">
        <v>72</v>
      </c>
      <c r="BB50" s="42" t="n">
        <v>94</v>
      </c>
      <c r="BC50" s="40" t="n">
        <v>3.13333333333333</v>
      </c>
      <c r="BD50" s="42" t="s">
        <v>67</v>
      </c>
      <c r="BE50" s="46" t="n">
        <v>5</v>
      </c>
      <c r="BF50" s="42" t="s">
        <v>77</v>
      </c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47"/>
    </row>
    <row r="51" s="48" customFormat="true" ht="12" hidden="false" customHeight="true" outlineLevel="0" collapsed="false">
      <c r="A51" s="38" t="n">
        <v>94</v>
      </c>
      <c r="B51" s="39" t="s">
        <v>78</v>
      </c>
      <c r="C51" s="38" t="s">
        <v>190</v>
      </c>
      <c r="D51" s="38" t="s">
        <v>79</v>
      </c>
      <c r="E51" s="38" t="s">
        <v>61</v>
      </c>
      <c r="F51" s="38" t="s">
        <v>191</v>
      </c>
      <c r="G51" s="38" t="s">
        <v>195</v>
      </c>
      <c r="H51" s="40" t="n">
        <v>360</v>
      </c>
      <c r="I51" s="41" t="n">
        <v>20.377</v>
      </c>
      <c r="J51" s="41" t="n">
        <v>0.057</v>
      </c>
      <c r="K51" s="41" t="n">
        <v>0.248</v>
      </c>
      <c r="L51" s="40" t="n">
        <v>8.4</v>
      </c>
      <c r="M51" s="42" t="n">
        <v>24</v>
      </c>
      <c r="N51" s="40" t="n">
        <v>53.7</v>
      </c>
      <c r="O51" s="41" t="n">
        <v>2.298</v>
      </c>
      <c r="P51" s="41" t="n">
        <v>0.043</v>
      </c>
      <c r="Q51" s="41" t="n">
        <v>0.193</v>
      </c>
      <c r="R51" s="40" t="n">
        <v>6.4</v>
      </c>
      <c r="S51" s="42" t="n">
        <v>3546</v>
      </c>
      <c r="T51" s="40" t="n">
        <v>0</v>
      </c>
      <c r="U51" s="40" t="n">
        <v>4.9</v>
      </c>
      <c r="V51" s="42" t="n">
        <v>30</v>
      </c>
      <c r="W51" s="40" t="n">
        <v>45.7</v>
      </c>
      <c r="X51" s="41" t="n">
        <v>2.331</v>
      </c>
      <c r="Y51" s="41" t="n">
        <v>0.051</v>
      </c>
      <c r="Z51" s="41" t="n">
        <v>0.201</v>
      </c>
      <c r="AA51" s="40" t="n">
        <v>12.1</v>
      </c>
      <c r="AB51" s="42" t="n">
        <v>2804</v>
      </c>
      <c r="AC51" s="40" t="n">
        <v>0</v>
      </c>
      <c r="AD51" s="40" t="n">
        <v>11.9</v>
      </c>
      <c r="AE51" s="42" t="n">
        <v>32</v>
      </c>
      <c r="AF51" s="40" t="n">
        <v>53.3</v>
      </c>
      <c r="AG51" s="41" t="n">
        <v>4.555</v>
      </c>
      <c r="AH51" s="41" t="n">
        <v>0.085</v>
      </c>
      <c r="AI51" s="40" t="n">
        <v>0</v>
      </c>
      <c r="AJ51" s="42" t="n">
        <v>32</v>
      </c>
      <c r="AK51" s="40" t="n">
        <v>306.7</v>
      </c>
      <c r="AL51" s="41" t="n">
        <v>15.822</v>
      </c>
      <c r="AM51" s="41" t="n">
        <v>0.052</v>
      </c>
      <c r="AN51" s="40" t="n">
        <v>8.4</v>
      </c>
      <c r="AO51" s="43"/>
      <c r="AP51" s="43"/>
      <c r="AQ51" s="43"/>
      <c r="AR51" s="43"/>
      <c r="AS51" s="42"/>
      <c r="AT51" s="42" t="n">
        <f aca="false">Table1[[#This Row],[Object_A_._head_time]]+Table1[[#This Row],[Object_B_._head_time]]</f>
        <v>99.4</v>
      </c>
      <c r="AU51" s="42" t="n">
        <f aca="false">Table1[[#This Row],[Object_B_._head_time]]-Table1[[#This Row],[Object_A_._head_time]]</f>
        <v>-8</v>
      </c>
      <c r="AV51" s="40" t="n">
        <f aca="false">Table1[[#This Row],[D1: Absolute discrimination measure (D1 = B2- A2)]]/Table1[[#This Row],[E2: total exploration time in second trial E2 ( E2 = A2 + B2)]]</f>
        <v>-0.0804828973843058</v>
      </c>
      <c r="AW51" s="43" t="n">
        <f aca="false">Table1[[#This Row],[Object_B_._head_time]]/Table1[[#This Row],[E2: total exploration time in second trial E2 ( E2 = A2 + B2)]]</f>
        <v>0.459758551307847</v>
      </c>
      <c r="AX51" s="44"/>
      <c r="AY51" s="45" t="s">
        <v>64</v>
      </c>
      <c r="AZ51" s="45" t="s">
        <v>76</v>
      </c>
      <c r="BA51" s="42" t="s">
        <v>66</v>
      </c>
      <c r="BB51" s="42" t="n">
        <v>94</v>
      </c>
      <c r="BC51" s="40" t="n">
        <v>3.13333333333333</v>
      </c>
      <c r="BD51" s="42" t="s">
        <v>81</v>
      </c>
      <c r="BE51" s="46" t="n">
        <v>8</v>
      </c>
      <c r="BF51" s="42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47"/>
    </row>
    <row r="52" s="48" customFormat="true" ht="12" hidden="false" customHeight="true" outlineLevel="0" collapsed="false">
      <c r="A52" s="38" t="n">
        <v>99</v>
      </c>
      <c r="B52" s="39" t="s">
        <v>82</v>
      </c>
      <c r="C52" s="38" t="s">
        <v>190</v>
      </c>
      <c r="D52" s="38" t="s">
        <v>60</v>
      </c>
      <c r="E52" s="38" t="s">
        <v>61</v>
      </c>
      <c r="F52" s="38" t="s">
        <v>196</v>
      </c>
      <c r="G52" s="38" t="s">
        <v>197</v>
      </c>
      <c r="H52" s="40" t="n">
        <v>360</v>
      </c>
      <c r="I52" s="41" t="n">
        <v>8.433</v>
      </c>
      <c r="J52" s="41" t="n">
        <v>0.023</v>
      </c>
      <c r="K52" s="41" t="n">
        <v>0.202</v>
      </c>
      <c r="L52" s="40" t="n">
        <v>38.1</v>
      </c>
      <c r="M52" s="42" t="n">
        <v>8</v>
      </c>
      <c r="N52" s="40" t="n">
        <v>12.9</v>
      </c>
      <c r="O52" s="41" t="n">
        <v>0.5</v>
      </c>
      <c r="P52" s="41" t="n">
        <v>0.039</v>
      </c>
      <c r="Q52" s="41" t="n">
        <v>0.16</v>
      </c>
      <c r="R52" s="40" t="n">
        <v>1.4</v>
      </c>
      <c r="S52" s="42" t="n">
        <v>725</v>
      </c>
      <c r="T52" s="40" t="n">
        <v>0</v>
      </c>
      <c r="U52" s="40" t="n">
        <v>3.7</v>
      </c>
      <c r="V52" s="42" t="n">
        <v>14</v>
      </c>
      <c r="W52" s="40" t="n">
        <v>9.3</v>
      </c>
      <c r="X52" s="41" t="n">
        <v>0.451</v>
      </c>
      <c r="Y52" s="41" t="n">
        <v>0.049</v>
      </c>
      <c r="Z52" s="41" t="n">
        <v>0.135</v>
      </c>
      <c r="AA52" s="40" t="n">
        <v>4.2</v>
      </c>
      <c r="AB52" s="42" t="n">
        <v>762</v>
      </c>
      <c r="AC52" s="40" t="n">
        <v>0</v>
      </c>
      <c r="AD52" s="40" t="n">
        <v>5.7</v>
      </c>
      <c r="AE52" s="42" t="n">
        <v>8</v>
      </c>
      <c r="AF52" s="40" t="n">
        <v>13.2</v>
      </c>
      <c r="AG52" s="41" t="n">
        <v>0.835</v>
      </c>
      <c r="AH52" s="41" t="n">
        <v>0.063</v>
      </c>
      <c r="AI52" s="40" t="n">
        <v>1</v>
      </c>
      <c r="AJ52" s="42" t="n">
        <v>8</v>
      </c>
      <c r="AK52" s="40" t="n">
        <v>346.8</v>
      </c>
      <c r="AL52" s="41" t="n">
        <v>7.597</v>
      </c>
      <c r="AM52" s="41" t="n">
        <v>0.022</v>
      </c>
      <c r="AN52" s="40" t="n">
        <v>37.5</v>
      </c>
      <c r="AO52" s="43"/>
      <c r="AP52" s="43"/>
      <c r="AQ52" s="43"/>
      <c r="AR52" s="43"/>
      <c r="AS52" s="42"/>
      <c r="AT52" s="42" t="n">
        <f aca="false">Table1[[#This Row],[Object_A_._head_time]]+Table1[[#This Row],[Object_B_._head_time]]</f>
        <v>22.2</v>
      </c>
      <c r="AU52" s="42" t="n">
        <f aca="false">Table1[[#This Row],[Object_B_._head_time]]-Table1[[#This Row],[Object_A_._head_time]]</f>
        <v>-3.6</v>
      </c>
      <c r="AV52" s="40" t="n">
        <f aca="false">Table1[[#This Row],[D1: Absolute discrimination measure (D1 = B2- A2)]]/Table1[[#This Row],[E2: total exploration time in second trial E2 ( E2 = A2 + B2)]]</f>
        <v>-0.162162162162162</v>
      </c>
      <c r="AW52" s="43" t="n">
        <f aca="false">Table1[[#This Row],[Object_B_._head_time]]/Table1[[#This Row],[E2: total exploration time in second trial E2 ( E2 = A2 + B2)]]</f>
        <v>0.418918918918919</v>
      </c>
      <c r="AX52" s="44"/>
      <c r="AY52" s="45" t="s">
        <v>64</v>
      </c>
      <c r="AZ52" s="45" t="s">
        <v>76</v>
      </c>
      <c r="BA52" s="42" t="s">
        <v>66</v>
      </c>
      <c r="BB52" s="42" t="n">
        <v>94</v>
      </c>
      <c r="BC52" s="40" t="n">
        <v>3.13333333333333</v>
      </c>
      <c r="BD52" s="42" t="s">
        <v>67</v>
      </c>
      <c r="BE52" s="46" t="n">
        <v>7</v>
      </c>
      <c r="BF52" s="42" t="s">
        <v>77</v>
      </c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47"/>
    </row>
    <row r="53" s="48" customFormat="true" ht="12" hidden="false" customHeight="true" outlineLevel="0" collapsed="false">
      <c r="A53" s="38" t="n">
        <v>97</v>
      </c>
      <c r="B53" s="39" t="s">
        <v>85</v>
      </c>
      <c r="C53" s="38" t="s">
        <v>190</v>
      </c>
      <c r="D53" s="38" t="s">
        <v>69</v>
      </c>
      <c r="E53" s="38" t="s">
        <v>61</v>
      </c>
      <c r="F53" s="38" t="s">
        <v>198</v>
      </c>
      <c r="G53" s="38" t="s">
        <v>199</v>
      </c>
      <c r="H53" s="40" t="n">
        <v>360</v>
      </c>
      <c r="I53" s="41" t="n">
        <v>5.803</v>
      </c>
      <c r="J53" s="41" t="n">
        <v>0.016</v>
      </c>
      <c r="K53" s="41" t="n">
        <v>0.273</v>
      </c>
      <c r="L53" s="40" t="n">
        <v>164.9</v>
      </c>
      <c r="M53" s="42" t="n">
        <v>19</v>
      </c>
      <c r="N53" s="40" t="n">
        <v>30</v>
      </c>
      <c r="O53" s="41" t="n">
        <v>0.728</v>
      </c>
      <c r="P53" s="41" t="n">
        <v>0.024</v>
      </c>
      <c r="Q53" s="41" t="n">
        <v>0.234</v>
      </c>
      <c r="R53" s="40" t="n">
        <v>7.9</v>
      </c>
      <c r="S53" s="42" t="n">
        <v>2271</v>
      </c>
      <c r="T53" s="40" t="n">
        <v>6.8</v>
      </c>
      <c r="U53" s="40" t="n">
        <v>16.4</v>
      </c>
      <c r="V53" s="42" t="n">
        <v>10</v>
      </c>
      <c r="W53" s="40" t="n">
        <v>6.2</v>
      </c>
      <c r="X53" s="41" t="n">
        <v>0.316</v>
      </c>
      <c r="Y53" s="41" t="n">
        <v>0.051</v>
      </c>
      <c r="Z53" s="41" t="n">
        <v>0.198</v>
      </c>
      <c r="AA53" s="40" t="n">
        <v>0.6</v>
      </c>
      <c r="AB53" s="42" t="n">
        <v>631</v>
      </c>
      <c r="AC53" s="40" t="n">
        <v>0</v>
      </c>
      <c r="AD53" s="40" t="n">
        <v>1</v>
      </c>
      <c r="AE53" s="42" t="n">
        <v>5</v>
      </c>
      <c r="AF53" s="40" t="n">
        <v>8.4</v>
      </c>
      <c r="AG53" s="41" t="n">
        <v>0.855</v>
      </c>
      <c r="AH53" s="41" t="n">
        <v>0.102</v>
      </c>
      <c r="AI53" s="40" t="n">
        <v>0</v>
      </c>
      <c r="AJ53" s="42" t="n">
        <v>6</v>
      </c>
      <c r="AK53" s="40" t="n">
        <v>351.6</v>
      </c>
      <c r="AL53" s="41" t="n">
        <v>4.948</v>
      </c>
      <c r="AM53" s="41" t="n">
        <v>0.014</v>
      </c>
      <c r="AN53" s="40" t="n">
        <v>164.9</v>
      </c>
      <c r="AO53" s="43"/>
      <c r="AP53" s="43"/>
      <c r="AQ53" s="43"/>
      <c r="AR53" s="43"/>
      <c r="AS53" s="42"/>
      <c r="AT53" s="42" t="n">
        <f aca="false">Table1[[#This Row],[Object_A_._head_time]]+Table1[[#This Row],[Object_B_._head_time]]</f>
        <v>36.2</v>
      </c>
      <c r="AU53" s="42" t="n">
        <f aca="false">Table1[[#This Row],[Object_B_._head_time]]-Table1[[#This Row],[Object_A_._head_time]]</f>
        <v>-23.8</v>
      </c>
      <c r="AV53" s="40" t="n">
        <f aca="false">Table1[[#This Row],[D1: Absolute discrimination measure (D1 = B2- A2)]]/Table1[[#This Row],[E2: total exploration time in second trial E2 ( E2 = A2 + B2)]]</f>
        <v>-0.657458563535912</v>
      </c>
      <c r="AW53" s="43" t="n">
        <f aca="false">Table1[[#This Row],[Object_B_._head_time]]/Table1[[#This Row],[E2: total exploration time in second trial E2 ( E2 = A2 + B2)]]</f>
        <v>0.171270718232044</v>
      </c>
      <c r="AX53" s="44"/>
      <c r="AY53" s="45" t="s">
        <v>71</v>
      </c>
      <c r="AZ53" s="45" t="s">
        <v>76</v>
      </c>
      <c r="BA53" s="42" t="s">
        <v>66</v>
      </c>
      <c r="BB53" s="42" t="n">
        <v>94</v>
      </c>
      <c r="BC53" s="40" t="n">
        <v>3.13333333333333</v>
      </c>
      <c r="BD53" s="42" t="s">
        <v>81</v>
      </c>
      <c r="BE53" s="46" t="n">
        <v>8</v>
      </c>
      <c r="BF53" s="42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47"/>
    </row>
    <row r="54" s="48" customFormat="true" ht="12" hidden="false" customHeight="true" outlineLevel="0" collapsed="false">
      <c r="A54" s="38" t="n">
        <v>100</v>
      </c>
      <c r="B54" s="39" t="s">
        <v>87</v>
      </c>
      <c r="C54" s="38" t="s">
        <v>190</v>
      </c>
      <c r="D54" s="38" t="s">
        <v>74</v>
      </c>
      <c r="E54" s="38" t="s">
        <v>61</v>
      </c>
      <c r="F54" s="38" t="s">
        <v>196</v>
      </c>
      <c r="G54" s="38" t="s">
        <v>200</v>
      </c>
      <c r="H54" s="40" t="n">
        <v>360</v>
      </c>
      <c r="I54" s="41" t="n">
        <v>6.068</v>
      </c>
      <c r="J54" s="41" t="n">
        <v>0.017</v>
      </c>
      <c r="K54" s="41" t="n">
        <v>0.216</v>
      </c>
      <c r="L54" s="40" t="n">
        <v>139.5</v>
      </c>
      <c r="M54" s="42" t="n">
        <v>13</v>
      </c>
      <c r="N54" s="40" t="n">
        <v>22.3</v>
      </c>
      <c r="O54" s="41" t="n">
        <v>0.98</v>
      </c>
      <c r="P54" s="41" t="n">
        <v>0.044</v>
      </c>
      <c r="Q54" s="41" t="n">
        <v>0.19</v>
      </c>
      <c r="R54" s="40" t="n">
        <v>7.2</v>
      </c>
      <c r="S54" s="42" t="n">
        <v>1656</v>
      </c>
      <c r="T54" s="40" t="n">
        <v>0</v>
      </c>
      <c r="U54" s="40" t="n">
        <v>7.5</v>
      </c>
      <c r="V54" s="42" t="n">
        <v>34</v>
      </c>
      <c r="W54" s="40" t="n">
        <v>59.2</v>
      </c>
      <c r="X54" s="41" t="n">
        <v>0.861</v>
      </c>
      <c r="Y54" s="41" t="n">
        <v>0.015</v>
      </c>
      <c r="Z54" s="41" t="n">
        <v>0.216</v>
      </c>
      <c r="AA54" s="40" t="n">
        <v>21.8</v>
      </c>
      <c r="AB54" s="42" t="n">
        <v>2563</v>
      </c>
      <c r="AC54" s="40" t="n">
        <v>18.3</v>
      </c>
      <c r="AD54" s="40" t="n">
        <v>36.5</v>
      </c>
      <c r="AE54" s="42" t="n">
        <v>9</v>
      </c>
      <c r="AF54" s="40" t="n">
        <v>19.8</v>
      </c>
      <c r="AG54" s="41" t="n">
        <v>1.45</v>
      </c>
      <c r="AH54" s="41" t="n">
        <v>0.073</v>
      </c>
      <c r="AI54" s="40" t="n">
        <v>0</v>
      </c>
      <c r="AJ54" s="42" t="n">
        <v>10</v>
      </c>
      <c r="AK54" s="40" t="n">
        <v>340.2</v>
      </c>
      <c r="AL54" s="41" t="n">
        <v>4.619</v>
      </c>
      <c r="AM54" s="41" t="n">
        <v>0.014</v>
      </c>
      <c r="AN54" s="40" t="n">
        <v>140</v>
      </c>
      <c r="AO54" s="43"/>
      <c r="AP54" s="43"/>
      <c r="AQ54" s="43"/>
      <c r="AR54" s="43"/>
      <c r="AS54" s="42"/>
      <c r="AT54" s="42" t="n">
        <f aca="false">Table1[[#This Row],[Object_A_._head_time]]+Table1[[#This Row],[Object_B_._head_time]]</f>
        <v>81.5</v>
      </c>
      <c r="AU54" s="42" t="n">
        <f aca="false">Table1[[#This Row],[Object_B_._head_time]]-Table1[[#This Row],[Object_A_._head_time]]</f>
        <v>36.9</v>
      </c>
      <c r="AV54" s="40" t="n">
        <f aca="false">Table1[[#This Row],[D1: Absolute discrimination measure (D1 = B2- A2)]]/Table1[[#This Row],[E2: total exploration time in second trial E2 ( E2 = A2 + B2)]]</f>
        <v>0.452760736196319</v>
      </c>
      <c r="AW54" s="43" t="n">
        <f aca="false">Table1[[#This Row],[Object_B_._head_time]]/Table1[[#This Row],[E2: total exploration time in second trial E2 ( E2 = A2 + B2)]]</f>
        <v>0.72638036809816</v>
      </c>
      <c r="AX54" s="44"/>
      <c r="AY54" s="45" t="s">
        <v>71</v>
      </c>
      <c r="AZ54" s="45" t="s">
        <v>76</v>
      </c>
      <c r="BA54" s="42" t="s">
        <v>72</v>
      </c>
      <c r="BB54" s="42" t="n">
        <v>94</v>
      </c>
      <c r="BC54" s="40" t="n">
        <v>3.13333333333333</v>
      </c>
      <c r="BD54" s="42" t="s">
        <v>67</v>
      </c>
      <c r="BE54" s="46" t="n">
        <v>5</v>
      </c>
      <c r="BF54" s="42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47"/>
    </row>
    <row r="55" s="48" customFormat="true" ht="12" hidden="false" customHeight="true" outlineLevel="0" collapsed="false">
      <c r="A55" s="38" t="n">
        <v>101</v>
      </c>
      <c r="B55" s="39" t="s">
        <v>89</v>
      </c>
      <c r="C55" s="38" t="s">
        <v>190</v>
      </c>
      <c r="D55" s="38" t="s">
        <v>79</v>
      </c>
      <c r="E55" s="38" t="s">
        <v>61</v>
      </c>
      <c r="F55" s="38" t="s">
        <v>196</v>
      </c>
      <c r="G55" s="38" t="s">
        <v>201</v>
      </c>
      <c r="H55" s="40" t="n">
        <v>360</v>
      </c>
      <c r="I55" s="41" t="n">
        <v>3.543</v>
      </c>
      <c r="J55" s="41" t="n">
        <v>0.01</v>
      </c>
      <c r="K55" s="41" t="n">
        <v>0.252</v>
      </c>
      <c r="L55" s="40" t="n">
        <v>185.1</v>
      </c>
      <c r="M55" s="42" t="n">
        <v>0</v>
      </c>
      <c r="N55" s="40" t="n">
        <v>0</v>
      </c>
      <c r="O55" s="41" t="n">
        <v>0</v>
      </c>
      <c r="P55" s="41"/>
      <c r="Q55" s="41"/>
      <c r="R55" s="40" t="n">
        <v>0</v>
      </c>
      <c r="S55" s="42" t="n">
        <v>0</v>
      </c>
      <c r="T55" s="40" t="n">
        <v>0</v>
      </c>
      <c r="U55" s="40"/>
      <c r="V55" s="42" t="n">
        <v>5</v>
      </c>
      <c r="W55" s="40" t="n">
        <v>6.9</v>
      </c>
      <c r="X55" s="41" t="n">
        <v>0.259</v>
      </c>
      <c r="Y55" s="41" t="n">
        <v>0.037</v>
      </c>
      <c r="Z55" s="41" t="n">
        <v>0.138</v>
      </c>
      <c r="AA55" s="40" t="n">
        <v>1.9</v>
      </c>
      <c r="AB55" s="42" t="n">
        <v>663</v>
      </c>
      <c r="AC55" s="40" t="n">
        <v>0</v>
      </c>
      <c r="AD55" s="40" t="n">
        <v>3.1</v>
      </c>
      <c r="AE55" s="42" t="n">
        <v>1</v>
      </c>
      <c r="AF55" s="40" t="n">
        <v>1.2</v>
      </c>
      <c r="AG55" s="41" t="n">
        <v>0.122</v>
      </c>
      <c r="AH55" s="41" t="n">
        <v>0.102</v>
      </c>
      <c r="AI55" s="40" t="n">
        <v>0</v>
      </c>
      <c r="AJ55" s="42" t="n">
        <v>2</v>
      </c>
      <c r="AK55" s="40" t="n">
        <v>358.8</v>
      </c>
      <c r="AL55" s="41" t="n">
        <v>3.42</v>
      </c>
      <c r="AM55" s="41" t="n">
        <v>0.01</v>
      </c>
      <c r="AN55" s="40" t="n">
        <v>185.5</v>
      </c>
      <c r="AO55" s="43"/>
      <c r="AP55" s="43"/>
      <c r="AQ55" s="43"/>
      <c r="AR55" s="43"/>
      <c r="AS55" s="42"/>
      <c r="AT55" s="42" t="n">
        <f aca="false">Table1[[#This Row],[Object_A_._head_time]]+Table1[[#This Row],[Object_B_._head_time]]</f>
        <v>6.9</v>
      </c>
      <c r="AU55" s="42" t="n">
        <f aca="false">Table1[[#This Row],[Object_B_._head_time]]-Table1[[#This Row],[Object_A_._head_time]]</f>
        <v>6.9</v>
      </c>
      <c r="AV55" s="40" t="n">
        <f aca="false">Table1[[#This Row],[D1: Absolute discrimination measure (D1 = B2- A2)]]/Table1[[#This Row],[E2: total exploration time in second trial E2 ( E2 = A2 + B2)]]</f>
        <v>1</v>
      </c>
      <c r="AW55" s="43" t="n">
        <f aca="false">Table1[[#This Row],[Object_B_._head_time]]/Table1[[#This Row],[E2: total exploration time in second trial E2 ( E2 = A2 + B2)]]</f>
        <v>1</v>
      </c>
      <c r="AX55" s="44"/>
      <c r="AY55" s="45" t="s">
        <v>71</v>
      </c>
      <c r="AZ55" s="45" t="s">
        <v>76</v>
      </c>
      <c r="BA55" s="42" t="s">
        <v>66</v>
      </c>
      <c r="BB55" s="42" t="n">
        <v>94</v>
      </c>
      <c r="BC55" s="40" t="n">
        <v>3.13333333333333</v>
      </c>
      <c r="BD55" s="42" t="s">
        <v>81</v>
      </c>
      <c r="BE55" s="46" t="n">
        <v>8</v>
      </c>
      <c r="BF55" s="42" t="s">
        <v>91</v>
      </c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47"/>
    </row>
    <row r="56" s="48" customFormat="true" ht="12" hidden="false" customHeight="true" outlineLevel="0" collapsed="false">
      <c r="A56" s="38" t="n">
        <v>102</v>
      </c>
      <c r="B56" s="39" t="s">
        <v>92</v>
      </c>
      <c r="C56" s="38" t="s">
        <v>190</v>
      </c>
      <c r="D56" s="38" t="s">
        <v>60</v>
      </c>
      <c r="E56" s="38" t="s">
        <v>61</v>
      </c>
      <c r="F56" s="38" t="s">
        <v>202</v>
      </c>
      <c r="G56" s="38" t="s">
        <v>203</v>
      </c>
      <c r="H56" s="40" t="n">
        <v>360</v>
      </c>
      <c r="I56" s="41" t="n">
        <v>6.523</v>
      </c>
      <c r="J56" s="41" t="n">
        <v>0.018</v>
      </c>
      <c r="K56" s="41" t="n">
        <v>0.217</v>
      </c>
      <c r="L56" s="40" t="n">
        <v>187.3</v>
      </c>
      <c r="M56" s="42" t="n">
        <v>7</v>
      </c>
      <c r="N56" s="40" t="n">
        <v>10</v>
      </c>
      <c r="O56" s="41" t="n">
        <v>0.418</v>
      </c>
      <c r="P56" s="41" t="n">
        <v>0.042</v>
      </c>
      <c r="Q56" s="41" t="n">
        <v>0.18</v>
      </c>
      <c r="R56" s="40" t="n">
        <v>4.8</v>
      </c>
      <c r="S56" s="42" t="n">
        <v>576</v>
      </c>
      <c r="T56" s="40" t="n">
        <v>0</v>
      </c>
      <c r="U56" s="40" t="n">
        <v>2.3</v>
      </c>
      <c r="V56" s="42" t="n">
        <v>10</v>
      </c>
      <c r="W56" s="40" t="n">
        <v>13.3</v>
      </c>
      <c r="X56" s="41" t="n">
        <v>0.686</v>
      </c>
      <c r="Y56" s="41" t="n">
        <v>0.051</v>
      </c>
      <c r="Z56" s="41" t="n">
        <v>0.145</v>
      </c>
      <c r="AA56" s="40" t="n">
        <v>4.1</v>
      </c>
      <c r="AB56" s="42" t="n">
        <v>1081</v>
      </c>
      <c r="AC56" s="40" t="n">
        <v>0</v>
      </c>
      <c r="AD56" s="40" t="n">
        <v>4.9</v>
      </c>
      <c r="AE56" s="42" t="n">
        <v>3</v>
      </c>
      <c r="AF56" s="40" t="n">
        <v>6.1</v>
      </c>
      <c r="AG56" s="41" t="n">
        <v>0.59</v>
      </c>
      <c r="AH56" s="41" t="n">
        <v>0.096</v>
      </c>
      <c r="AI56" s="40" t="n">
        <v>0</v>
      </c>
      <c r="AJ56" s="42" t="n">
        <v>4</v>
      </c>
      <c r="AK56" s="40" t="n">
        <v>353.9</v>
      </c>
      <c r="AL56" s="41" t="n">
        <v>5.933</v>
      </c>
      <c r="AM56" s="41" t="n">
        <v>0.017</v>
      </c>
      <c r="AN56" s="40" t="n">
        <v>187.3</v>
      </c>
      <c r="AO56" s="43"/>
      <c r="AP56" s="43"/>
      <c r="AQ56" s="43"/>
      <c r="AR56" s="43"/>
      <c r="AS56" s="42"/>
      <c r="AT56" s="42" t="n">
        <f aca="false">Table1[[#This Row],[Object_A_._head_time]]+Table1[[#This Row],[Object_B_._head_time]]</f>
        <v>23.3</v>
      </c>
      <c r="AU56" s="42" t="n">
        <f aca="false">Table1[[#This Row],[Object_B_._head_time]]-Table1[[#This Row],[Object_A_._head_time]]</f>
        <v>3.3</v>
      </c>
      <c r="AV56" s="40" t="n">
        <f aca="false">Table1[[#This Row],[D1: Absolute discrimination measure (D1 = B2- A2)]]/Table1[[#This Row],[E2: total exploration time in second trial E2 ( E2 = A2 + B2)]]</f>
        <v>0.141630901287554</v>
      </c>
      <c r="AW56" s="43" t="n">
        <f aca="false">Table1[[#This Row],[Object_B_._head_time]]/Table1[[#This Row],[E2: total exploration time in second trial E2 ( E2 = A2 + B2)]]</f>
        <v>0.570815450643777</v>
      </c>
      <c r="AX56" s="44"/>
      <c r="AY56" s="45" t="s">
        <v>71</v>
      </c>
      <c r="AZ56" s="45" t="s">
        <v>76</v>
      </c>
      <c r="BA56" s="42" t="s">
        <v>66</v>
      </c>
      <c r="BB56" s="42" t="n">
        <v>94</v>
      </c>
      <c r="BC56" s="40" t="n">
        <v>3.13333333333333</v>
      </c>
      <c r="BD56" s="42" t="s">
        <v>67</v>
      </c>
      <c r="BE56" s="46" t="n">
        <v>7</v>
      </c>
      <c r="BF56" s="42" t="s">
        <v>95</v>
      </c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47"/>
    </row>
    <row r="57" s="48" customFormat="true" ht="12" hidden="false" customHeight="true" outlineLevel="0" collapsed="false">
      <c r="A57" s="38" t="n">
        <v>98</v>
      </c>
      <c r="B57" s="39" t="s">
        <v>96</v>
      </c>
      <c r="C57" s="38" t="s">
        <v>190</v>
      </c>
      <c r="D57" s="38" t="s">
        <v>69</v>
      </c>
      <c r="E57" s="38" t="s">
        <v>61</v>
      </c>
      <c r="F57" s="38" t="s">
        <v>202</v>
      </c>
      <c r="G57" s="38" t="s">
        <v>204</v>
      </c>
      <c r="H57" s="40" t="n">
        <v>360</v>
      </c>
      <c r="I57" s="41" t="n">
        <v>24.497</v>
      </c>
      <c r="J57" s="41" t="n">
        <v>0.068</v>
      </c>
      <c r="K57" s="41" t="n">
        <v>0.297</v>
      </c>
      <c r="L57" s="40" t="n">
        <v>2.4</v>
      </c>
      <c r="M57" s="42" t="n">
        <v>42</v>
      </c>
      <c r="N57" s="40" t="n">
        <v>45.2</v>
      </c>
      <c r="O57" s="41" t="n">
        <v>3.54</v>
      </c>
      <c r="P57" s="41" t="n">
        <v>0.078</v>
      </c>
      <c r="Q57" s="41" t="n">
        <v>0.257</v>
      </c>
      <c r="R57" s="40" t="n">
        <v>16.8</v>
      </c>
      <c r="S57" s="42" t="n">
        <v>5364</v>
      </c>
      <c r="T57" s="40" t="n">
        <v>2.2</v>
      </c>
      <c r="U57" s="40" t="n">
        <v>15.1</v>
      </c>
      <c r="V57" s="42" t="n">
        <v>28</v>
      </c>
      <c r="W57" s="40" t="n">
        <v>18.3</v>
      </c>
      <c r="X57" s="41" t="n">
        <v>1.903</v>
      </c>
      <c r="Y57" s="41" t="n">
        <v>0.104</v>
      </c>
      <c r="Z57" s="41" t="n">
        <v>0.235</v>
      </c>
      <c r="AA57" s="40" t="n">
        <v>4.8</v>
      </c>
      <c r="AB57" s="42" t="n">
        <v>3534</v>
      </c>
      <c r="AC57" s="40" t="n">
        <v>0</v>
      </c>
      <c r="AD57" s="40" t="n">
        <v>1.8</v>
      </c>
      <c r="AE57" s="42" t="n">
        <v>28</v>
      </c>
      <c r="AF57" s="40" t="n">
        <v>22.3</v>
      </c>
      <c r="AG57" s="41" t="n">
        <v>3.484</v>
      </c>
      <c r="AH57" s="41" t="n">
        <v>0.156</v>
      </c>
      <c r="AI57" s="40" t="n">
        <v>0</v>
      </c>
      <c r="AJ57" s="42" t="n">
        <v>29</v>
      </c>
      <c r="AK57" s="40" t="n">
        <v>337.7</v>
      </c>
      <c r="AL57" s="41" t="n">
        <v>21.013</v>
      </c>
      <c r="AM57" s="41" t="n">
        <v>0.062</v>
      </c>
      <c r="AN57" s="40" t="n">
        <v>2.4</v>
      </c>
      <c r="AO57" s="43"/>
      <c r="AP57" s="43"/>
      <c r="AQ57" s="43"/>
      <c r="AR57" s="43"/>
      <c r="AS57" s="42"/>
      <c r="AT57" s="42" t="n">
        <f aca="false">Table1[[#This Row],[Object_A_._head_time]]+Table1[[#This Row],[Object_B_._head_time]]</f>
        <v>63.5</v>
      </c>
      <c r="AU57" s="42" t="n">
        <f aca="false">Table1[[#This Row],[Object_B_._head_time]]-Table1[[#This Row],[Object_A_._head_time]]</f>
        <v>-26.9</v>
      </c>
      <c r="AV57" s="40" t="n">
        <f aca="false">Table1[[#This Row],[D1: Absolute discrimination measure (D1 = B2- A2)]]/Table1[[#This Row],[E2: total exploration time in second trial E2 ( E2 = A2 + B2)]]</f>
        <v>-0.423622047244095</v>
      </c>
      <c r="AW57" s="43" t="n">
        <f aca="false">Table1[[#This Row],[Object_B_._head_time]]/Table1[[#This Row],[E2: total exploration time in second trial E2 ( E2 = A2 + B2)]]</f>
        <v>0.288188976377953</v>
      </c>
      <c r="AX57" s="44"/>
      <c r="AY57" s="45" t="s">
        <v>71</v>
      </c>
      <c r="AZ57" s="45" t="s">
        <v>76</v>
      </c>
      <c r="BA57" s="42" t="s">
        <v>72</v>
      </c>
      <c r="BB57" s="42" t="n">
        <v>94</v>
      </c>
      <c r="BC57" s="40" t="n">
        <v>3.13333333333333</v>
      </c>
      <c r="BD57" s="42" t="s">
        <v>81</v>
      </c>
      <c r="BE57" s="46" t="n">
        <v>6</v>
      </c>
      <c r="BF57" s="42" t="s">
        <v>98</v>
      </c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47"/>
    </row>
    <row r="58" s="48" customFormat="true" ht="12" hidden="false" customHeight="true" outlineLevel="0" collapsed="false">
      <c r="A58" s="38" t="n">
        <v>103</v>
      </c>
      <c r="B58" s="39" t="s">
        <v>99</v>
      </c>
      <c r="C58" s="38" t="s">
        <v>190</v>
      </c>
      <c r="D58" s="38" t="s">
        <v>74</v>
      </c>
      <c r="E58" s="38" t="s">
        <v>61</v>
      </c>
      <c r="F58" s="38" t="s">
        <v>202</v>
      </c>
      <c r="G58" s="38" t="s">
        <v>205</v>
      </c>
      <c r="H58" s="40" t="n">
        <v>360</v>
      </c>
      <c r="I58" s="41" t="n">
        <v>9.285</v>
      </c>
      <c r="J58" s="41" t="n">
        <v>0.026</v>
      </c>
      <c r="K58" s="41" t="n">
        <v>0.274</v>
      </c>
      <c r="L58" s="40" t="n">
        <v>87.9</v>
      </c>
      <c r="M58" s="42" t="n">
        <v>6</v>
      </c>
      <c r="N58" s="40" t="n">
        <v>6.5</v>
      </c>
      <c r="O58" s="41" t="n">
        <v>0.165</v>
      </c>
      <c r="P58" s="41" t="n">
        <v>0.025</v>
      </c>
      <c r="Q58" s="41" t="n">
        <v>0.17</v>
      </c>
      <c r="R58" s="40" t="n">
        <v>3.7</v>
      </c>
      <c r="S58" s="42" t="n">
        <v>411</v>
      </c>
      <c r="T58" s="40" t="n">
        <v>0</v>
      </c>
      <c r="U58" s="40" t="n">
        <v>6.5</v>
      </c>
      <c r="V58" s="42" t="n">
        <v>24</v>
      </c>
      <c r="W58" s="40" t="n">
        <v>35.5</v>
      </c>
      <c r="X58" s="41" t="n">
        <v>0.58</v>
      </c>
      <c r="Y58" s="41" t="n">
        <v>0.016</v>
      </c>
      <c r="Z58" s="41" t="n">
        <v>0.202</v>
      </c>
      <c r="AA58" s="40" t="n">
        <v>28.2</v>
      </c>
      <c r="AB58" s="42" t="n">
        <v>1223</v>
      </c>
      <c r="AC58" s="40" t="n">
        <v>16.1</v>
      </c>
      <c r="AD58" s="40" t="n">
        <v>28.9</v>
      </c>
      <c r="AE58" s="42" t="n">
        <v>3</v>
      </c>
      <c r="AF58" s="40" t="n">
        <v>4.8</v>
      </c>
      <c r="AG58" s="41" t="n">
        <v>0.639</v>
      </c>
      <c r="AH58" s="41" t="n">
        <v>0.133</v>
      </c>
      <c r="AI58" s="40" t="n">
        <v>0</v>
      </c>
      <c r="AJ58" s="42" t="n">
        <v>4</v>
      </c>
      <c r="AK58" s="40" t="n">
        <v>355.2</v>
      </c>
      <c r="AL58" s="41" t="n">
        <v>8.646</v>
      </c>
      <c r="AM58" s="41" t="n">
        <v>0.024</v>
      </c>
      <c r="AN58" s="40" t="n">
        <v>87.9</v>
      </c>
      <c r="AO58" s="43"/>
      <c r="AP58" s="43"/>
      <c r="AQ58" s="43"/>
      <c r="AR58" s="43"/>
      <c r="AS58" s="42"/>
      <c r="AT58" s="42" t="n">
        <f aca="false">Table1[[#This Row],[Object_A_._head_time]]+Table1[[#This Row],[Object_B_._head_time]]</f>
        <v>42</v>
      </c>
      <c r="AU58" s="42" t="n">
        <f aca="false">Table1[[#This Row],[Object_B_._head_time]]-Table1[[#This Row],[Object_A_._head_time]]</f>
        <v>29</v>
      </c>
      <c r="AV58" s="40" t="n">
        <f aca="false">Table1[[#This Row],[D1: Absolute discrimination measure (D1 = B2- A2)]]/Table1[[#This Row],[E2: total exploration time in second trial E2 ( E2 = A2 + B2)]]</f>
        <v>0.69047619047619</v>
      </c>
      <c r="AW58" s="43" t="n">
        <f aca="false">Table1[[#This Row],[Object_B_._head_time]]/Table1[[#This Row],[E2: total exploration time in second trial E2 ( E2 = A2 + B2)]]</f>
        <v>0.845238095238095</v>
      </c>
      <c r="AX58" s="44"/>
      <c r="AY58" s="45" t="s">
        <v>71</v>
      </c>
      <c r="AZ58" s="45" t="s">
        <v>76</v>
      </c>
      <c r="BA58" s="42" t="s">
        <v>72</v>
      </c>
      <c r="BB58" s="42" t="n">
        <v>94</v>
      </c>
      <c r="BC58" s="40" t="n">
        <v>3.13333333333333</v>
      </c>
      <c r="BD58" s="42" t="s">
        <v>67</v>
      </c>
      <c r="BE58" s="46" t="n">
        <v>5</v>
      </c>
      <c r="BF58" s="42" t="s">
        <v>101</v>
      </c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47"/>
    </row>
    <row r="59" s="48" customFormat="true" ht="12" hidden="false" customHeight="true" outlineLevel="0" collapsed="false">
      <c r="A59" s="38" t="n">
        <v>104</v>
      </c>
      <c r="B59" s="39" t="s">
        <v>102</v>
      </c>
      <c r="C59" s="38" t="s">
        <v>190</v>
      </c>
      <c r="D59" s="38" t="s">
        <v>79</v>
      </c>
      <c r="E59" s="38" t="s">
        <v>61</v>
      </c>
      <c r="F59" s="38" t="s">
        <v>202</v>
      </c>
      <c r="G59" s="38" t="s">
        <v>206</v>
      </c>
      <c r="H59" s="40" t="n">
        <v>360</v>
      </c>
      <c r="I59" s="41" t="n">
        <v>3.994</v>
      </c>
      <c r="J59" s="41" t="n">
        <v>0.011</v>
      </c>
      <c r="K59" s="41" t="n">
        <v>0.194</v>
      </c>
      <c r="L59" s="40" t="n">
        <v>212</v>
      </c>
      <c r="M59" s="42" t="n">
        <v>48</v>
      </c>
      <c r="N59" s="40" t="n">
        <v>165.9</v>
      </c>
      <c r="O59" s="41" t="n">
        <v>0.327</v>
      </c>
      <c r="P59" s="41" t="n">
        <v>0.002</v>
      </c>
      <c r="Q59" s="41" t="n">
        <v>0.169</v>
      </c>
      <c r="R59" s="40" t="n">
        <v>152.8</v>
      </c>
      <c r="S59" s="42" t="n">
        <v>6761</v>
      </c>
      <c r="T59" s="40" t="n">
        <v>141.5</v>
      </c>
      <c r="U59" s="40" t="n">
        <v>155.3</v>
      </c>
      <c r="V59" s="42" t="n">
        <v>18</v>
      </c>
      <c r="W59" s="40" t="n">
        <v>24.7</v>
      </c>
      <c r="X59" s="41" t="n">
        <v>0.413</v>
      </c>
      <c r="Y59" s="41" t="n">
        <v>0.017</v>
      </c>
      <c r="Z59" s="41" t="n">
        <v>0.191</v>
      </c>
      <c r="AA59" s="40" t="n">
        <v>8.2</v>
      </c>
      <c r="AB59" s="42" t="n">
        <v>879</v>
      </c>
      <c r="AC59" s="40" t="n">
        <v>1.2</v>
      </c>
      <c r="AD59" s="40" t="n">
        <v>8.5</v>
      </c>
      <c r="AE59" s="42" t="n">
        <v>2</v>
      </c>
      <c r="AF59" s="40" t="n">
        <v>7.1</v>
      </c>
      <c r="AG59" s="41" t="n">
        <v>0.562</v>
      </c>
      <c r="AH59" s="41" t="n">
        <v>0.079</v>
      </c>
      <c r="AI59" s="40" t="n">
        <v>0</v>
      </c>
      <c r="AJ59" s="42" t="n">
        <v>3</v>
      </c>
      <c r="AK59" s="40" t="n">
        <v>352.9</v>
      </c>
      <c r="AL59" s="41" t="n">
        <v>3.432</v>
      </c>
      <c r="AM59" s="41" t="n">
        <v>0.01</v>
      </c>
      <c r="AN59" s="40" t="n">
        <v>212</v>
      </c>
      <c r="AO59" s="43"/>
      <c r="AP59" s="43"/>
      <c r="AQ59" s="43"/>
      <c r="AR59" s="43"/>
      <c r="AS59" s="42"/>
      <c r="AT59" s="42" t="n">
        <f aca="false">Table1[[#This Row],[Object_A_._head_time]]+Table1[[#This Row],[Object_B_._head_time]]</f>
        <v>190.6</v>
      </c>
      <c r="AU59" s="42" t="n">
        <f aca="false">Table1[[#This Row],[Object_B_._head_time]]-Table1[[#This Row],[Object_A_._head_time]]</f>
        <v>-141.2</v>
      </c>
      <c r="AV59" s="40" t="n">
        <f aca="false">Table1[[#This Row],[D1: Absolute discrimination measure (D1 = B2- A2)]]/Table1[[#This Row],[E2: total exploration time in second trial E2 ( E2 = A2 + B2)]]</f>
        <v>-0.740818467995803</v>
      </c>
      <c r="AW59" s="43" t="n">
        <f aca="false">Table1[[#This Row],[Object_B_._head_time]]/Table1[[#This Row],[E2: total exploration time in second trial E2 ( E2 = A2 + B2)]]</f>
        <v>0.129590766002099</v>
      </c>
      <c r="AX59" s="44"/>
      <c r="AY59" s="45" t="s">
        <v>71</v>
      </c>
      <c r="AZ59" s="45" t="s">
        <v>76</v>
      </c>
      <c r="BA59" s="42" t="s">
        <v>72</v>
      </c>
      <c r="BB59" s="42" t="n">
        <v>94</v>
      </c>
      <c r="BC59" s="40" t="n">
        <v>3.13333333333333</v>
      </c>
      <c r="BD59" s="42" t="s">
        <v>81</v>
      </c>
      <c r="BE59" s="46" t="n">
        <v>6</v>
      </c>
      <c r="BF59" s="42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47"/>
    </row>
    <row r="60" s="59" customFormat="true" ht="12" hidden="false" customHeight="true" outlineLevel="0" collapsed="false">
      <c r="A60" s="49" t="n">
        <v>107</v>
      </c>
      <c r="B60" s="50" t="s">
        <v>104</v>
      </c>
      <c r="C60" s="49" t="s">
        <v>190</v>
      </c>
      <c r="D60" s="49" t="s">
        <v>60</v>
      </c>
      <c r="E60" s="49" t="s">
        <v>61</v>
      </c>
      <c r="F60" s="49" t="s">
        <v>207</v>
      </c>
      <c r="G60" s="49" t="s">
        <v>208</v>
      </c>
      <c r="H60" s="51" t="n">
        <v>360</v>
      </c>
      <c r="I60" s="52" t="n">
        <v>11.622</v>
      </c>
      <c r="J60" s="52" t="n">
        <v>0.032</v>
      </c>
      <c r="K60" s="52" t="n">
        <v>0.26</v>
      </c>
      <c r="L60" s="51" t="n">
        <v>25.7</v>
      </c>
      <c r="M60" s="53" t="n">
        <v>14</v>
      </c>
      <c r="N60" s="51" t="n">
        <v>21.3</v>
      </c>
      <c r="O60" s="52" t="n">
        <v>1.113</v>
      </c>
      <c r="P60" s="52" t="n">
        <v>0.052</v>
      </c>
      <c r="Q60" s="52" t="n">
        <v>0.23</v>
      </c>
      <c r="R60" s="51" t="n">
        <v>4.4</v>
      </c>
      <c r="S60" s="53" t="n">
        <v>1244</v>
      </c>
      <c r="T60" s="51" t="n">
        <v>0</v>
      </c>
      <c r="U60" s="51" t="n">
        <v>4.5</v>
      </c>
      <c r="V60" s="53" t="n">
        <v>27</v>
      </c>
      <c r="W60" s="51" t="n">
        <v>34.5</v>
      </c>
      <c r="X60" s="52" t="n">
        <v>1.107</v>
      </c>
      <c r="Y60" s="52" t="n">
        <v>0.032</v>
      </c>
      <c r="Z60" s="52" t="n">
        <v>0.21</v>
      </c>
      <c r="AA60" s="51" t="n">
        <v>8.2</v>
      </c>
      <c r="AB60" s="53" t="n">
        <v>2147</v>
      </c>
      <c r="AC60" s="51" t="n">
        <v>1.5</v>
      </c>
      <c r="AD60" s="51" t="n">
        <v>19.3</v>
      </c>
      <c r="AE60" s="53" t="n">
        <v>10</v>
      </c>
      <c r="AF60" s="51" t="n">
        <v>10.8</v>
      </c>
      <c r="AG60" s="52" t="n">
        <v>1.273</v>
      </c>
      <c r="AH60" s="52" t="n">
        <v>0.118</v>
      </c>
      <c r="AI60" s="51" t="n">
        <v>0</v>
      </c>
      <c r="AJ60" s="53" t="n">
        <v>10</v>
      </c>
      <c r="AK60" s="51" t="n">
        <v>349.2</v>
      </c>
      <c r="AL60" s="52" t="n">
        <v>10.348</v>
      </c>
      <c r="AM60" s="52" t="n">
        <v>0.03</v>
      </c>
      <c r="AN60" s="51" t="n">
        <v>25.7</v>
      </c>
      <c r="AO60" s="54"/>
      <c r="AP60" s="54"/>
      <c r="AQ60" s="54"/>
      <c r="AR60" s="54"/>
      <c r="AS60" s="42"/>
      <c r="AT60" s="53" t="n">
        <f aca="false">Table1[[#This Row],[Object_A_._head_time]]+Table1[[#This Row],[Object_B_._head_time]]</f>
        <v>55.8</v>
      </c>
      <c r="AU60" s="53" t="n">
        <f aca="false">Table1[[#This Row],[Object_B_._head_time]]-Table1[[#This Row],[Object_A_._head_time]]</f>
        <v>13.2</v>
      </c>
      <c r="AV60" s="51" t="n">
        <f aca="false">Table1[[#This Row],[D1: Absolute discrimination measure (D1 = B2- A2)]]/Table1[[#This Row],[E2: total exploration time in second trial E2 ( E2 = A2 + B2)]]</f>
        <v>0.236559139784946</v>
      </c>
      <c r="AW60" s="43" t="n">
        <f aca="false">Table1[[#This Row],[Object_B_._head_time]]/Table1[[#This Row],[E2: total exploration time in second trial E2 ( E2 = A2 + B2)]]</f>
        <v>0.618279569892473</v>
      </c>
      <c r="AX60" s="53"/>
      <c r="AY60" s="55" t="s">
        <v>64</v>
      </c>
      <c r="AZ60" s="55" t="s">
        <v>65</v>
      </c>
      <c r="BA60" s="55" t="s">
        <v>72</v>
      </c>
      <c r="BB60" s="55" t="n">
        <v>93</v>
      </c>
      <c r="BC60" s="56" t="n">
        <v>3.1</v>
      </c>
      <c r="BD60" s="53"/>
      <c r="BE60" s="57"/>
      <c r="BF60" s="53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58"/>
    </row>
    <row r="61" s="48" customFormat="true" ht="12" hidden="false" customHeight="true" outlineLevel="0" collapsed="false">
      <c r="A61" s="38" t="n">
        <v>106</v>
      </c>
      <c r="B61" s="39" t="s">
        <v>107</v>
      </c>
      <c r="C61" s="38" t="s">
        <v>190</v>
      </c>
      <c r="D61" s="38" t="s">
        <v>69</v>
      </c>
      <c r="E61" s="38" t="s">
        <v>61</v>
      </c>
      <c r="F61" s="38" t="s">
        <v>207</v>
      </c>
      <c r="G61" s="38" t="s">
        <v>209</v>
      </c>
      <c r="H61" s="40" t="n">
        <v>360</v>
      </c>
      <c r="I61" s="41" t="n">
        <v>11.958</v>
      </c>
      <c r="J61" s="41" t="n">
        <v>0.033</v>
      </c>
      <c r="K61" s="41" t="n">
        <v>0.258</v>
      </c>
      <c r="L61" s="40" t="n">
        <v>34.8</v>
      </c>
      <c r="M61" s="42" t="n">
        <v>15</v>
      </c>
      <c r="N61" s="40" t="n">
        <v>31.4</v>
      </c>
      <c r="O61" s="41" t="n">
        <v>1.396</v>
      </c>
      <c r="P61" s="41" t="n">
        <v>0.044</v>
      </c>
      <c r="Q61" s="41" t="n">
        <v>0.253</v>
      </c>
      <c r="R61" s="40" t="n">
        <v>6.9</v>
      </c>
      <c r="S61" s="42" t="n">
        <v>1615</v>
      </c>
      <c r="T61" s="40" t="n">
        <v>1.9</v>
      </c>
      <c r="U61" s="40" t="n">
        <v>2.5</v>
      </c>
      <c r="V61" s="42" t="n">
        <v>25</v>
      </c>
      <c r="W61" s="40" t="n">
        <v>105.3</v>
      </c>
      <c r="X61" s="41" t="n">
        <v>1.197</v>
      </c>
      <c r="Y61" s="41" t="n">
        <v>0.011</v>
      </c>
      <c r="Z61" s="41" t="n">
        <v>0.185</v>
      </c>
      <c r="AA61" s="40" t="n">
        <v>21.9</v>
      </c>
      <c r="AB61" s="42" t="n">
        <v>5932</v>
      </c>
      <c r="AC61" s="40" t="n">
        <v>21.6</v>
      </c>
      <c r="AD61" s="40" t="n">
        <v>26.4</v>
      </c>
      <c r="AE61" s="42" t="n">
        <v>11</v>
      </c>
      <c r="AF61" s="40" t="n">
        <v>17.5</v>
      </c>
      <c r="AG61" s="41" t="n">
        <v>1.437</v>
      </c>
      <c r="AH61" s="41" t="n">
        <v>0.082</v>
      </c>
      <c r="AI61" s="40" t="n">
        <v>0</v>
      </c>
      <c r="AJ61" s="42" t="n">
        <v>12</v>
      </c>
      <c r="AK61" s="40" t="n">
        <v>342.5</v>
      </c>
      <c r="AL61" s="41" t="n">
        <v>10.521</v>
      </c>
      <c r="AM61" s="41" t="n">
        <v>0.031</v>
      </c>
      <c r="AN61" s="40" t="n">
        <v>34.8</v>
      </c>
      <c r="AO61" s="43"/>
      <c r="AP61" s="43"/>
      <c r="AQ61" s="43"/>
      <c r="AR61" s="43"/>
      <c r="AS61" s="42"/>
      <c r="AT61" s="42" t="n">
        <f aca="false">Table1[[#This Row],[Object_A_._head_time]]+Table1[[#This Row],[Object_B_._head_time]]</f>
        <v>136.7</v>
      </c>
      <c r="AU61" s="42" t="n">
        <f aca="false">Table1[[#This Row],[Object_B_._head_time]]-Table1[[#This Row],[Object_A_._head_time]]</f>
        <v>73.9</v>
      </c>
      <c r="AV61" s="40" t="n">
        <f aca="false">Table1[[#This Row],[D1: Absolute discrimination measure (D1 = B2- A2)]]/Table1[[#This Row],[E2: total exploration time in second trial E2 ( E2 = A2 + B2)]]</f>
        <v>0.540599853694221</v>
      </c>
      <c r="AW61" s="43" t="n">
        <f aca="false">Table1[[#This Row],[Object_B_._head_time]]/Table1[[#This Row],[E2: total exploration time in second trial E2 ( E2 = A2 + B2)]]</f>
        <v>0.77029992684711</v>
      </c>
      <c r="AX61" s="44"/>
      <c r="AY61" s="38" t="s">
        <v>64</v>
      </c>
      <c r="AZ61" s="38" t="s">
        <v>65</v>
      </c>
      <c r="BA61" s="42" t="s">
        <v>66</v>
      </c>
      <c r="BB61" s="42" t="n">
        <v>86</v>
      </c>
      <c r="BC61" s="42" t="n">
        <v>2.86666666666667</v>
      </c>
      <c r="BD61" s="42" t="s">
        <v>81</v>
      </c>
      <c r="BE61" s="46" t="n">
        <v>4</v>
      </c>
      <c r="BF61" s="42" t="s">
        <v>109</v>
      </c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47"/>
    </row>
    <row r="62" s="48" customFormat="true" ht="12" hidden="false" customHeight="true" outlineLevel="0" collapsed="false">
      <c r="A62" s="38" t="n">
        <v>105</v>
      </c>
      <c r="B62" s="39" t="s">
        <v>110</v>
      </c>
      <c r="C62" s="38" t="s">
        <v>190</v>
      </c>
      <c r="D62" s="38" t="s">
        <v>74</v>
      </c>
      <c r="E62" s="38" t="s">
        <v>61</v>
      </c>
      <c r="F62" s="38" t="s">
        <v>207</v>
      </c>
      <c r="G62" s="38" t="s">
        <v>210</v>
      </c>
      <c r="H62" s="40" t="n">
        <v>360</v>
      </c>
      <c r="I62" s="41" t="n">
        <v>5.224</v>
      </c>
      <c r="J62" s="41" t="n">
        <v>0.015</v>
      </c>
      <c r="K62" s="41" t="n">
        <v>0.261</v>
      </c>
      <c r="L62" s="40" t="n">
        <v>232.5</v>
      </c>
      <c r="M62" s="42" t="n">
        <v>4</v>
      </c>
      <c r="N62" s="40" t="n">
        <v>2.5</v>
      </c>
      <c r="O62" s="41" t="n">
        <v>0.157</v>
      </c>
      <c r="P62" s="41" t="n">
        <v>0.062</v>
      </c>
      <c r="Q62" s="41" t="n">
        <v>0.147</v>
      </c>
      <c r="R62" s="40" t="n">
        <v>1.8</v>
      </c>
      <c r="S62" s="42" t="n">
        <v>190</v>
      </c>
      <c r="T62" s="40" t="n">
        <v>0</v>
      </c>
      <c r="U62" s="40" t="n">
        <v>2.1</v>
      </c>
      <c r="V62" s="42" t="n">
        <v>1</v>
      </c>
      <c r="W62" s="40" t="n">
        <v>1.3</v>
      </c>
      <c r="X62" s="41" t="n">
        <v>0.048</v>
      </c>
      <c r="Y62" s="41" t="n">
        <v>0.036</v>
      </c>
      <c r="Z62" s="41" t="n">
        <v>0.048</v>
      </c>
      <c r="AA62" s="40" t="n">
        <v>1.2</v>
      </c>
      <c r="AB62" s="42" t="n">
        <v>171</v>
      </c>
      <c r="AC62" s="40" t="n">
        <v>0</v>
      </c>
      <c r="AD62" s="40" t="n">
        <v>0.4</v>
      </c>
      <c r="AE62" s="42" t="n">
        <v>0</v>
      </c>
      <c r="AF62" s="40" t="n">
        <v>0</v>
      </c>
      <c r="AG62" s="41" t="n">
        <v>0</v>
      </c>
      <c r="AH62" s="41"/>
      <c r="AI62" s="40" t="n">
        <v>0</v>
      </c>
      <c r="AJ62" s="42" t="n">
        <v>1</v>
      </c>
      <c r="AK62" s="40" t="n">
        <v>360</v>
      </c>
      <c r="AL62" s="41" t="n">
        <v>5.224</v>
      </c>
      <c r="AM62" s="41" t="n">
        <v>0.015</v>
      </c>
      <c r="AN62" s="40" t="n">
        <v>232.5</v>
      </c>
      <c r="AO62" s="43"/>
      <c r="AP62" s="43"/>
      <c r="AQ62" s="43"/>
      <c r="AR62" s="43"/>
      <c r="AS62" s="42"/>
      <c r="AT62" s="42" t="n">
        <f aca="false">Table1[[#This Row],[Object_A_._head_time]]+Table1[[#This Row],[Object_B_._head_time]]</f>
        <v>3.8</v>
      </c>
      <c r="AU62" s="42" t="n">
        <f aca="false">Table1[[#This Row],[Object_B_._head_time]]-Table1[[#This Row],[Object_A_._head_time]]</f>
        <v>-1.2</v>
      </c>
      <c r="AV62" s="40" t="n">
        <f aca="false">Table1[[#This Row],[D1: Absolute discrimination measure (D1 = B2- A2)]]/Table1[[#This Row],[E2: total exploration time in second trial E2 ( E2 = A2 + B2)]]</f>
        <v>-0.31578947368421</v>
      </c>
      <c r="AW62" s="43" t="n">
        <f aca="false">Table1[[#This Row],[Object_B_._head_time]]/Table1[[#This Row],[E2: total exploration time in second trial E2 ( E2 = A2 + B2)]]</f>
        <v>0.342105263157895</v>
      </c>
      <c r="AX62" s="44"/>
      <c r="AY62" s="38" t="s">
        <v>71</v>
      </c>
      <c r="AZ62" s="38" t="s">
        <v>65</v>
      </c>
      <c r="BA62" s="42" t="s">
        <v>72</v>
      </c>
      <c r="BB62" s="42" t="n">
        <v>86</v>
      </c>
      <c r="BC62" s="42" t="n">
        <v>2.86666666666667</v>
      </c>
      <c r="BD62" s="42" t="s">
        <v>67</v>
      </c>
      <c r="BE62" s="46" t="n">
        <v>1</v>
      </c>
      <c r="BF62" s="42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47"/>
    </row>
    <row r="63" s="48" customFormat="true" ht="12" hidden="false" customHeight="true" outlineLevel="0" collapsed="false">
      <c r="A63" s="38" t="n">
        <v>108</v>
      </c>
      <c r="B63" s="39" t="s">
        <v>112</v>
      </c>
      <c r="C63" s="38" t="s">
        <v>190</v>
      </c>
      <c r="D63" s="38" t="s">
        <v>79</v>
      </c>
      <c r="E63" s="38" t="s">
        <v>61</v>
      </c>
      <c r="F63" s="38" t="s">
        <v>207</v>
      </c>
      <c r="G63" s="38" t="s">
        <v>211</v>
      </c>
      <c r="H63" s="40" t="n">
        <v>360</v>
      </c>
      <c r="I63" s="41" t="n">
        <v>22.836</v>
      </c>
      <c r="J63" s="41" t="n">
        <v>0.063</v>
      </c>
      <c r="K63" s="41" t="n">
        <v>0.308</v>
      </c>
      <c r="L63" s="40" t="n">
        <v>19.2</v>
      </c>
      <c r="M63" s="42" t="n">
        <v>33</v>
      </c>
      <c r="N63" s="40" t="n">
        <v>34.2</v>
      </c>
      <c r="O63" s="41" t="n">
        <v>2.161</v>
      </c>
      <c r="P63" s="41" t="n">
        <v>0.063</v>
      </c>
      <c r="Q63" s="41" t="n">
        <v>0.292</v>
      </c>
      <c r="R63" s="40" t="n">
        <v>13.5</v>
      </c>
      <c r="S63" s="42" t="n">
        <v>2365</v>
      </c>
      <c r="T63" s="40" t="n">
        <v>1.5</v>
      </c>
      <c r="U63" s="40" t="n">
        <v>10.9</v>
      </c>
      <c r="V63" s="42" t="n">
        <v>37</v>
      </c>
      <c r="W63" s="40" t="n">
        <v>40.7</v>
      </c>
      <c r="X63" s="41" t="n">
        <v>2.394</v>
      </c>
      <c r="Y63" s="41" t="n">
        <v>0.059</v>
      </c>
      <c r="Z63" s="41" t="n">
        <v>0.257</v>
      </c>
      <c r="AA63" s="40" t="n">
        <v>12.7</v>
      </c>
      <c r="AB63" s="42" t="n">
        <v>3463</v>
      </c>
      <c r="AC63" s="40" t="n">
        <v>0</v>
      </c>
      <c r="AD63" s="40" t="n">
        <v>24</v>
      </c>
      <c r="AE63" s="42" t="n">
        <v>19</v>
      </c>
      <c r="AF63" s="40" t="n">
        <v>15.9</v>
      </c>
      <c r="AG63" s="41" t="n">
        <v>2.666</v>
      </c>
      <c r="AH63" s="41" t="n">
        <v>0.167</v>
      </c>
      <c r="AI63" s="40" t="n">
        <v>0</v>
      </c>
      <c r="AJ63" s="42" t="n">
        <v>20</v>
      </c>
      <c r="AK63" s="40" t="n">
        <v>344.1</v>
      </c>
      <c r="AL63" s="41" t="n">
        <v>20.17</v>
      </c>
      <c r="AM63" s="41" t="n">
        <v>0.059</v>
      </c>
      <c r="AN63" s="40" t="n">
        <v>19.2</v>
      </c>
      <c r="AO63" s="43"/>
      <c r="AP63" s="43"/>
      <c r="AQ63" s="43"/>
      <c r="AR63" s="43"/>
      <c r="AS63" s="42"/>
      <c r="AT63" s="42" t="n">
        <f aca="false">Table1[[#This Row],[Object_A_._head_time]]+Table1[[#This Row],[Object_B_._head_time]]</f>
        <v>74.9</v>
      </c>
      <c r="AU63" s="42" t="n">
        <f aca="false">Table1[[#This Row],[Object_B_._head_time]]-Table1[[#This Row],[Object_A_._head_time]]</f>
        <v>6.5</v>
      </c>
      <c r="AV63" s="40" t="n">
        <f aca="false">Table1[[#This Row],[D1: Absolute discrimination measure (D1 = B2- A2)]]/Table1[[#This Row],[E2: total exploration time in second trial E2 ( E2 = A2 + B2)]]</f>
        <v>0.0867823765020027</v>
      </c>
      <c r="AW63" s="43" t="n">
        <f aca="false">Table1[[#This Row],[Object_B_._head_time]]/Table1[[#This Row],[E2: total exploration time in second trial E2 ( E2 = A2 + B2)]]</f>
        <v>0.543391188251001</v>
      </c>
      <c r="AX63" s="44"/>
      <c r="AY63" s="38" t="s">
        <v>71</v>
      </c>
      <c r="AZ63" s="38" t="s">
        <v>76</v>
      </c>
      <c r="BA63" s="42" t="s">
        <v>66</v>
      </c>
      <c r="BB63" s="42" t="n">
        <v>86</v>
      </c>
      <c r="BC63" s="42" t="n">
        <v>2.86666666666667</v>
      </c>
      <c r="BD63" s="42" t="s">
        <v>67</v>
      </c>
      <c r="BE63" s="46" t="n">
        <v>7</v>
      </c>
      <c r="BF63" s="42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47"/>
    </row>
    <row r="64" s="48" customFormat="true" ht="12" hidden="false" customHeight="true" outlineLevel="0" collapsed="false">
      <c r="A64" s="38" t="n">
        <v>109</v>
      </c>
      <c r="B64" s="39" t="s">
        <v>114</v>
      </c>
      <c r="C64" s="38" t="s">
        <v>190</v>
      </c>
      <c r="D64" s="38" t="s">
        <v>60</v>
      </c>
      <c r="E64" s="38" t="s">
        <v>61</v>
      </c>
      <c r="F64" s="38" t="s">
        <v>212</v>
      </c>
      <c r="G64" s="38" t="s">
        <v>213</v>
      </c>
      <c r="H64" s="40" t="n">
        <v>360</v>
      </c>
      <c r="I64" s="41" t="n">
        <v>2.307</v>
      </c>
      <c r="J64" s="41" t="n">
        <v>0.006</v>
      </c>
      <c r="K64" s="41" t="n">
        <v>0.224</v>
      </c>
      <c r="L64" s="40" t="n">
        <v>113.4</v>
      </c>
      <c r="M64" s="42" t="n">
        <v>1</v>
      </c>
      <c r="N64" s="40" t="n">
        <v>0.6</v>
      </c>
      <c r="O64" s="41" t="n">
        <v>0.028</v>
      </c>
      <c r="P64" s="41" t="n">
        <v>0.046</v>
      </c>
      <c r="Q64" s="41" t="n">
        <v>0.052</v>
      </c>
      <c r="R64" s="40" t="n">
        <v>0.5</v>
      </c>
      <c r="S64" s="42" t="n">
        <v>34</v>
      </c>
      <c r="T64" s="40" t="n">
        <v>0</v>
      </c>
      <c r="U64" s="40" t="n">
        <v>0.6</v>
      </c>
      <c r="V64" s="42" t="n">
        <v>2</v>
      </c>
      <c r="W64" s="40" t="n">
        <v>4.3</v>
      </c>
      <c r="X64" s="41" t="n">
        <v>0.026</v>
      </c>
      <c r="Y64" s="41" t="n">
        <v>0.006</v>
      </c>
      <c r="Z64" s="41" t="n">
        <v>0.076</v>
      </c>
      <c r="AA64" s="40" t="n">
        <v>2.1</v>
      </c>
      <c r="AB64" s="42" t="n">
        <v>230</v>
      </c>
      <c r="AC64" s="40" t="n">
        <v>0</v>
      </c>
      <c r="AD64" s="40" t="n">
        <v>4.3</v>
      </c>
      <c r="AE64" s="42" t="n">
        <v>0</v>
      </c>
      <c r="AF64" s="40" t="n">
        <v>0</v>
      </c>
      <c r="AG64" s="41" t="n">
        <v>0</v>
      </c>
      <c r="AH64" s="41"/>
      <c r="AI64" s="40" t="n">
        <v>0</v>
      </c>
      <c r="AJ64" s="42" t="n">
        <v>1</v>
      </c>
      <c r="AK64" s="40" t="n">
        <v>360</v>
      </c>
      <c r="AL64" s="41" t="n">
        <v>2.307</v>
      </c>
      <c r="AM64" s="41" t="n">
        <v>0.006</v>
      </c>
      <c r="AN64" s="40" t="n">
        <v>113.4</v>
      </c>
      <c r="AO64" s="43"/>
      <c r="AP64" s="43"/>
      <c r="AQ64" s="43"/>
      <c r="AR64" s="43"/>
      <c r="AS64" s="42"/>
      <c r="AT64" s="42" t="n">
        <f aca="false">Table1[[#This Row],[Object_A_._head_time]]+Table1[[#This Row],[Object_B_._head_time]]</f>
        <v>4.9</v>
      </c>
      <c r="AU64" s="42" t="n">
        <f aca="false">Table1[[#This Row],[Object_B_._head_time]]-Table1[[#This Row],[Object_A_._head_time]]</f>
        <v>3.7</v>
      </c>
      <c r="AV64" s="40" t="n">
        <f aca="false">Table1[[#This Row],[D1: Absolute discrimination measure (D1 = B2- A2)]]/Table1[[#This Row],[E2: total exploration time in second trial E2 ( E2 = A2 + B2)]]</f>
        <v>0.755102040816327</v>
      </c>
      <c r="AW64" s="43" t="n">
        <f aca="false">Table1[[#This Row],[Object_B_._head_time]]/Table1[[#This Row],[E2: total exploration time in second trial E2 ( E2 = A2 + B2)]]</f>
        <v>0.877551020408163</v>
      </c>
      <c r="AX64" s="44"/>
      <c r="AY64" s="38" t="s">
        <v>71</v>
      </c>
      <c r="AZ64" s="38" t="s">
        <v>65</v>
      </c>
      <c r="BA64" s="42" t="s">
        <v>66</v>
      </c>
      <c r="BB64" s="42" t="n">
        <v>86</v>
      </c>
      <c r="BC64" s="42" t="n">
        <v>2.86666666666667</v>
      </c>
      <c r="BD64" s="42" t="s">
        <v>67</v>
      </c>
      <c r="BE64" s="46" t="n">
        <v>3</v>
      </c>
      <c r="BF64" s="42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47"/>
    </row>
    <row r="65" s="48" customFormat="true" ht="12" hidden="false" customHeight="true" outlineLevel="0" collapsed="false">
      <c r="A65" s="38" t="n">
        <v>110</v>
      </c>
      <c r="B65" s="39" t="s">
        <v>117</v>
      </c>
      <c r="C65" s="38" t="s">
        <v>190</v>
      </c>
      <c r="D65" s="38" t="s">
        <v>69</v>
      </c>
      <c r="E65" s="38" t="s">
        <v>61</v>
      </c>
      <c r="F65" s="38" t="s">
        <v>212</v>
      </c>
      <c r="G65" s="38" t="s">
        <v>214</v>
      </c>
      <c r="H65" s="40" t="n">
        <v>360</v>
      </c>
      <c r="I65" s="41" t="n">
        <v>14.929</v>
      </c>
      <c r="J65" s="41" t="n">
        <v>0.041</v>
      </c>
      <c r="K65" s="41" t="n">
        <v>0.302</v>
      </c>
      <c r="L65" s="40" t="n">
        <v>21.9</v>
      </c>
      <c r="M65" s="42" t="n">
        <v>49</v>
      </c>
      <c r="N65" s="40" t="n">
        <v>65.1</v>
      </c>
      <c r="O65" s="41" t="n">
        <v>2.863</v>
      </c>
      <c r="P65" s="41" t="n">
        <v>0.044</v>
      </c>
      <c r="Q65" s="41" t="n">
        <v>0.289</v>
      </c>
      <c r="R65" s="40" t="n">
        <v>11.1</v>
      </c>
      <c r="S65" s="42" t="n">
        <v>5938</v>
      </c>
      <c r="T65" s="40" t="n">
        <v>2.5</v>
      </c>
      <c r="U65" s="40" t="n">
        <v>16</v>
      </c>
      <c r="V65" s="42" t="n">
        <v>19</v>
      </c>
      <c r="W65" s="40" t="n">
        <v>28.6</v>
      </c>
      <c r="X65" s="41" t="n">
        <v>1.818</v>
      </c>
      <c r="Y65" s="41" t="n">
        <v>0.064</v>
      </c>
      <c r="Z65" s="41" t="n">
        <v>0.261</v>
      </c>
      <c r="AA65" s="40" t="n">
        <v>5.5</v>
      </c>
      <c r="AB65" s="42" t="n">
        <v>2163</v>
      </c>
      <c r="AC65" s="40" t="n">
        <v>0</v>
      </c>
      <c r="AD65" s="40" t="n">
        <v>4.9</v>
      </c>
      <c r="AE65" s="42" t="n">
        <v>19</v>
      </c>
      <c r="AF65" s="40" t="n">
        <v>21.3</v>
      </c>
      <c r="AG65" s="41" t="n">
        <v>2.513</v>
      </c>
      <c r="AH65" s="41" t="n">
        <v>0.118</v>
      </c>
      <c r="AI65" s="40" t="n">
        <v>0</v>
      </c>
      <c r="AJ65" s="42" t="n">
        <v>20</v>
      </c>
      <c r="AK65" s="40" t="n">
        <v>338.7</v>
      </c>
      <c r="AL65" s="41" t="n">
        <v>12.416</v>
      </c>
      <c r="AM65" s="41" t="n">
        <v>0.037</v>
      </c>
      <c r="AN65" s="40" t="n">
        <v>21.9</v>
      </c>
      <c r="AO65" s="43"/>
      <c r="AP65" s="43"/>
      <c r="AQ65" s="43"/>
      <c r="AR65" s="43"/>
      <c r="AS65" s="42"/>
      <c r="AT65" s="42" t="n">
        <f aca="false">Table1[[#This Row],[Object_A_._head_time]]+Table1[[#This Row],[Object_B_._head_time]]</f>
        <v>93.7</v>
      </c>
      <c r="AU65" s="42" t="n">
        <f aca="false">Table1[[#This Row],[Object_B_._head_time]]-Table1[[#This Row],[Object_A_._head_time]]</f>
        <v>-36.5</v>
      </c>
      <c r="AV65" s="40" t="n">
        <f aca="false">Table1[[#This Row],[D1: Absolute discrimination measure (D1 = B2- A2)]]/Table1[[#This Row],[E2: total exploration time in second trial E2 ( E2 = A2 + B2)]]</f>
        <v>-0.389541088580576</v>
      </c>
      <c r="AW65" s="43" t="n">
        <f aca="false">Table1[[#This Row],[Object_B_._head_time]]/Table1[[#This Row],[E2: total exploration time in second trial E2 ( E2 = A2 + B2)]]</f>
        <v>0.305229455709712</v>
      </c>
      <c r="AX65" s="44"/>
      <c r="AY65" s="38" t="s">
        <v>64</v>
      </c>
      <c r="AZ65" s="38" t="s">
        <v>65</v>
      </c>
      <c r="BA65" s="42" t="s">
        <v>66</v>
      </c>
      <c r="BB65" s="42" t="n">
        <v>76</v>
      </c>
      <c r="BC65" s="42" t="n">
        <v>2.53333333333333</v>
      </c>
      <c r="BD65" s="42" t="s">
        <v>67</v>
      </c>
      <c r="BE65" s="46" t="n">
        <v>3</v>
      </c>
      <c r="BF65" s="42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47"/>
    </row>
    <row r="66" s="48" customFormat="true" ht="12" hidden="false" customHeight="true" outlineLevel="0" collapsed="false">
      <c r="A66" s="38" t="n">
        <v>111</v>
      </c>
      <c r="B66" s="39" t="s">
        <v>119</v>
      </c>
      <c r="C66" s="38" t="s">
        <v>190</v>
      </c>
      <c r="D66" s="38" t="s">
        <v>74</v>
      </c>
      <c r="E66" s="38" t="s">
        <v>61</v>
      </c>
      <c r="F66" s="38" t="s">
        <v>212</v>
      </c>
      <c r="G66" s="38" t="s">
        <v>215</v>
      </c>
      <c r="H66" s="40" t="n">
        <v>360</v>
      </c>
      <c r="I66" s="41" t="n">
        <v>6.864</v>
      </c>
      <c r="J66" s="41" t="n">
        <v>0.019</v>
      </c>
      <c r="K66" s="41" t="n">
        <v>0.237</v>
      </c>
      <c r="L66" s="40" t="n">
        <v>57.7</v>
      </c>
      <c r="M66" s="42" t="n">
        <v>18</v>
      </c>
      <c r="N66" s="40" t="n">
        <v>25.2</v>
      </c>
      <c r="O66" s="41" t="n">
        <v>0.547</v>
      </c>
      <c r="P66" s="41" t="n">
        <v>0.022</v>
      </c>
      <c r="Q66" s="41" t="n">
        <v>0.179</v>
      </c>
      <c r="R66" s="40" t="n">
        <v>14.3</v>
      </c>
      <c r="S66" s="42" t="n">
        <v>1229</v>
      </c>
      <c r="T66" s="40" t="n">
        <v>7</v>
      </c>
      <c r="U66" s="40" t="n">
        <v>18.5</v>
      </c>
      <c r="V66" s="42" t="n">
        <v>7</v>
      </c>
      <c r="W66" s="40" t="n">
        <v>5.4</v>
      </c>
      <c r="X66" s="41" t="n">
        <v>0.362</v>
      </c>
      <c r="Y66" s="41" t="n">
        <v>0.067</v>
      </c>
      <c r="Z66" s="41" t="n">
        <v>0.205</v>
      </c>
      <c r="AA66" s="40" t="n">
        <v>1.4</v>
      </c>
      <c r="AB66" s="42" t="n">
        <v>410</v>
      </c>
      <c r="AC66" s="40" t="n">
        <v>0</v>
      </c>
      <c r="AD66" s="40" t="n">
        <v>2.8</v>
      </c>
      <c r="AE66" s="42" t="n">
        <v>3</v>
      </c>
      <c r="AF66" s="40" t="n">
        <v>3.9</v>
      </c>
      <c r="AG66" s="41" t="n">
        <v>0.329</v>
      </c>
      <c r="AH66" s="41" t="n">
        <v>0.084</v>
      </c>
      <c r="AI66" s="40" t="n">
        <v>0</v>
      </c>
      <c r="AJ66" s="42" t="n">
        <v>4</v>
      </c>
      <c r="AK66" s="40" t="n">
        <v>356.1</v>
      </c>
      <c r="AL66" s="41" t="n">
        <v>6.535</v>
      </c>
      <c r="AM66" s="41" t="n">
        <v>0.018</v>
      </c>
      <c r="AN66" s="40" t="n">
        <v>57.7</v>
      </c>
      <c r="AO66" s="43"/>
      <c r="AP66" s="43"/>
      <c r="AQ66" s="43"/>
      <c r="AR66" s="43"/>
      <c r="AS66" s="42"/>
      <c r="AT66" s="42" t="n">
        <f aca="false">Table1[[#This Row],[Object_A_._head_time]]+Table1[[#This Row],[Object_B_._head_time]]</f>
        <v>30.6</v>
      </c>
      <c r="AU66" s="42" t="n">
        <f aca="false">Table1[[#This Row],[Object_B_._head_time]]-Table1[[#This Row],[Object_A_._head_time]]</f>
        <v>-19.8</v>
      </c>
      <c r="AV66" s="40" t="n">
        <f aca="false">Table1[[#This Row],[D1: Absolute discrimination measure (D1 = B2- A2)]]/Table1[[#This Row],[E2: total exploration time in second trial E2 ( E2 = A2 + B2)]]</f>
        <v>-0.647058823529412</v>
      </c>
      <c r="AW66" s="43" t="n">
        <f aca="false">Table1[[#This Row],[Object_B_._head_time]]/Table1[[#This Row],[E2: total exploration time in second trial E2 ( E2 = A2 + B2)]]</f>
        <v>0.176470588235294</v>
      </c>
      <c r="AX66" s="44"/>
      <c r="AY66" s="38" t="s">
        <v>64</v>
      </c>
      <c r="AZ66" s="38" t="s">
        <v>76</v>
      </c>
      <c r="BA66" s="42" t="s">
        <v>66</v>
      </c>
      <c r="BB66" s="42" t="n">
        <v>76</v>
      </c>
      <c r="BC66" s="42" t="n">
        <v>2.53333333333333</v>
      </c>
      <c r="BD66" s="42" t="s">
        <v>81</v>
      </c>
      <c r="BE66" s="46" t="n">
        <v>8</v>
      </c>
      <c r="BF66" s="42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47"/>
    </row>
    <row r="67" s="48" customFormat="true" ht="12" hidden="false" customHeight="true" outlineLevel="0" collapsed="false">
      <c r="A67" s="38" t="n">
        <v>112</v>
      </c>
      <c r="B67" s="39" t="s">
        <v>121</v>
      </c>
      <c r="C67" s="38" t="s">
        <v>190</v>
      </c>
      <c r="D67" s="38" t="s">
        <v>79</v>
      </c>
      <c r="E67" s="38" t="s">
        <v>61</v>
      </c>
      <c r="F67" s="38" t="s">
        <v>212</v>
      </c>
      <c r="G67" s="38" t="s">
        <v>216</v>
      </c>
      <c r="H67" s="40" t="n">
        <v>360</v>
      </c>
      <c r="I67" s="41" t="n">
        <v>7.483</v>
      </c>
      <c r="J67" s="41" t="n">
        <v>0.021</v>
      </c>
      <c r="K67" s="41" t="n">
        <v>0.283</v>
      </c>
      <c r="L67" s="40" t="n">
        <v>116.4</v>
      </c>
      <c r="M67" s="42" t="n">
        <v>10</v>
      </c>
      <c r="N67" s="40" t="n">
        <v>11.7</v>
      </c>
      <c r="O67" s="41" t="n">
        <v>0.367</v>
      </c>
      <c r="P67" s="41" t="n">
        <v>0.031</v>
      </c>
      <c r="Q67" s="41" t="n">
        <v>0.186</v>
      </c>
      <c r="R67" s="40" t="n">
        <v>5.3</v>
      </c>
      <c r="S67" s="42" t="n">
        <v>924</v>
      </c>
      <c r="T67" s="40" t="n">
        <v>0</v>
      </c>
      <c r="U67" s="40" t="n">
        <v>8.8</v>
      </c>
      <c r="V67" s="42" t="n">
        <v>26</v>
      </c>
      <c r="W67" s="40" t="n">
        <v>25.4</v>
      </c>
      <c r="X67" s="41" t="n">
        <v>0.335</v>
      </c>
      <c r="Y67" s="41" t="n">
        <v>0.013</v>
      </c>
      <c r="Z67" s="41" t="n">
        <v>0.114</v>
      </c>
      <c r="AA67" s="40" t="n">
        <v>17.1</v>
      </c>
      <c r="AB67" s="42" t="n">
        <v>1478</v>
      </c>
      <c r="AC67" s="40" t="n">
        <v>7.7</v>
      </c>
      <c r="AD67" s="40" t="n">
        <v>21</v>
      </c>
      <c r="AE67" s="42" t="n">
        <v>1</v>
      </c>
      <c r="AF67" s="40" t="n">
        <v>0.2</v>
      </c>
      <c r="AG67" s="41" t="n">
        <v>0.034</v>
      </c>
      <c r="AH67" s="41" t="n">
        <v>0.176</v>
      </c>
      <c r="AI67" s="40" t="n">
        <v>0</v>
      </c>
      <c r="AJ67" s="42" t="n">
        <v>2</v>
      </c>
      <c r="AK67" s="40" t="n">
        <v>359.8</v>
      </c>
      <c r="AL67" s="41" t="n">
        <v>7.45</v>
      </c>
      <c r="AM67" s="41" t="n">
        <v>0.021</v>
      </c>
      <c r="AN67" s="40" t="n">
        <v>116.4</v>
      </c>
      <c r="AO67" s="43"/>
      <c r="AP67" s="43"/>
      <c r="AQ67" s="43"/>
      <c r="AR67" s="43"/>
      <c r="AS67" s="42"/>
      <c r="AT67" s="42" t="n">
        <f aca="false">Table1[[#This Row],[Object_A_._head_time]]+Table1[[#This Row],[Object_B_._head_time]]</f>
        <v>37.1</v>
      </c>
      <c r="AU67" s="42" t="n">
        <f aca="false">Table1[[#This Row],[Object_B_._head_time]]-Table1[[#This Row],[Object_A_._head_time]]</f>
        <v>13.7</v>
      </c>
      <c r="AV67" s="40" t="n">
        <f aca="false">Table1[[#This Row],[D1: Absolute discrimination measure (D1 = B2- A2)]]/Table1[[#This Row],[E2: total exploration time in second trial E2 ( E2 = A2 + B2)]]</f>
        <v>0.369272237196766</v>
      </c>
      <c r="AW67" s="43" t="n">
        <f aca="false">Table1[[#This Row],[Object_B_._head_time]]/Table1[[#This Row],[E2: total exploration time in second trial E2 ( E2 = A2 + B2)]]</f>
        <v>0.684636118598383</v>
      </c>
      <c r="AX67" s="44"/>
      <c r="AY67" s="38" t="s">
        <v>71</v>
      </c>
      <c r="AZ67" s="38" t="s">
        <v>65</v>
      </c>
      <c r="BA67" s="42" t="s">
        <v>66</v>
      </c>
      <c r="BB67" s="42" t="n">
        <v>76</v>
      </c>
      <c r="BC67" s="42" t="n">
        <v>2.53333333333333</v>
      </c>
      <c r="BD67" s="42" t="s">
        <v>67</v>
      </c>
      <c r="BE67" s="46" t="n">
        <v>3</v>
      </c>
      <c r="BF67" s="42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47"/>
    </row>
    <row r="68" s="48" customFormat="true" ht="12" hidden="false" customHeight="true" outlineLevel="0" collapsed="false">
      <c r="A68" s="38" t="n">
        <v>116</v>
      </c>
      <c r="B68" s="39" t="s">
        <v>123</v>
      </c>
      <c r="C68" s="38" t="s">
        <v>190</v>
      </c>
      <c r="D68" s="38" t="s">
        <v>60</v>
      </c>
      <c r="E68" s="38" t="s">
        <v>61</v>
      </c>
      <c r="F68" s="38" t="s">
        <v>217</v>
      </c>
      <c r="G68" s="38" t="s">
        <v>218</v>
      </c>
      <c r="H68" s="40" t="n">
        <v>360</v>
      </c>
      <c r="I68" s="41" t="n">
        <v>15.304</v>
      </c>
      <c r="J68" s="41" t="n">
        <v>0.043</v>
      </c>
      <c r="K68" s="41" t="n">
        <v>0.298</v>
      </c>
      <c r="L68" s="40" t="n">
        <v>16.5</v>
      </c>
      <c r="M68" s="42" t="n">
        <v>15</v>
      </c>
      <c r="N68" s="40" t="n">
        <v>8.1</v>
      </c>
      <c r="O68" s="41" t="n">
        <v>0.177</v>
      </c>
      <c r="P68" s="41" t="n">
        <v>0.022</v>
      </c>
      <c r="Q68" s="41" t="n">
        <v>0.173</v>
      </c>
      <c r="R68" s="40" t="n">
        <v>4.6</v>
      </c>
      <c r="S68" s="42" t="n">
        <v>698</v>
      </c>
      <c r="T68" s="40" t="n">
        <v>0</v>
      </c>
      <c r="U68" s="40" t="n">
        <v>8.1</v>
      </c>
      <c r="V68" s="42" t="n">
        <v>13</v>
      </c>
      <c r="W68" s="40" t="n">
        <v>7.9</v>
      </c>
      <c r="X68" s="41" t="n">
        <v>0.216</v>
      </c>
      <c r="Y68" s="41" t="n">
        <v>0.027</v>
      </c>
      <c r="Z68" s="41" t="n">
        <v>0.199</v>
      </c>
      <c r="AA68" s="40" t="n">
        <v>7.6</v>
      </c>
      <c r="AB68" s="42" t="n">
        <v>752</v>
      </c>
      <c r="AC68" s="40" t="n">
        <v>0</v>
      </c>
      <c r="AD68" s="40" t="n">
        <v>7.7</v>
      </c>
      <c r="AE68" s="42" t="n">
        <v>2</v>
      </c>
      <c r="AF68" s="40" t="n">
        <v>3.3</v>
      </c>
      <c r="AG68" s="41" t="n">
        <v>0.366</v>
      </c>
      <c r="AH68" s="41" t="n">
        <v>0.112</v>
      </c>
      <c r="AI68" s="40" t="n">
        <v>0</v>
      </c>
      <c r="AJ68" s="42" t="n">
        <v>3</v>
      </c>
      <c r="AK68" s="40" t="n">
        <v>356.7</v>
      </c>
      <c r="AL68" s="41" t="n">
        <v>14.937</v>
      </c>
      <c r="AM68" s="41" t="n">
        <v>0.042</v>
      </c>
      <c r="AN68" s="40" t="n">
        <v>16.5</v>
      </c>
      <c r="AO68" s="43"/>
      <c r="AP68" s="43"/>
      <c r="AQ68" s="43"/>
      <c r="AR68" s="43"/>
      <c r="AS68" s="42"/>
      <c r="AT68" s="42" t="n">
        <f aca="false">Table1[[#This Row],[Object_A_._head_time]]+Table1[[#This Row],[Object_B_._head_time]]</f>
        <v>16</v>
      </c>
      <c r="AU68" s="42" t="n">
        <f aca="false">Table1[[#This Row],[Object_B_._head_time]]-Table1[[#This Row],[Object_A_._head_time]]</f>
        <v>-0.199999999999999</v>
      </c>
      <c r="AV68" s="40" t="n">
        <f aca="false">Table1[[#This Row],[D1: Absolute discrimination measure (D1 = B2- A2)]]/Table1[[#This Row],[E2: total exploration time in second trial E2 ( E2 = A2 + B2)]]</f>
        <v>-0.0125</v>
      </c>
      <c r="AW68" s="43" t="n">
        <f aca="false">Table1[[#This Row],[Object_B_._head_time]]/Table1[[#This Row],[E2: total exploration time in second trial E2 ( E2 = A2 + B2)]]</f>
        <v>0.49375</v>
      </c>
      <c r="AX68" s="44"/>
      <c r="AY68" s="38" t="s">
        <v>71</v>
      </c>
      <c r="AZ68" s="38" t="s">
        <v>76</v>
      </c>
      <c r="BA68" s="42" t="s">
        <v>72</v>
      </c>
      <c r="BB68" s="42" t="n">
        <v>76</v>
      </c>
      <c r="BC68" s="42" t="n">
        <v>2.53333333333333</v>
      </c>
      <c r="BD68" s="42" t="s">
        <v>67</v>
      </c>
      <c r="BE68" s="46" t="n">
        <v>5</v>
      </c>
      <c r="BF68" s="42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47"/>
    </row>
    <row r="69" s="59" customFormat="true" ht="12" hidden="false" customHeight="true" outlineLevel="0" collapsed="false">
      <c r="A69" s="49" t="n">
        <v>114</v>
      </c>
      <c r="B69" s="50" t="s">
        <v>126</v>
      </c>
      <c r="C69" s="49" t="s">
        <v>190</v>
      </c>
      <c r="D69" s="49" t="s">
        <v>69</v>
      </c>
      <c r="E69" s="49" t="s">
        <v>61</v>
      </c>
      <c r="F69" s="49" t="s">
        <v>217</v>
      </c>
      <c r="G69" s="49" t="s">
        <v>219</v>
      </c>
      <c r="H69" s="51" t="n">
        <v>360</v>
      </c>
      <c r="I69" s="52" t="n">
        <v>7.197</v>
      </c>
      <c r="J69" s="52" t="n">
        <v>0.02</v>
      </c>
      <c r="K69" s="52" t="n">
        <v>0.265</v>
      </c>
      <c r="L69" s="51" t="n">
        <v>104.2</v>
      </c>
      <c r="M69" s="53" t="n">
        <v>16</v>
      </c>
      <c r="N69" s="51" t="n">
        <v>27.8</v>
      </c>
      <c r="O69" s="52" t="n">
        <v>0.082</v>
      </c>
      <c r="P69" s="52" t="n">
        <v>0.003</v>
      </c>
      <c r="Q69" s="52" t="n">
        <v>0.112</v>
      </c>
      <c r="R69" s="51" t="n">
        <v>23</v>
      </c>
      <c r="S69" s="53" t="n">
        <v>508</v>
      </c>
      <c r="T69" s="51" t="n">
        <v>15.6</v>
      </c>
      <c r="U69" s="51" t="n">
        <v>25.2</v>
      </c>
      <c r="V69" s="53" t="n">
        <v>10</v>
      </c>
      <c r="W69" s="51" t="n">
        <v>6.1</v>
      </c>
      <c r="X69" s="52" t="n">
        <v>0.076</v>
      </c>
      <c r="Y69" s="52" t="n">
        <v>0.012</v>
      </c>
      <c r="Z69" s="52" t="n">
        <v>0.132</v>
      </c>
      <c r="AA69" s="51" t="n">
        <v>4.3</v>
      </c>
      <c r="AB69" s="53" t="n">
        <v>253</v>
      </c>
      <c r="AC69" s="51" t="n">
        <v>2.4</v>
      </c>
      <c r="AD69" s="51" t="n">
        <v>6.1</v>
      </c>
      <c r="AE69" s="53" t="n">
        <v>1</v>
      </c>
      <c r="AF69" s="51" t="n">
        <v>2.4</v>
      </c>
      <c r="AG69" s="52" t="n">
        <v>0.245</v>
      </c>
      <c r="AH69" s="52" t="n">
        <v>0.102</v>
      </c>
      <c r="AI69" s="51" t="n">
        <v>0</v>
      </c>
      <c r="AJ69" s="53" t="n">
        <v>6</v>
      </c>
      <c r="AK69" s="51" t="n">
        <v>354.7</v>
      </c>
      <c r="AL69" s="52" t="n">
        <v>6.91</v>
      </c>
      <c r="AM69" s="52" t="n">
        <v>0.019</v>
      </c>
      <c r="AN69" s="51" t="n">
        <v>104.4</v>
      </c>
      <c r="AO69" s="54"/>
      <c r="AP69" s="54"/>
      <c r="AQ69" s="54"/>
      <c r="AR69" s="54"/>
      <c r="AS69" s="42"/>
      <c r="AT69" s="53" t="n">
        <f aca="false">Table1[[#This Row],[Object_A_._head_time]]+Table1[[#This Row],[Object_B_._head_time]]</f>
        <v>33.9</v>
      </c>
      <c r="AU69" s="53" t="n">
        <f aca="false">Table1[[#This Row],[Object_B_._head_time]]-Table1[[#This Row],[Object_A_._head_time]]</f>
        <v>-21.7</v>
      </c>
      <c r="AV69" s="51" t="n">
        <f aca="false">Table1[[#This Row],[D1: Absolute discrimination measure (D1 = B2- A2)]]/Table1[[#This Row],[E2: total exploration time in second trial E2 ( E2 = A2 + B2)]]</f>
        <v>-0.640117994100295</v>
      </c>
      <c r="AW69" s="43" t="n">
        <f aca="false">Table1[[#This Row],[Object_B_._head_time]]/Table1[[#This Row],[E2: total exploration time in second trial E2 ( E2 = A2 + B2)]]</f>
        <v>0.179941002949852</v>
      </c>
      <c r="AX69" s="53"/>
      <c r="AY69" s="49" t="s">
        <v>71</v>
      </c>
      <c r="AZ69" s="49" t="s">
        <v>65</v>
      </c>
      <c r="BA69" s="49" t="s">
        <v>72</v>
      </c>
      <c r="BB69" s="49" t="n">
        <v>81</v>
      </c>
      <c r="BC69" s="51" t="n">
        <v>2.7</v>
      </c>
      <c r="BD69" s="53"/>
      <c r="BE69" s="57"/>
      <c r="BF69" s="53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58"/>
    </row>
    <row r="70" s="48" customFormat="true" ht="12" hidden="false" customHeight="true" outlineLevel="0" collapsed="false">
      <c r="A70" s="38" t="n">
        <v>113</v>
      </c>
      <c r="B70" s="39" t="s">
        <v>128</v>
      </c>
      <c r="C70" s="38" t="s">
        <v>190</v>
      </c>
      <c r="D70" s="38" t="s">
        <v>74</v>
      </c>
      <c r="E70" s="38" t="s">
        <v>61</v>
      </c>
      <c r="F70" s="38" t="s">
        <v>217</v>
      </c>
      <c r="G70" s="38" t="s">
        <v>220</v>
      </c>
      <c r="H70" s="40" t="n">
        <v>360</v>
      </c>
      <c r="I70" s="41" t="n">
        <v>5.699</v>
      </c>
      <c r="J70" s="41" t="n">
        <v>0.016</v>
      </c>
      <c r="K70" s="41" t="n">
        <v>0.242</v>
      </c>
      <c r="L70" s="40" t="n">
        <v>107.7</v>
      </c>
      <c r="M70" s="42" t="n">
        <v>14</v>
      </c>
      <c r="N70" s="40" t="n">
        <v>52.9</v>
      </c>
      <c r="O70" s="41" t="n">
        <v>0.68</v>
      </c>
      <c r="P70" s="41" t="n">
        <v>0.013</v>
      </c>
      <c r="Q70" s="41" t="n">
        <v>0.194</v>
      </c>
      <c r="R70" s="40" t="n">
        <v>37.1</v>
      </c>
      <c r="S70" s="42" t="n">
        <v>2314</v>
      </c>
      <c r="T70" s="40" t="n">
        <v>20.3</v>
      </c>
      <c r="U70" s="40" t="n">
        <v>42.8</v>
      </c>
      <c r="V70" s="42" t="n">
        <v>67</v>
      </c>
      <c r="W70" s="40" t="n">
        <v>25.6</v>
      </c>
      <c r="X70" s="41" t="n">
        <v>0.568</v>
      </c>
      <c r="Y70" s="41" t="n">
        <v>0.022</v>
      </c>
      <c r="Z70" s="41" t="n">
        <v>0.214</v>
      </c>
      <c r="AA70" s="40" t="n">
        <v>20.9</v>
      </c>
      <c r="AB70" s="42" t="n">
        <v>1956</v>
      </c>
      <c r="AC70" s="40" t="n">
        <v>8.5</v>
      </c>
      <c r="AD70" s="40" t="n">
        <v>20.4</v>
      </c>
      <c r="AE70" s="42" t="n">
        <v>5</v>
      </c>
      <c r="AF70" s="40" t="n">
        <v>7.5</v>
      </c>
      <c r="AG70" s="41" t="n">
        <v>0.871</v>
      </c>
      <c r="AH70" s="41" t="n">
        <v>0.116</v>
      </c>
      <c r="AI70" s="40" t="n">
        <v>0</v>
      </c>
      <c r="AJ70" s="42" t="n">
        <v>6</v>
      </c>
      <c r="AK70" s="40" t="n">
        <v>352.5</v>
      </c>
      <c r="AL70" s="41" t="n">
        <v>4.828</v>
      </c>
      <c r="AM70" s="41" t="n">
        <v>0.014</v>
      </c>
      <c r="AN70" s="40" t="n">
        <v>107.7</v>
      </c>
      <c r="AO70" s="43"/>
      <c r="AP70" s="43"/>
      <c r="AQ70" s="43"/>
      <c r="AR70" s="43"/>
      <c r="AS70" s="42"/>
      <c r="AT70" s="42" t="n">
        <f aca="false">Table1[[#This Row],[Object_A_._head_time]]+Table1[[#This Row],[Object_B_._head_time]]</f>
        <v>78.5</v>
      </c>
      <c r="AU70" s="42" t="n">
        <f aca="false">Table1[[#This Row],[Object_B_._head_time]]-Table1[[#This Row],[Object_A_._head_time]]</f>
        <v>-27.3</v>
      </c>
      <c r="AV70" s="40" t="n">
        <f aca="false">Table1[[#This Row],[D1: Absolute discrimination measure (D1 = B2- A2)]]/Table1[[#This Row],[E2: total exploration time in second trial E2 ( E2 = A2 + B2)]]</f>
        <v>-0.347770700636943</v>
      </c>
      <c r="AW70" s="43" t="n">
        <f aca="false">Table1[[#This Row],[Object_B_._head_time]]/Table1[[#This Row],[E2: total exploration time in second trial E2 ( E2 = A2 + B2)]]</f>
        <v>0.326114649681529</v>
      </c>
      <c r="AX70" s="44"/>
      <c r="AY70" s="38" t="s">
        <v>64</v>
      </c>
      <c r="AZ70" s="38" t="s">
        <v>76</v>
      </c>
      <c r="BA70" s="42" t="s">
        <v>72</v>
      </c>
      <c r="BB70" s="42" t="n">
        <v>68</v>
      </c>
      <c r="BC70" s="42" t="n">
        <v>2.26666666666667</v>
      </c>
      <c r="BD70" s="42" t="s">
        <v>81</v>
      </c>
      <c r="BE70" s="46" t="n">
        <v>6</v>
      </c>
      <c r="BF70" s="42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47"/>
    </row>
    <row r="71" s="48" customFormat="true" ht="12" hidden="false" customHeight="true" outlineLevel="0" collapsed="false">
      <c r="A71" s="38" t="n">
        <v>115</v>
      </c>
      <c r="B71" s="39" t="s">
        <v>130</v>
      </c>
      <c r="C71" s="38" t="s">
        <v>190</v>
      </c>
      <c r="D71" s="38" t="s">
        <v>79</v>
      </c>
      <c r="E71" s="38" t="s">
        <v>61</v>
      </c>
      <c r="F71" s="38" t="s">
        <v>217</v>
      </c>
      <c r="G71" s="38" t="s">
        <v>221</v>
      </c>
      <c r="H71" s="40" t="n">
        <v>360</v>
      </c>
      <c r="I71" s="41" t="n">
        <v>9.371</v>
      </c>
      <c r="J71" s="41" t="n">
        <v>0.026</v>
      </c>
      <c r="K71" s="41" t="n">
        <v>0.291</v>
      </c>
      <c r="L71" s="40" t="n">
        <v>45.6</v>
      </c>
      <c r="M71" s="42" t="n">
        <v>15</v>
      </c>
      <c r="N71" s="40" t="n">
        <v>14.1</v>
      </c>
      <c r="O71" s="41" t="n">
        <v>0.559</v>
      </c>
      <c r="P71" s="41" t="n">
        <v>0.04</v>
      </c>
      <c r="Q71" s="41" t="n">
        <v>0.189</v>
      </c>
      <c r="R71" s="40" t="n">
        <v>5.3</v>
      </c>
      <c r="S71" s="42" t="n">
        <v>984</v>
      </c>
      <c r="T71" s="40" t="n">
        <v>0.4</v>
      </c>
      <c r="U71" s="40" t="n">
        <v>5.2</v>
      </c>
      <c r="V71" s="42" t="n">
        <v>18</v>
      </c>
      <c r="W71" s="40" t="n">
        <v>47.5</v>
      </c>
      <c r="X71" s="41" t="n">
        <v>1.387</v>
      </c>
      <c r="Y71" s="41" t="n">
        <v>0.029</v>
      </c>
      <c r="Z71" s="41" t="n">
        <v>0.221</v>
      </c>
      <c r="AA71" s="40" t="n">
        <v>11.8</v>
      </c>
      <c r="AB71" s="42" t="n">
        <v>2252</v>
      </c>
      <c r="AC71" s="40" t="n">
        <v>6.7</v>
      </c>
      <c r="AD71" s="40" t="n">
        <v>26.2</v>
      </c>
      <c r="AE71" s="42" t="n">
        <v>10</v>
      </c>
      <c r="AF71" s="40" t="n">
        <v>12.8</v>
      </c>
      <c r="AG71" s="41" t="n">
        <v>1.106</v>
      </c>
      <c r="AH71" s="41" t="n">
        <v>0.086</v>
      </c>
      <c r="AI71" s="40" t="n">
        <v>0</v>
      </c>
      <c r="AJ71" s="42" t="n">
        <v>11</v>
      </c>
      <c r="AK71" s="40" t="n">
        <v>347.2</v>
      </c>
      <c r="AL71" s="41" t="n">
        <v>8.265</v>
      </c>
      <c r="AM71" s="41" t="n">
        <v>0.024</v>
      </c>
      <c r="AN71" s="40" t="n">
        <v>45.6</v>
      </c>
      <c r="AO71" s="43"/>
      <c r="AP71" s="43"/>
      <c r="AQ71" s="43"/>
      <c r="AR71" s="43"/>
      <c r="AS71" s="42"/>
      <c r="AT71" s="42" t="n">
        <f aca="false">Table1[[#This Row],[Object_A_._head_time]]+Table1[[#This Row],[Object_B_._head_time]]</f>
        <v>61.6</v>
      </c>
      <c r="AU71" s="42" t="n">
        <f aca="false">Table1[[#This Row],[Object_B_._head_time]]-Table1[[#This Row],[Object_A_._head_time]]</f>
        <v>33.4</v>
      </c>
      <c r="AV71" s="40" t="n">
        <f aca="false">Table1[[#This Row],[D1: Absolute discrimination measure (D1 = B2- A2)]]/Table1[[#This Row],[E2: total exploration time in second trial E2 ( E2 = A2 + B2)]]</f>
        <v>0.542207792207792</v>
      </c>
      <c r="AW71" s="43" t="n">
        <f aca="false">Table1[[#This Row],[Object_B_._head_time]]/Table1[[#This Row],[E2: total exploration time in second trial E2 ( E2 = A2 + B2)]]</f>
        <v>0.771103896103896</v>
      </c>
      <c r="AX71" s="44"/>
      <c r="AY71" s="38" t="s">
        <v>64</v>
      </c>
      <c r="AZ71" s="38" t="s">
        <v>76</v>
      </c>
      <c r="BA71" s="42" t="s">
        <v>72</v>
      </c>
      <c r="BB71" s="42" t="n">
        <v>68</v>
      </c>
      <c r="BC71" s="42" t="n">
        <v>2.26666666666667</v>
      </c>
      <c r="BD71" s="42" t="s">
        <v>67</v>
      </c>
      <c r="BE71" s="46" t="n">
        <v>5</v>
      </c>
      <c r="BF71" s="42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47"/>
    </row>
    <row r="72" s="59" customFormat="true" ht="12" hidden="false" customHeight="true" outlineLevel="0" collapsed="false">
      <c r="A72" s="49" t="n">
        <v>119</v>
      </c>
      <c r="B72" s="50" t="s">
        <v>132</v>
      </c>
      <c r="C72" s="49" t="s">
        <v>190</v>
      </c>
      <c r="D72" s="49" t="s">
        <v>60</v>
      </c>
      <c r="E72" s="49" t="s">
        <v>61</v>
      </c>
      <c r="F72" s="49" t="s">
        <v>222</v>
      </c>
      <c r="G72" s="49" t="s">
        <v>223</v>
      </c>
      <c r="H72" s="51" t="n">
        <v>360</v>
      </c>
      <c r="I72" s="52" t="n">
        <v>5.628</v>
      </c>
      <c r="J72" s="52" t="n">
        <v>0.016</v>
      </c>
      <c r="K72" s="52" t="n">
        <v>0.228</v>
      </c>
      <c r="L72" s="51" t="n">
        <v>83</v>
      </c>
      <c r="M72" s="53" t="n">
        <v>6</v>
      </c>
      <c r="N72" s="51" t="n">
        <v>11.7</v>
      </c>
      <c r="O72" s="52" t="n">
        <v>0.394</v>
      </c>
      <c r="P72" s="52" t="n">
        <v>0.034</v>
      </c>
      <c r="Q72" s="52" t="n">
        <v>0.148</v>
      </c>
      <c r="R72" s="51" t="n">
        <v>2.9</v>
      </c>
      <c r="S72" s="53" t="n">
        <v>756</v>
      </c>
      <c r="T72" s="51" t="n">
        <v>0</v>
      </c>
      <c r="U72" s="51" t="n">
        <v>5.6</v>
      </c>
      <c r="V72" s="53" t="n">
        <v>6</v>
      </c>
      <c r="W72" s="51" t="n">
        <v>15.3</v>
      </c>
      <c r="X72" s="52" t="n">
        <v>0.298</v>
      </c>
      <c r="Y72" s="52" t="n">
        <v>0.02</v>
      </c>
      <c r="Z72" s="52" t="n">
        <v>0.197</v>
      </c>
      <c r="AA72" s="51" t="n">
        <v>6.2</v>
      </c>
      <c r="AB72" s="53" t="n">
        <v>1386</v>
      </c>
      <c r="AC72" s="51" t="n">
        <v>0</v>
      </c>
      <c r="AD72" s="51" t="n">
        <v>2.4</v>
      </c>
      <c r="AE72" s="53" t="n">
        <v>3</v>
      </c>
      <c r="AF72" s="51" t="n">
        <v>6</v>
      </c>
      <c r="AG72" s="52" t="n">
        <v>0.545</v>
      </c>
      <c r="AH72" s="52" t="n">
        <v>0.09</v>
      </c>
      <c r="AI72" s="51" t="n">
        <v>0</v>
      </c>
      <c r="AJ72" s="53" t="n">
        <v>4</v>
      </c>
      <c r="AK72" s="51" t="n">
        <v>354</v>
      </c>
      <c r="AL72" s="52" t="n">
        <v>5.083</v>
      </c>
      <c r="AM72" s="52" t="n">
        <v>0.014</v>
      </c>
      <c r="AN72" s="51" t="n">
        <v>83</v>
      </c>
      <c r="AO72" s="54"/>
      <c r="AP72" s="54"/>
      <c r="AQ72" s="54"/>
      <c r="AR72" s="54"/>
      <c r="AS72" s="42"/>
      <c r="AT72" s="53" t="n">
        <f aca="false">Table1[[#This Row],[Object_A_._head_time]]+Table1[[#This Row],[Object_B_._head_time]]</f>
        <v>27</v>
      </c>
      <c r="AU72" s="53" t="n">
        <f aca="false">Table1[[#This Row],[Object_B_._head_time]]-Table1[[#This Row],[Object_A_._head_time]]</f>
        <v>3.6</v>
      </c>
      <c r="AV72" s="51" t="n">
        <f aca="false">Table1[[#This Row],[D1: Absolute discrimination measure (D1 = B2- A2)]]/Table1[[#This Row],[E2: total exploration time in second trial E2 ( E2 = A2 + B2)]]</f>
        <v>0.133333333333333</v>
      </c>
      <c r="AW72" s="43" t="n">
        <f aca="false">Table1[[#This Row],[Object_B_._head_time]]/Table1[[#This Row],[E2: total exploration time in second trial E2 ( E2 = A2 + B2)]]</f>
        <v>0.566666666666667</v>
      </c>
      <c r="AX72" s="53"/>
      <c r="AY72" s="49" t="s">
        <v>64</v>
      </c>
      <c r="AZ72" s="49" t="s">
        <v>76</v>
      </c>
      <c r="BA72" s="49" t="s">
        <v>66</v>
      </c>
      <c r="BB72" s="49" t="n">
        <v>73</v>
      </c>
      <c r="BC72" s="51" t="n">
        <v>2.43333333333333</v>
      </c>
      <c r="BD72" s="53"/>
      <c r="BE72" s="57"/>
      <c r="BF72" s="53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58"/>
    </row>
    <row r="73" s="48" customFormat="true" ht="12" hidden="false" customHeight="true" outlineLevel="0" collapsed="false">
      <c r="A73" s="38" t="n">
        <v>118</v>
      </c>
      <c r="B73" s="39" t="s">
        <v>135</v>
      </c>
      <c r="C73" s="38" t="s">
        <v>190</v>
      </c>
      <c r="D73" s="38" t="s">
        <v>69</v>
      </c>
      <c r="E73" s="38" t="s">
        <v>61</v>
      </c>
      <c r="F73" s="38" t="s">
        <v>222</v>
      </c>
      <c r="G73" s="38" t="s">
        <v>224</v>
      </c>
      <c r="H73" s="40" t="n">
        <v>360</v>
      </c>
      <c r="I73" s="41" t="n">
        <v>10.589</v>
      </c>
      <c r="J73" s="41" t="n">
        <v>0.029</v>
      </c>
      <c r="K73" s="41" t="n">
        <v>0.242</v>
      </c>
      <c r="L73" s="40" t="n">
        <v>42.4</v>
      </c>
      <c r="M73" s="42" t="n">
        <v>22</v>
      </c>
      <c r="N73" s="40" t="n">
        <v>25.1</v>
      </c>
      <c r="O73" s="41" t="n">
        <v>1.167</v>
      </c>
      <c r="P73" s="41" t="n">
        <v>0.047</v>
      </c>
      <c r="Q73" s="41" t="n">
        <v>0.202</v>
      </c>
      <c r="R73" s="40" t="n">
        <v>6</v>
      </c>
      <c r="S73" s="42" t="n">
        <v>2132</v>
      </c>
      <c r="T73" s="40" t="n">
        <v>2.2</v>
      </c>
      <c r="U73" s="40" t="n">
        <v>8.8</v>
      </c>
      <c r="V73" s="42" t="n">
        <v>18</v>
      </c>
      <c r="W73" s="40" t="n">
        <v>42.6</v>
      </c>
      <c r="X73" s="41" t="n">
        <v>1.324</v>
      </c>
      <c r="Y73" s="41" t="n">
        <v>0.031</v>
      </c>
      <c r="Z73" s="41" t="n">
        <v>0.203</v>
      </c>
      <c r="AA73" s="40" t="n">
        <v>4.1</v>
      </c>
      <c r="AB73" s="42" t="n">
        <v>2419</v>
      </c>
      <c r="AC73" s="40" t="n">
        <v>2.4</v>
      </c>
      <c r="AD73" s="40" t="n">
        <v>3.9</v>
      </c>
      <c r="AE73" s="42" t="n">
        <v>13</v>
      </c>
      <c r="AF73" s="40" t="n">
        <v>19.8</v>
      </c>
      <c r="AG73" s="41" t="n">
        <v>1.188</v>
      </c>
      <c r="AH73" s="41" t="n">
        <v>0.06</v>
      </c>
      <c r="AI73" s="40" t="n">
        <v>0</v>
      </c>
      <c r="AJ73" s="42" t="n">
        <v>14</v>
      </c>
      <c r="AK73" s="40" t="n">
        <v>340.2</v>
      </c>
      <c r="AL73" s="41" t="n">
        <v>9.401</v>
      </c>
      <c r="AM73" s="41" t="n">
        <v>0.028</v>
      </c>
      <c r="AN73" s="40" t="n">
        <v>42.4</v>
      </c>
      <c r="AO73" s="43"/>
      <c r="AP73" s="43"/>
      <c r="AQ73" s="43"/>
      <c r="AR73" s="43"/>
      <c r="AS73" s="42"/>
      <c r="AT73" s="42" t="n">
        <f aca="false">Table1[[#This Row],[Object_A_._head_time]]+Table1[[#This Row],[Object_B_._head_time]]</f>
        <v>67.7</v>
      </c>
      <c r="AU73" s="42" t="n">
        <f aca="false">Table1[[#This Row],[Object_B_._head_time]]-Table1[[#This Row],[Object_A_._head_time]]</f>
        <v>17.5</v>
      </c>
      <c r="AV73" s="40" t="n">
        <f aca="false">Table1[[#This Row],[D1: Absolute discrimination measure (D1 = B2- A2)]]/Table1[[#This Row],[E2: total exploration time in second trial E2 ( E2 = A2 + B2)]]</f>
        <v>0.258493353028065</v>
      </c>
      <c r="AW73" s="43" t="n">
        <f aca="false">Table1[[#This Row],[Object_B_._head_time]]/Table1[[#This Row],[E2: total exploration time in second trial E2 ( E2 = A2 + B2)]]</f>
        <v>0.629246676514033</v>
      </c>
      <c r="AX73" s="44"/>
      <c r="AY73" s="38" t="s">
        <v>64</v>
      </c>
      <c r="AZ73" s="38" t="s">
        <v>76</v>
      </c>
      <c r="BA73" s="42" t="s">
        <v>72</v>
      </c>
      <c r="BB73" s="42" t="n">
        <v>68</v>
      </c>
      <c r="BC73" s="42" t="n">
        <v>2.26666666666667</v>
      </c>
      <c r="BD73" s="42" t="s">
        <v>81</v>
      </c>
      <c r="BE73" s="46" t="n">
        <v>6</v>
      </c>
      <c r="BF73" s="42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47"/>
    </row>
    <row r="74" s="48" customFormat="true" ht="12" hidden="false" customHeight="true" outlineLevel="0" collapsed="false">
      <c r="A74" s="38" t="n">
        <v>117</v>
      </c>
      <c r="B74" s="39" t="s">
        <v>137</v>
      </c>
      <c r="C74" s="38" t="s">
        <v>190</v>
      </c>
      <c r="D74" s="38" t="s">
        <v>74</v>
      </c>
      <c r="E74" s="38" t="s">
        <v>61</v>
      </c>
      <c r="F74" s="38" t="s">
        <v>222</v>
      </c>
      <c r="G74" s="38" t="s">
        <v>225</v>
      </c>
      <c r="H74" s="40" t="n">
        <v>360</v>
      </c>
      <c r="I74" s="41" t="n">
        <v>7.273</v>
      </c>
      <c r="J74" s="41" t="n">
        <v>0.02</v>
      </c>
      <c r="K74" s="41" t="n">
        <v>0.28</v>
      </c>
      <c r="L74" s="40" t="n">
        <v>78.8</v>
      </c>
      <c r="M74" s="42" t="n">
        <v>11</v>
      </c>
      <c r="N74" s="40" t="n">
        <v>8.8</v>
      </c>
      <c r="O74" s="41" t="n">
        <v>0.657</v>
      </c>
      <c r="P74" s="41" t="n">
        <v>0.075</v>
      </c>
      <c r="Q74" s="41" t="n">
        <v>0.21</v>
      </c>
      <c r="R74" s="40" t="n">
        <v>0.6</v>
      </c>
      <c r="S74" s="42" t="n">
        <v>851</v>
      </c>
      <c r="T74" s="40" t="n">
        <v>0</v>
      </c>
      <c r="U74" s="40" t="n">
        <v>1.1</v>
      </c>
      <c r="V74" s="42" t="n">
        <v>11</v>
      </c>
      <c r="W74" s="40" t="n">
        <v>13.2</v>
      </c>
      <c r="X74" s="41" t="n">
        <v>0.656</v>
      </c>
      <c r="Y74" s="41" t="n">
        <v>0.05</v>
      </c>
      <c r="Z74" s="41" t="n">
        <v>0.264</v>
      </c>
      <c r="AA74" s="40" t="n">
        <v>3.6</v>
      </c>
      <c r="AB74" s="42" t="n">
        <v>871</v>
      </c>
      <c r="AC74" s="40" t="n">
        <v>0</v>
      </c>
      <c r="AD74" s="40" t="n">
        <v>3.2</v>
      </c>
      <c r="AE74" s="42" t="n">
        <v>8</v>
      </c>
      <c r="AF74" s="40" t="n">
        <v>12.5</v>
      </c>
      <c r="AG74" s="41" t="n">
        <v>1.374</v>
      </c>
      <c r="AH74" s="41" t="n">
        <v>0.11</v>
      </c>
      <c r="AI74" s="40" t="n">
        <v>0</v>
      </c>
      <c r="AJ74" s="42" t="n">
        <v>9</v>
      </c>
      <c r="AK74" s="40" t="n">
        <v>347.5</v>
      </c>
      <c r="AL74" s="41" t="n">
        <v>5.899</v>
      </c>
      <c r="AM74" s="41" t="n">
        <v>0.017</v>
      </c>
      <c r="AN74" s="40" t="n">
        <v>78.8</v>
      </c>
      <c r="AO74" s="43"/>
      <c r="AP74" s="43"/>
      <c r="AQ74" s="43"/>
      <c r="AR74" s="43"/>
      <c r="AS74" s="42"/>
      <c r="AT74" s="42" t="n">
        <f aca="false">Table1[[#This Row],[Object_A_._head_time]]+Table1[[#This Row],[Object_B_._head_time]]</f>
        <v>22</v>
      </c>
      <c r="AU74" s="42" t="n">
        <f aca="false">Table1[[#This Row],[Object_B_._head_time]]-Table1[[#This Row],[Object_A_._head_time]]</f>
        <v>4.4</v>
      </c>
      <c r="AV74" s="40" t="n">
        <f aca="false">Table1[[#This Row],[D1: Absolute discrimination measure (D1 = B2- A2)]]/Table1[[#This Row],[E2: total exploration time in second trial E2 ( E2 = A2 + B2)]]</f>
        <v>0.2</v>
      </c>
      <c r="AW74" s="43" t="n">
        <f aca="false">Table1[[#This Row],[Object_B_._head_time]]/Table1[[#This Row],[E2: total exploration time in second trial E2 ( E2 = A2 + B2)]]</f>
        <v>0.6</v>
      </c>
      <c r="AX74" s="44"/>
      <c r="AY74" s="38" t="s">
        <v>64</v>
      </c>
      <c r="AZ74" s="38" t="s">
        <v>76</v>
      </c>
      <c r="BA74" s="42" t="s">
        <v>66</v>
      </c>
      <c r="BB74" s="42" t="n">
        <v>68</v>
      </c>
      <c r="BC74" s="42" t="n">
        <v>2.26666666666667</v>
      </c>
      <c r="BD74" s="42" t="s">
        <v>81</v>
      </c>
      <c r="BE74" s="46" t="n">
        <v>8</v>
      </c>
      <c r="BF74" s="42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47"/>
    </row>
    <row r="75" s="48" customFormat="true" ht="12" hidden="false" customHeight="true" outlineLevel="0" collapsed="false">
      <c r="A75" s="38" t="n">
        <v>120</v>
      </c>
      <c r="B75" s="39" t="s">
        <v>139</v>
      </c>
      <c r="C75" s="38" t="s">
        <v>190</v>
      </c>
      <c r="D75" s="38" t="s">
        <v>79</v>
      </c>
      <c r="E75" s="38" t="s">
        <v>61</v>
      </c>
      <c r="F75" s="38" t="s">
        <v>222</v>
      </c>
      <c r="G75" s="38" t="s">
        <v>226</v>
      </c>
      <c r="H75" s="40" t="n">
        <v>360</v>
      </c>
      <c r="I75" s="41" t="n">
        <v>7.046</v>
      </c>
      <c r="J75" s="41" t="n">
        <v>0.02</v>
      </c>
      <c r="K75" s="41" t="n">
        <v>0.224</v>
      </c>
      <c r="L75" s="40" t="n">
        <v>85.6</v>
      </c>
      <c r="M75" s="42" t="n">
        <v>14</v>
      </c>
      <c r="N75" s="40" t="n">
        <v>55.2</v>
      </c>
      <c r="O75" s="41" t="n">
        <v>0.204</v>
      </c>
      <c r="P75" s="41" t="n">
        <v>0.004</v>
      </c>
      <c r="Q75" s="41" t="n">
        <v>0.166</v>
      </c>
      <c r="R75" s="40" t="n">
        <v>6.2</v>
      </c>
      <c r="S75" s="42" t="n">
        <v>758</v>
      </c>
      <c r="T75" s="40" t="n">
        <v>0</v>
      </c>
      <c r="U75" s="40" t="n">
        <v>8.7</v>
      </c>
      <c r="V75" s="42" t="n">
        <v>15</v>
      </c>
      <c r="W75" s="40" t="n">
        <v>12.4</v>
      </c>
      <c r="X75" s="41" t="n">
        <v>0.234</v>
      </c>
      <c r="Y75" s="41" t="n">
        <v>0.019</v>
      </c>
      <c r="Z75" s="41" t="n">
        <v>0.149</v>
      </c>
      <c r="AA75" s="40" t="n">
        <v>7.1</v>
      </c>
      <c r="AB75" s="42" t="n">
        <v>884</v>
      </c>
      <c r="AC75" s="40" t="n">
        <v>0</v>
      </c>
      <c r="AD75" s="40" t="n">
        <v>11.9</v>
      </c>
      <c r="AE75" s="42" t="n">
        <v>3</v>
      </c>
      <c r="AF75" s="40" t="n">
        <v>2.7</v>
      </c>
      <c r="AG75" s="41" t="n">
        <v>0.121</v>
      </c>
      <c r="AH75" s="41" t="n">
        <v>0.045</v>
      </c>
      <c r="AI75" s="40" t="n">
        <v>0</v>
      </c>
      <c r="AJ75" s="42" t="n">
        <v>4</v>
      </c>
      <c r="AK75" s="40" t="n">
        <v>357.3</v>
      </c>
      <c r="AL75" s="41" t="n">
        <v>6.925</v>
      </c>
      <c r="AM75" s="41" t="n">
        <v>0.019</v>
      </c>
      <c r="AN75" s="40" t="n">
        <v>85.6</v>
      </c>
      <c r="AO75" s="43"/>
      <c r="AP75" s="43"/>
      <c r="AQ75" s="43"/>
      <c r="AR75" s="43"/>
      <c r="AS75" s="42"/>
      <c r="AT75" s="42" t="n">
        <f aca="false">Table1[[#This Row],[Object_A_._head_time]]+Table1[[#This Row],[Object_B_._head_time]]</f>
        <v>67.6</v>
      </c>
      <c r="AU75" s="42" t="n">
        <f aca="false">Table1[[#This Row],[Object_B_._head_time]]-Table1[[#This Row],[Object_A_._head_time]]</f>
        <v>-42.8</v>
      </c>
      <c r="AV75" s="40" t="n">
        <f aca="false">Table1[[#This Row],[D1: Absolute discrimination measure (D1 = B2- A2)]]/Table1[[#This Row],[E2: total exploration time in second trial E2 ( E2 = A2 + B2)]]</f>
        <v>-0.633136094674556</v>
      </c>
      <c r="AW75" s="43" t="n">
        <f aca="false">Table1[[#This Row],[Object_B_._head_time]]/Table1[[#This Row],[E2: total exploration time in second trial E2 ( E2 = A2 + B2)]]</f>
        <v>0.183431952662722</v>
      </c>
      <c r="AX75" s="44"/>
      <c r="AY75" s="38" t="s">
        <v>64</v>
      </c>
      <c r="AZ75" s="38" t="s">
        <v>76</v>
      </c>
      <c r="BA75" s="42" t="s">
        <v>72</v>
      </c>
      <c r="BB75" s="42" t="n">
        <v>68</v>
      </c>
      <c r="BC75" s="42" t="n">
        <v>2.26666666666667</v>
      </c>
      <c r="BD75" s="42" t="s">
        <v>67</v>
      </c>
      <c r="BE75" s="46" t="n">
        <v>5</v>
      </c>
      <c r="BF75" s="42" t="s">
        <v>141</v>
      </c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47"/>
    </row>
    <row r="76" s="48" customFormat="true" ht="12" hidden="false" customHeight="true" outlineLevel="0" collapsed="false">
      <c r="A76" s="38" t="n">
        <v>124</v>
      </c>
      <c r="B76" s="39" t="s">
        <v>142</v>
      </c>
      <c r="C76" s="38" t="s">
        <v>190</v>
      </c>
      <c r="D76" s="38" t="s">
        <v>60</v>
      </c>
      <c r="E76" s="38" t="s">
        <v>61</v>
      </c>
      <c r="F76" s="38" t="s">
        <v>227</v>
      </c>
      <c r="G76" s="38" t="s">
        <v>228</v>
      </c>
      <c r="H76" s="40" t="n">
        <v>360</v>
      </c>
      <c r="I76" s="41" t="n">
        <v>7.549</v>
      </c>
      <c r="J76" s="41" t="n">
        <v>0.021</v>
      </c>
      <c r="K76" s="41" t="n">
        <v>0.297</v>
      </c>
      <c r="L76" s="40" t="n">
        <v>68.3</v>
      </c>
      <c r="M76" s="42" t="n">
        <v>38</v>
      </c>
      <c r="N76" s="40" t="n">
        <v>99.4</v>
      </c>
      <c r="O76" s="41" t="n">
        <v>0.862</v>
      </c>
      <c r="P76" s="41" t="n">
        <v>0.009</v>
      </c>
      <c r="Q76" s="41" t="n">
        <v>0.297</v>
      </c>
      <c r="R76" s="40" t="n">
        <v>30.5</v>
      </c>
      <c r="S76" s="42" t="n">
        <v>5184</v>
      </c>
      <c r="T76" s="40" t="n">
        <v>21.4</v>
      </c>
      <c r="U76" s="40" t="n">
        <v>65.4</v>
      </c>
      <c r="V76" s="42" t="n">
        <v>5</v>
      </c>
      <c r="W76" s="40" t="n">
        <v>21.5</v>
      </c>
      <c r="X76" s="41" t="n">
        <v>0.884</v>
      </c>
      <c r="Y76" s="41" t="n">
        <v>0.041</v>
      </c>
      <c r="Z76" s="41" t="n">
        <v>0.177</v>
      </c>
      <c r="AA76" s="40" t="n">
        <v>3.8</v>
      </c>
      <c r="AB76" s="42" t="n">
        <v>2043</v>
      </c>
      <c r="AC76" s="40" t="n">
        <v>0</v>
      </c>
      <c r="AD76" s="40" t="n">
        <v>2.6</v>
      </c>
      <c r="AE76" s="42" t="n">
        <v>6</v>
      </c>
      <c r="AF76" s="40" t="n">
        <v>9.3</v>
      </c>
      <c r="AG76" s="41" t="n">
        <v>0.756</v>
      </c>
      <c r="AH76" s="41" t="n">
        <v>0.081</v>
      </c>
      <c r="AI76" s="40" t="n">
        <v>0</v>
      </c>
      <c r="AJ76" s="42" t="n">
        <v>7</v>
      </c>
      <c r="AK76" s="40" t="n">
        <v>350.7</v>
      </c>
      <c r="AL76" s="41" t="n">
        <v>6.793</v>
      </c>
      <c r="AM76" s="41" t="n">
        <v>0.019</v>
      </c>
      <c r="AN76" s="40" t="n">
        <v>68.3</v>
      </c>
      <c r="AO76" s="43"/>
      <c r="AP76" s="43"/>
      <c r="AQ76" s="43"/>
      <c r="AR76" s="43"/>
      <c r="AS76" s="42"/>
      <c r="AT76" s="42" t="n">
        <f aca="false">Table1[[#This Row],[Object_A_._head_time]]+Table1[[#This Row],[Object_B_._head_time]]</f>
        <v>120.9</v>
      </c>
      <c r="AU76" s="42" t="n">
        <f aca="false">Table1[[#This Row],[Object_B_._head_time]]-Table1[[#This Row],[Object_A_._head_time]]</f>
        <v>-77.9</v>
      </c>
      <c r="AV76" s="40" t="n">
        <f aca="false">Table1[[#This Row],[D1: Absolute discrimination measure (D1 = B2- A2)]]/Table1[[#This Row],[E2: total exploration time in second trial E2 ( E2 = A2 + B2)]]</f>
        <v>-0.644334160463193</v>
      </c>
      <c r="AW76" s="43" t="n">
        <f aca="false">Table1[[#This Row],[Object_B_._head_time]]/Table1[[#This Row],[E2: total exploration time in second trial E2 ( E2 = A2 + B2)]]</f>
        <v>0.177832919768404</v>
      </c>
      <c r="AX76" s="44"/>
      <c r="AY76" s="38" t="s">
        <v>64</v>
      </c>
      <c r="AZ76" s="38" t="s">
        <v>76</v>
      </c>
      <c r="BA76" s="42" t="s">
        <v>66</v>
      </c>
      <c r="BB76" s="42" t="n">
        <v>68</v>
      </c>
      <c r="BC76" s="42" t="n">
        <v>2.26666666666667</v>
      </c>
      <c r="BD76" s="42" t="s">
        <v>67</v>
      </c>
      <c r="BE76" s="46" t="n">
        <v>7</v>
      </c>
      <c r="BF76" s="42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47"/>
    </row>
    <row r="77" s="48" customFormat="true" ht="12" hidden="false" customHeight="true" outlineLevel="0" collapsed="false">
      <c r="A77" s="38" t="n">
        <v>121</v>
      </c>
      <c r="B77" s="39" t="s">
        <v>145</v>
      </c>
      <c r="C77" s="38" t="s">
        <v>190</v>
      </c>
      <c r="D77" s="38" t="s">
        <v>69</v>
      </c>
      <c r="E77" s="38" t="s">
        <v>61</v>
      </c>
      <c r="F77" s="38" t="s">
        <v>227</v>
      </c>
      <c r="G77" s="38" t="s">
        <v>229</v>
      </c>
      <c r="H77" s="40" t="n">
        <v>360</v>
      </c>
      <c r="I77" s="41" t="n">
        <v>10.5</v>
      </c>
      <c r="J77" s="41" t="n">
        <v>0.029</v>
      </c>
      <c r="K77" s="41" t="n">
        <v>0.249</v>
      </c>
      <c r="L77" s="40" t="n">
        <v>38.4</v>
      </c>
      <c r="M77" s="42" t="n">
        <v>28</v>
      </c>
      <c r="N77" s="40" t="n">
        <v>49.8</v>
      </c>
      <c r="O77" s="41" t="n">
        <v>1.676</v>
      </c>
      <c r="P77" s="41" t="n">
        <v>0.034</v>
      </c>
      <c r="Q77" s="41" t="n">
        <v>0.238</v>
      </c>
      <c r="R77" s="40" t="n">
        <v>12.3</v>
      </c>
      <c r="S77" s="42" t="n">
        <v>3186</v>
      </c>
      <c r="T77" s="40" t="n">
        <v>5.2</v>
      </c>
      <c r="U77" s="40" t="n">
        <v>11.5</v>
      </c>
      <c r="V77" s="42" t="n">
        <v>13</v>
      </c>
      <c r="W77" s="40" t="n">
        <v>21.6</v>
      </c>
      <c r="X77" s="41" t="n">
        <v>0.948</v>
      </c>
      <c r="Y77" s="41" t="n">
        <v>0.044</v>
      </c>
      <c r="Z77" s="41" t="n">
        <v>0.198</v>
      </c>
      <c r="AA77" s="40" t="n">
        <v>4.5</v>
      </c>
      <c r="AB77" s="42" t="n">
        <v>1314</v>
      </c>
      <c r="AC77" s="40" t="n">
        <v>0</v>
      </c>
      <c r="AD77" s="40" t="n">
        <v>2.3</v>
      </c>
      <c r="AE77" s="42" t="n">
        <v>12</v>
      </c>
      <c r="AF77" s="40" t="n">
        <v>25.4</v>
      </c>
      <c r="AG77" s="41" t="n">
        <v>1.614</v>
      </c>
      <c r="AH77" s="41" t="n">
        <v>0.064</v>
      </c>
      <c r="AI77" s="40" t="n">
        <v>1.1</v>
      </c>
      <c r="AJ77" s="42" t="n">
        <v>12</v>
      </c>
      <c r="AK77" s="40" t="n">
        <v>334.6</v>
      </c>
      <c r="AL77" s="41" t="n">
        <v>8.886</v>
      </c>
      <c r="AM77" s="41" t="n">
        <v>0.027</v>
      </c>
      <c r="AN77" s="40" t="n">
        <v>37.2</v>
      </c>
      <c r="AO77" s="43"/>
      <c r="AP77" s="43"/>
      <c r="AQ77" s="43"/>
      <c r="AR77" s="43"/>
      <c r="AS77" s="42"/>
      <c r="AT77" s="42" t="n">
        <f aca="false">Table1[[#This Row],[Object_A_._head_time]]+Table1[[#This Row],[Object_B_._head_time]]</f>
        <v>71.4</v>
      </c>
      <c r="AU77" s="42" t="n">
        <f aca="false">Table1[[#This Row],[Object_B_._head_time]]-Table1[[#This Row],[Object_A_._head_time]]</f>
        <v>-28.2</v>
      </c>
      <c r="AV77" s="40" t="n">
        <f aca="false">Table1[[#This Row],[D1: Absolute discrimination measure (D1 = B2- A2)]]/Table1[[#This Row],[E2: total exploration time in second trial E2 ( E2 = A2 + B2)]]</f>
        <v>-0.394957983193277</v>
      </c>
      <c r="AW77" s="43" t="n">
        <f aca="false">Table1[[#This Row],[Object_B_._head_time]]/Table1[[#This Row],[E2: total exploration time in second trial E2 ( E2 = A2 + B2)]]</f>
        <v>0.302521008403361</v>
      </c>
      <c r="AX77" s="44"/>
      <c r="AY77" s="38" t="s">
        <v>71</v>
      </c>
      <c r="AZ77" s="38" t="s">
        <v>76</v>
      </c>
      <c r="BA77" s="42" t="s">
        <v>72</v>
      </c>
      <c r="BB77" s="42" t="n">
        <v>68</v>
      </c>
      <c r="BC77" s="42" t="n">
        <v>2.26666666666667</v>
      </c>
      <c r="BD77" s="42" t="s">
        <v>81</v>
      </c>
      <c r="BE77" s="46" t="n">
        <v>6</v>
      </c>
      <c r="BF77" s="42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47"/>
    </row>
    <row r="78" s="48" customFormat="true" ht="12" hidden="false" customHeight="true" outlineLevel="0" collapsed="false">
      <c r="A78" s="38" t="n">
        <v>123</v>
      </c>
      <c r="B78" s="39" t="s">
        <v>147</v>
      </c>
      <c r="C78" s="38" t="s">
        <v>190</v>
      </c>
      <c r="D78" s="38" t="s">
        <v>74</v>
      </c>
      <c r="E78" s="38" t="s">
        <v>61</v>
      </c>
      <c r="F78" s="38" t="s">
        <v>227</v>
      </c>
      <c r="G78" s="38" t="s">
        <v>230</v>
      </c>
      <c r="H78" s="40" t="n">
        <v>360</v>
      </c>
      <c r="I78" s="41" t="n">
        <v>6.293</v>
      </c>
      <c r="J78" s="41" t="n">
        <v>0.017</v>
      </c>
      <c r="K78" s="41" t="n">
        <v>0.229</v>
      </c>
      <c r="L78" s="40" t="n">
        <v>64</v>
      </c>
      <c r="M78" s="42" t="n">
        <v>42</v>
      </c>
      <c r="N78" s="40" t="n">
        <v>56</v>
      </c>
      <c r="O78" s="41" t="n">
        <v>0.735</v>
      </c>
      <c r="P78" s="41" t="n">
        <v>0.013</v>
      </c>
      <c r="Q78" s="41" t="n">
        <v>0.188</v>
      </c>
      <c r="R78" s="40" t="n">
        <v>16.5</v>
      </c>
      <c r="S78" s="42" t="n">
        <v>2856</v>
      </c>
      <c r="T78" s="40" t="n">
        <v>7.6</v>
      </c>
      <c r="U78" s="40" t="n">
        <v>35.9</v>
      </c>
      <c r="V78" s="42" t="n">
        <v>7</v>
      </c>
      <c r="W78" s="40" t="n">
        <v>8.6</v>
      </c>
      <c r="X78" s="41" t="n">
        <v>0.432</v>
      </c>
      <c r="Y78" s="41" t="n">
        <v>0.051</v>
      </c>
      <c r="Z78" s="41" t="n">
        <v>0.211</v>
      </c>
      <c r="AA78" s="40" t="n">
        <v>1.9</v>
      </c>
      <c r="AB78" s="42" t="n">
        <v>413</v>
      </c>
      <c r="AC78" s="40" t="n">
        <v>0</v>
      </c>
      <c r="AD78" s="40" t="n">
        <v>1.7</v>
      </c>
      <c r="AE78" s="42" t="n">
        <v>5</v>
      </c>
      <c r="AF78" s="40" t="n">
        <v>8.5</v>
      </c>
      <c r="AG78" s="41" t="n">
        <v>0.637</v>
      </c>
      <c r="AH78" s="41" t="n">
        <v>0.075</v>
      </c>
      <c r="AI78" s="40" t="n">
        <v>0</v>
      </c>
      <c r="AJ78" s="42" t="n">
        <v>6</v>
      </c>
      <c r="AK78" s="40" t="n">
        <v>351.5</v>
      </c>
      <c r="AL78" s="41" t="n">
        <v>5.656</v>
      </c>
      <c r="AM78" s="41" t="n">
        <v>0.016</v>
      </c>
      <c r="AN78" s="40" t="n">
        <v>64</v>
      </c>
      <c r="AO78" s="43"/>
      <c r="AP78" s="43"/>
      <c r="AQ78" s="43"/>
      <c r="AR78" s="43"/>
      <c r="AS78" s="42"/>
      <c r="AT78" s="42" t="n">
        <f aca="false">Table1[[#This Row],[Object_A_._head_time]]+Table1[[#This Row],[Object_B_._head_time]]</f>
        <v>64.6</v>
      </c>
      <c r="AU78" s="42" t="n">
        <f aca="false">Table1[[#This Row],[Object_B_._head_time]]-Table1[[#This Row],[Object_A_._head_time]]</f>
        <v>-47.4</v>
      </c>
      <c r="AV78" s="40" t="n">
        <f aca="false">Table1[[#This Row],[D1: Absolute discrimination measure (D1 = B2- A2)]]/Table1[[#This Row],[E2: total exploration time in second trial E2 ( E2 = A2 + B2)]]</f>
        <v>-0.73374613003096</v>
      </c>
      <c r="AW78" s="43" t="n">
        <f aca="false">Table1[[#This Row],[Object_B_._head_time]]/Table1[[#This Row],[E2: total exploration time in second trial E2 ( E2 = A2 + B2)]]</f>
        <v>0.13312693498452</v>
      </c>
      <c r="AX78" s="44"/>
      <c r="AY78" s="38" t="s">
        <v>71</v>
      </c>
      <c r="AZ78" s="38" t="s">
        <v>76</v>
      </c>
      <c r="BA78" s="42" t="s">
        <v>66</v>
      </c>
      <c r="BB78" s="42" t="n">
        <v>68</v>
      </c>
      <c r="BC78" s="42" t="n">
        <v>2.26666666666667</v>
      </c>
      <c r="BD78" s="42" t="s">
        <v>81</v>
      </c>
      <c r="BE78" s="46" t="n">
        <v>8</v>
      </c>
      <c r="BF78" s="42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47"/>
    </row>
    <row r="79" s="48" customFormat="true" ht="12" hidden="false" customHeight="true" outlineLevel="0" collapsed="false">
      <c r="A79" s="38" t="n">
        <v>122</v>
      </c>
      <c r="B79" s="39" t="s">
        <v>149</v>
      </c>
      <c r="C79" s="38" t="s">
        <v>190</v>
      </c>
      <c r="D79" s="38" t="s">
        <v>79</v>
      </c>
      <c r="E79" s="38" t="s">
        <v>61</v>
      </c>
      <c r="F79" s="38" t="s">
        <v>227</v>
      </c>
      <c r="G79" s="38" t="s">
        <v>231</v>
      </c>
      <c r="H79" s="40" t="n">
        <v>360</v>
      </c>
      <c r="I79" s="41" t="n">
        <v>5.288</v>
      </c>
      <c r="J79" s="41" t="n">
        <v>0.015</v>
      </c>
      <c r="K79" s="41" t="n">
        <v>0.171</v>
      </c>
      <c r="L79" s="40" t="n">
        <v>198.5</v>
      </c>
      <c r="M79" s="42" t="n">
        <v>24</v>
      </c>
      <c r="N79" s="40" t="n">
        <v>11.1</v>
      </c>
      <c r="O79" s="41" t="n">
        <v>0.184</v>
      </c>
      <c r="P79" s="41" t="n">
        <v>0.017</v>
      </c>
      <c r="Q79" s="41" t="n">
        <v>0.162</v>
      </c>
      <c r="R79" s="40" t="n">
        <v>8.8</v>
      </c>
      <c r="S79" s="42" t="n">
        <v>573</v>
      </c>
      <c r="T79" s="40" t="n">
        <v>3.5</v>
      </c>
      <c r="U79" s="40" t="n">
        <v>7.9</v>
      </c>
      <c r="V79" s="42" t="n">
        <v>12</v>
      </c>
      <c r="W79" s="40" t="n">
        <v>13.4</v>
      </c>
      <c r="X79" s="41" t="n">
        <v>0.469</v>
      </c>
      <c r="Y79" s="41" t="n">
        <v>0.035</v>
      </c>
      <c r="Z79" s="41" t="n">
        <v>0.158</v>
      </c>
      <c r="AA79" s="40" t="n">
        <v>6.4</v>
      </c>
      <c r="AB79" s="42" t="n">
        <v>626</v>
      </c>
      <c r="AC79" s="40" t="n">
        <v>2.2</v>
      </c>
      <c r="AD79" s="40" t="n">
        <v>9.3</v>
      </c>
      <c r="AE79" s="42" t="n">
        <v>2</v>
      </c>
      <c r="AF79" s="40" t="n">
        <v>2.9</v>
      </c>
      <c r="AG79" s="41" t="n">
        <v>0.34</v>
      </c>
      <c r="AH79" s="41" t="n">
        <v>0.119</v>
      </c>
      <c r="AI79" s="40" t="n">
        <v>0</v>
      </c>
      <c r="AJ79" s="42" t="n">
        <v>3</v>
      </c>
      <c r="AK79" s="40" t="n">
        <v>357.1</v>
      </c>
      <c r="AL79" s="41" t="n">
        <v>4.948</v>
      </c>
      <c r="AM79" s="41" t="n">
        <v>0.014</v>
      </c>
      <c r="AN79" s="40" t="n">
        <v>198.5</v>
      </c>
      <c r="AO79" s="43"/>
      <c r="AP79" s="43"/>
      <c r="AQ79" s="43"/>
      <c r="AR79" s="43"/>
      <c r="AS79" s="42"/>
      <c r="AT79" s="42" t="n">
        <f aca="false">Table1[[#This Row],[Object_A_._head_time]]+Table1[[#This Row],[Object_B_._head_time]]</f>
        <v>24.5</v>
      </c>
      <c r="AU79" s="42" t="n">
        <f aca="false">Table1[[#This Row],[Object_B_._head_time]]-Table1[[#This Row],[Object_A_._head_time]]</f>
        <v>2.3</v>
      </c>
      <c r="AV79" s="40" t="n">
        <f aca="false">Table1[[#This Row],[D1: Absolute discrimination measure (D1 = B2- A2)]]/Table1[[#This Row],[E2: total exploration time in second trial E2 ( E2 = A2 + B2)]]</f>
        <v>0.0938775510204082</v>
      </c>
      <c r="AW79" s="43" t="n">
        <f aca="false">Table1[[#This Row],[Object_B_._head_time]]/Table1[[#This Row],[E2: total exploration time in second trial E2 ( E2 = A2 + B2)]]</f>
        <v>0.546938775510204</v>
      </c>
      <c r="AX79" s="44"/>
      <c r="AY79" s="38" t="s">
        <v>71</v>
      </c>
      <c r="AZ79" s="38" t="s">
        <v>76</v>
      </c>
      <c r="BA79" s="42" t="s">
        <v>66</v>
      </c>
      <c r="BB79" s="42" t="n">
        <v>68</v>
      </c>
      <c r="BC79" s="42" t="n">
        <v>2.26666666666667</v>
      </c>
      <c r="BD79" s="42" t="s">
        <v>67</v>
      </c>
      <c r="BE79" s="46" t="n">
        <v>7</v>
      </c>
      <c r="BF79" s="42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47"/>
    </row>
    <row r="80" s="48" customFormat="true" ht="12" hidden="false" customHeight="true" outlineLevel="0" collapsed="false">
      <c r="A80" s="38" t="n">
        <v>125</v>
      </c>
      <c r="B80" s="39" t="s">
        <v>151</v>
      </c>
      <c r="C80" s="38" t="s">
        <v>190</v>
      </c>
      <c r="D80" s="38" t="s">
        <v>60</v>
      </c>
      <c r="E80" s="38" t="s">
        <v>61</v>
      </c>
      <c r="F80" s="38" t="s">
        <v>232</v>
      </c>
      <c r="G80" s="38" t="s">
        <v>233</v>
      </c>
      <c r="H80" s="40" t="n">
        <v>360</v>
      </c>
      <c r="I80" s="41" t="n">
        <v>4.131</v>
      </c>
      <c r="J80" s="41" t="n">
        <v>0.011</v>
      </c>
      <c r="K80" s="41" t="n">
        <v>0.216</v>
      </c>
      <c r="L80" s="40" t="n">
        <v>230</v>
      </c>
      <c r="M80" s="42" t="n">
        <v>0</v>
      </c>
      <c r="N80" s="40" t="n">
        <v>0</v>
      </c>
      <c r="O80" s="41" t="n">
        <v>0</v>
      </c>
      <c r="P80" s="41"/>
      <c r="Q80" s="41"/>
      <c r="R80" s="40" t="n">
        <v>0</v>
      </c>
      <c r="S80" s="42" t="n">
        <v>0</v>
      </c>
      <c r="T80" s="40" t="n">
        <v>0</v>
      </c>
      <c r="U80" s="40"/>
      <c r="V80" s="42" t="n">
        <v>19</v>
      </c>
      <c r="W80" s="40" t="n">
        <v>14.4</v>
      </c>
      <c r="X80" s="41" t="n">
        <v>0.177</v>
      </c>
      <c r="Y80" s="41" t="n">
        <v>0.012</v>
      </c>
      <c r="Z80" s="41" t="n">
        <v>0.108</v>
      </c>
      <c r="AA80" s="40" t="n">
        <v>12.7</v>
      </c>
      <c r="AB80" s="42" t="n">
        <v>724</v>
      </c>
      <c r="AC80" s="40" t="n">
        <v>7.8</v>
      </c>
      <c r="AD80" s="40" t="n">
        <v>12.2</v>
      </c>
      <c r="AE80" s="42" t="n">
        <v>1</v>
      </c>
      <c r="AF80" s="40" t="n">
        <v>3.3</v>
      </c>
      <c r="AG80" s="41" t="n">
        <v>0.153</v>
      </c>
      <c r="AH80" s="41" t="n">
        <v>0.046</v>
      </c>
      <c r="AI80" s="40" t="n">
        <v>0</v>
      </c>
      <c r="AJ80" s="42" t="n">
        <v>2</v>
      </c>
      <c r="AK80" s="40" t="n">
        <v>356.7</v>
      </c>
      <c r="AL80" s="41" t="n">
        <v>3.977</v>
      </c>
      <c r="AM80" s="41" t="n">
        <v>0.011</v>
      </c>
      <c r="AN80" s="40" t="n">
        <v>230</v>
      </c>
      <c r="AO80" s="43"/>
      <c r="AP80" s="43"/>
      <c r="AQ80" s="43"/>
      <c r="AR80" s="43"/>
      <c r="AS80" s="42"/>
      <c r="AT80" s="42" t="n">
        <f aca="false">Table1[[#This Row],[Object_A_._head_time]]+Table1[[#This Row],[Object_B_._head_time]]</f>
        <v>14.4</v>
      </c>
      <c r="AU80" s="42" t="n">
        <f aca="false">Table1[[#This Row],[Object_B_._head_time]]-Table1[[#This Row],[Object_A_._head_time]]</f>
        <v>14.4</v>
      </c>
      <c r="AV80" s="40" t="n">
        <f aca="false">Table1[[#This Row],[D1: Absolute discrimination measure (D1 = B2- A2)]]/Table1[[#This Row],[E2: total exploration time in second trial E2 ( E2 = A2 + B2)]]</f>
        <v>1</v>
      </c>
      <c r="AW80" s="43" t="n">
        <f aca="false">Table1[[#This Row],[Object_B_._head_time]]/Table1[[#This Row],[E2: total exploration time in second trial E2 ( E2 = A2 + B2)]]</f>
        <v>1</v>
      </c>
      <c r="AX80" s="44"/>
      <c r="AY80" s="38" t="s">
        <v>71</v>
      </c>
      <c r="AZ80" s="38" t="s">
        <v>76</v>
      </c>
      <c r="BA80" s="42" t="s">
        <v>72</v>
      </c>
      <c r="BB80" s="42" t="n">
        <v>68</v>
      </c>
      <c r="BC80" s="42" t="n">
        <v>2.26666666666667</v>
      </c>
      <c r="BD80" s="42" t="s">
        <v>67</v>
      </c>
      <c r="BE80" s="46" t="n">
        <v>5</v>
      </c>
      <c r="BF80" s="42" t="s">
        <v>154</v>
      </c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47"/>
    </row>
    <row r="81" s="48" customFormat="true" ht="12" hidden="false" customHeight="true" outlineLevel="0" collapsed="false">
      <c r="A81" s="38" t="n">
        <v>126</v>
      </c>
      <c r="B81" s="39" t="s">
        <v>155</v>
      </c>
      <c r="C81" s="38" t="s">
        <v>190</v>
      </c>
      <c r="D81" s="38" t="s">
        <v>69</v>
      </c>
      <c r="E81" s="38" t="s">
        <v>61</v>
      </c>
      <c r="F81" s="38" t="s">
        <v>232</v>
      </c>
      <c r="G81" s="38" t="s">
        <v>234</v>
      </c>
      <c r="H81" s="40" t="n">
        <v>360</v>
      </c>
      <c r="I81" s="41" t="n">
        <v>4.596</v>
      </c>
      <c r="J81" s="41" t="n">
        <v>0.013</v>
      </c>
      <c r="K81" s="41" t="n">
        <v>0.241</v>
      </c>
      <c r="L81" s="40" t="n">
        <v>115.4</v>
      </c>
      <c r="M81" s="42" t="n">
        <v>15</v>
      </c>
      <c r="N81" s="40" t="n">
        <v>41.4</v>
      </c>
      <c r="O81" s="41" t="n">
        <v>0.679</v>
      </c>
      <c r="P81" s="41" t="n">
        <v>0.016</v>
      </c>
      <c r="Q81" s="41" t="n">
        <v>0.151</v>
      </c>
      <c r="R81" s="40" t="n">
        <v>24.7</v>
      </c>
      <c r="S81" s="42" t="n">
        <v>2152</v>
      </c>
      <c r="T81" s="40" t="n">
        <v>14.2</v>
      </c>
      <c r="U81" s="40" t="n">
        <v>31.8</v>
      </c>
      <c r="V81" s="42" t="n">
        <v>3</v>
      </c>
      <c r="W81" s="40" t="n">
        <v>4.7</v>
      </c>
      <c r="X81" s="41" t="n">
        <v>0.206</v>
      </c>
      <c r="Y81" s="41" t="n">
        <v>0.044</v>
      </c>
      <c r="Z81" s="41" t="n">
        <v>0.195</v>
      </c>
      <c r="AA81" s="40" t="n">
        <v>1.7</v>
      </c>
      <c r="AB81" s="42" t="n">
        <v>368</v>
      </c>
      <c r="AC81" s="40" t="n">
        <v>0</v>
      </c>
      <c r="AD81" s="40" t="n">
        <v>2.3</v>
      </c>
      <c r="AE81" s="42" t="n">
        <v>2</v>
      </c>
      <c r="AF81" s="40" t="n">
        <v>4.3</v>
      </c>
      <c r="AG81" s="41" t="n">
        <v>0.461</v>
      </c>
      <c r="AH81" s="41" t="n">
        <v>0.107</v>
      </c>
      <c r="AI81" s="40" t="n">
        <v>0</v>
      </c>
      <c r="AJ81" s="42" t="n">
        <v>3</v>
      </c>
      <c r="AK81" s="40" t="n">
        <v>355.7</v>
      </c>
      <c r="AL81" s="41" t="n">
        <v>4.135</v>
      </c>
      <c r="AM81" s="41" t="n">
        <v>0.012</v>
      </c>
      <c r="AN81" s="40" t="n">
        <v>115.4</v>
      </c>
      <c r="AO81" s="43"/>
      <c r="AP81" s="43"/>
      <c r="AQ81" s="43"/>
      <c r="AR81" s="43"/>
      <c r="AS81" s="42"/>
      <c r="AT81" s="42" t="n">
        <f aca="false">Table1[[#This Row],[Object_A_._head_time]]+Table1[[#This Row],[Object_B_._head_time]]</f>
        <v>46.1</v>
      </c>
      <c r="AU81" s="42" t="n">
        <f aca="false">Table1[[#This Row],[Object_B_._head_time]]-Table1[[#This Row],[Object_A_._head_time]]</f>
        <v>-36.7</v>
      </c>
      <c r="AV81" s="40" t="n">
        <f aca="false">Table1[[#This Row],[D1: Absolute discrimination measure (D1 = B2- A2)]]/Table1[[#This Row],[E2: total exploration time in second trial E2 ( E2 = A2 + B2)]]</f>
        <v>-0.796095444685466</v>
      </c>
      <c r="AW81" s="43" t="n">
        <f aca="false">Table1[[#This Row],[Object_B_._head_time]]/Table1[[#This Row],[E2: total exploration time in second trial E2 ( E2 = A2 + B2)]]</f>
        <v>0.101952277657267</v>
      </c>
      <c r="AX81" s="44"/>
      <c r="AY81" s="38" t="s">
        <v>64</v>
      </c>
      <c r="AZ81" s="38" t="s">
        <v>65</v>
      </c>
      <c r="BA81" s="42" t="s">
        <v>72</v>
      </c>
      <c r="BB81" s="42" t="n">
        <v>61</v>
      </c>
      <c r="BC81" s="42" t="n">
        <v>2.03333333333333</v>
      </c>
      <c r="BD81" s="42" t="s">
        <v>67</v>
      </c>
      <c r="BE81" s="46" t="n">
        <v>1</v>
      </c>
      <c r="BF81" s="42" t="s">
        <v>157</v>
      </c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47"/>
    </row>
    <row r="82" s="48" customFormat="true" ht="12" hidden="false" customHeight="true" outlineLevel="0" collapsed="false">
      <c r="A82" s="38" t="n">
        <v>127</v>
      </c>
      <c r="B82" s="39" t="s">
        <v>158</v>
      </c>
      <c r="C82" s="38" t="s">
        <v>190</v>
      </c>
      <c r="D82" s="38" t="s">
        <v>74</v>
      </c>
      <c r="E82" s="38" t="s">
        <v>61</v>
      </c>
      <c r="F82" s="38" t="s">
        <v>232</v>
      </c>
      <c r="G82" s="38" t="s">
        <v>235</v>
      </c>
      <c r="H82" s="40" t="n">
        <v>360</v>
      </c>
      <c r="I82" s="41" t="n">
        <v>72.576</v>
      </c>
      <c r="J82" s="41" t="n">
        <v>0.202</v>
      </c>
      <c r="K82" s="41" t="n">
        <v>0.43</v>
      </c>
      <c r="L82" s="40" t="n">
        <v>1.7</v>
      </c>
      <c r="M82" s="42" t="n">
        <v>89</v>
      </c>
      <c r="N82" s="40" t="n">
        <v>40</v>
      </c>
      <c r="O82" s="41" t="n">
        <v>8.16</v>
      </c>
      <c r="P82" s="41" t="n">
        <v>0.204</v>
      </c>
      <c r="Q82" s="41" t="n">
        <v>0.428</v>
      </c>
      <c r="R82" s="40" t="n">
        <v>9.4</v>
      </c>
      <c r="S82" s="42" t="n">
        <v>7554</v>
      </c>
      <c r="T82" s="40" t="n">
        <v>0</v>
      </c>
      <c r="U82" s="40" t="n">
        <v>7.1</v>
      </c>
      <c r="V82" s="42" t="n">
        <v>103</v>
      </c>
      <c r="W82" s="40" t="n">
        <v>48.6</v>
      </c>
      <c r="X82" s="41" t="n">
        <v>9.41</v>
      </c>
      <c r="Y82" s="41" t="n">
        <v>0.194</v>
      </c>
      <c r="Z82" s="41" t="n">
        <v>0.419</v>
      </c>
      <c r="AA82" s="40" t="n">
        <v>12.9</v>
      </c>
      <c r="AB82" s="42" t="n">
        <v>8871</v>
      </c>
      <c r="AC82" s="40" t="n">
        <v>0</v>
      </c>
      <c r="AD82" s="40" t="n">
        <v>11.2</v>
      </c>
      <c r="AE82" s="42" t="n">
        <v>112</v>
      </c>
      <c r="AF82" s="40" t="n">
        <v>50.5</v>
      </c>
      <c r="AG82" s="41" t="n">
        <v>14.54</v>
      </c>
      <c r="AH82" s="41" t="n">
        <v>0.288</v>
      </c>
      <c r="AI82" s="40" t="n">
        <v>0</v>
      </c>
      <c r="AJ82" s="42" t="n">
        <v>112</v>
      </c>
      <c r="AK82" s="40" t="n">
        <v>309.5</v>
      </c>
      <c r="AL82" s="41" t="n">
        <v>58.036</v>
      </c>
      <c r="AM82" s="41" t="n">
        <v>0.188</v>
      </c>
      <c r="AN82" s="40" t="n">
        <v>1.7</v>
      </c>
      <c r="AO82" s="43"/>
      <c r="AP82" s="43"/>
      <c r="AQ82" s="43"/>
      <c r="AR82" s="43"/>
      <c r="AS82" s="42"/>
      <c r="AT82" s="42" t="n">
        <f aca="false">Table1[[#This Row],[Object_A_._head_time]]+Table1[[#This Row],[Object_B_._head_time]]</f>
        <v>88.6</v>
      </c>
      <c r="AU82" s="42" t="n">
        <f aca="false">Table1[[#This Row],[Object_B_._head_time]]-Table1[[#This Row],[Object_A_._head_time]]</f>
        <v>8.6</v>
      </c>
      <c r="AV82" s="40" t="n">
        <f aca="false">Table1[[#This Row],[D1: Absolute discrimination measure (D1 = B2- A2)]]/Table1[[#This Row],[E2: total exploration time in second trial E2 ( E2 = A2 + B2)]]</f>
        <v>0.0970654627539504</v>
      </c>
      <c r="AW82" s="43" t="n">
        <f aca="false">Table1[[#This Row],[Object_B_._head_time]]/Table1[[#This Row],[E2: total exploration time in second trial E2 ( E2 = A2 + B2)]]</f>
        <v>0.548532731376975</v>
      </c>
      <c r="AX82" s="44"/>
      <c r="AY82" s="38" t="s">
        <v>64</v>
      </c>
      <c r="AZ82" s="38" t="s">
        <v>65</v>
      </c>
      <c r="BA82" s="42" t="s">
        <v>66</v>
      </c>
      <c r="BB82" s="42" t="n">
        <v>61</v>
      </c>
      <c r="BC82" s="42" t="n">
        <v>2.03333333333333</v>
      </c>
      <c r="BD82" s="42" t="s">
        <v>81</v>
      </c>
      <c r="BE82" s="46" t="n">
        <v>4</v>
      </c>
      <c r="BF82" s="42" t="s">
        <v>160</v>
      </c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47"/>
    </row>
    <row r="83" s="48" customFormat="true" ht="12" hidden="false" customHeight="true" outlineLevel="0" collapsed="false">
      <c r="A83" s="38" t="n">
        <v>128</v>
      </c>
      <c r="B83" s="39" t="s">
        <v>161</v>
      </c>
      <c r="C83" s="38" t="s">
        <v>190</v>
      </c>
      <c r="D83" s="38" t="s">
        <v>79</v>
      </c>
      <c r="E83" s="38" t="s">
        <v>61</v>
      </c>
      <c r="F83" s="38" t="s">
        <v>232</v>
      </c>
      <c r="G83" s="38" t="s">
        <v>236</v>
      </c>
      <c r="H83" s="40" t="n">
        <v>360</v>
      </c>
      <c r="I83" s="41" t="n">
        <v>12.092</v>
      </c>
      <c r="J83" s="41" t="n">
        <v>0.034</v>
      </c>
      <c r="K83" s="41" t="n">
        <v>0.354</v>
      </c>
      <c r="L83" s="40" t="n">
        <v>111.1</v>
      </c>
      <c r="M83" s="42" t="n">
        <v>41</v>
      </c>
      <c r="N83" s="40" t="n">
        <v>97</v>
      </c>
      <c r="O83" s="41" t="n">
        <v>1.22</v>
      </c>
      <c r="P83" s="41" t="n">
        <v>0.013</v>
      </c>
      <c r="Q83" s="41" t="n">
        <v>0.294</v>
      </c>
      <c r="R83" s="40" t="n">
        <v>57.8</v>
      </c>
      <c r="S83" s="42" t="n">
        <v>5060</v>
      </c>
      <c r="T83" s="40" t="n">
        <v>36.7</v>
      </c>
      <c r="U83" s="40" t="n">
        <v>77.2</v>
      </c>
      <c r="V83" s="42" t="n">
        <v>14</v>
      </c>
      <c r="W83" s="40" t="n">
        <v>14</v>
      </c>
      <c r="X83" s="41" t="n">
        <v>1.317</v>
      </c>
      <c r="Y83" s="41" t="n">
        <v>0.094</v>
      </c>
      <c r="Z83" s="41" t="n">
        <v>0.249</v>
      </c>
      <c r="AA83" s="40" t="n">
        <v>4.7</v>
      </c>
      <c r="AB83" s="42" t="n">
        <v>1357</v>
      </c>
      <c r="AC83" s="40" t="n">
        <v>0</v>
      </c>
      <c r="AD83" s="40" t="n">
        <v>3.9</v>
      </c>
      <c r="AE83" s="42" t="n">
        <v>6</v>
      </c>
      <c r="AF83" s="40" t="n">
        <v>4.5</v>
      </c>
      <c r="AG83" s="41" t="n">
        <v>0.991</v>
      </c>
      <c r="AH83" s="41" t="n">
        <v>0.219</v>
      </c>
      <c r="AI83" s="40" t="n">
        <v>0</v>
      </c>
      <c r="AJ83" s="42" t="n">
        <v>7</v>
      </c>
      <c r="AK83" s="40" t="n">
        <v>355.5</v>
      </c>
      <c r="AL83" s="41" t="n">
        <v>11.1</v>
      </c>
      <c r="AM83" s="41" t="n">
        <v>0.031</v>
      </c>
      <c r="AN83" s="40" t="n">
        <v>111.1</v>
      </c>
      <c r="AO83" s="43"/>
      <c r="AP83" s="43"/>
      <c r="AQ83" s="43"/>
      <c r="AR83" s="43"/>
      <c r="AS83" s="42"/>
      <c r="AT83" s="42" t="n">
        <f aca="false">Table1[[#This Row],[Object_A_._head_time]]+Table1[[#This Row],[Object_B_._head_time]]</f>
        <v>111</v>
      </c>
      <c r="AU83" s="42" t="n">
        <f aca="false">Table1[[#This Row],[Object_B_._head_time]]-Table1[[#This Row],[Object_A_._head_time]]</f>
        <v>-83</v>
      </c>
      <c r="AV83" s="40" t="n">
        <f aca="false">Table1[[#This Row],[D1: Absolute discrimination measure (D1 = B2- A2)]]/Table1[[#This Row],[E2: total exploration time in second trial E2 ( E2 = A2 + B2)]]</f>
        <v>-0.747747747747748</v>
      </c>
      <c r="AW83" s="43" t="n">
        <f aca="false">Table1[[#This Row],[Object_B_._head_time]]/Table1[[#This Row],[E2: total exploration time in second trial E2 ( E2 = A2 + B2)]]</f>
        <v>0.126126126126126</v>
      </c>
      <c r="AX83" s="44"/>
      <c r="AY83" s="38" t="s">
        <v>64</v>
      </c>
      <c r="AZ83" s="38" t="s">
        <v>65</v>
      </c>
      <c r="BA83" s="42" t="s">
        <v>72</v>
      </c>
      <c r="BB83" s="42" t="n">
        <v>61</v>
      </c>
      <c r="BC83" s="42" t="n">
        <v>2.03333333333333</v>
      </c>
      <c r="BD83" s="42" t="s">
        <v>81</v>
      </c>
      <c r="BE83" s="46" t="n">
        <v>2</v>
      </c>
      <c r="BF83" s="42" t="s">
        <v>157</v>
      </c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47"/>
    </row>
    <row r="84" s="48" customFormat="true" ht="12" hidden="false" customHeight="true" outlineLevel="0" collapsed="false">
      <c r="A84" s="38" t="n">
        <v>129</v>
      </c>
      <c r="B84" s="39" t="s">
        <v>163</v>
      </c>
      <c r="C84" s="38" t="s">
        <v>190</v>
      </c>
      <c r="D84" s="38" t="s">
        <v>60</v>
      </c>
      <c r="E84" s="38" t="s">
        <v>61</v>
      </c>
      <c r="F84" s="38" t="s">
        <v>237</v>
      </c>
      <c r="G84" s="38" t="s">
        <v>238</v>
      </c>
      <c r="H84" s="40" t="n">
        <v>360</v>
      </c>
      <c r="I84" s="41" t="n">
        <v>12.174</v>
      </c>
      <c r="J84" s="41" t="n">
        <v>0.034</v>
      </c>
      <c r="K84" s="41" t="n">
        <v>0.284</v>
      </c>
      <c r="L84" s="40" t="n">
        <v>78.5</v>
      </c>
      <c r="M84" s="42" t="n">
        <v>12</v>
      </c>
      <c r="N84" s="40" t="n">
        <v>5.6</v>
      </c>
      <c r="O84" s="41" t="n">
        <v>0.187</v>
      </c>
      <c r="P84" s="41" t="n">
        <v>0.033</v>
      </c>
      <c r="Q84" s="41" t="n">
        <v>0.161</v>
      </c>
      <c r="R84" s="40" t="n">
        <v>3.2</v>
      </c>
      <c r="S84" s="42" t="n">
        <v>380</v>
      </c>
      <c r="T84" s="40" t="n">
        <v>0.5</v>
      </c>
      <c r="U84" s="40" t="n">
        <v>4.8</v>
      </c>
      <c r="V84" s="42" t="n">
        <v>12</v>
      </c>
      <c r="W84" s="40" t="n">
        <v>9.8</v>
      </c>
      <c r="X84" s="41" t="n">
        <v>0.376</v>
      </c>
      <c r="Y84" s="41" t="n">
        <v>0.038</v>
      </c>
      <c r="Z84" s="41" t="n">
        <v>0.176</v>
      </c>
      <c r="AA84" s="40" t="n">
        <v>5.5</v>
      </c>
      <c r="AB84" s="42" t="n">
        <v>680</v>
      </c>
      <c r="AC84" s="40" t="n">
        <v>0</v>
      </c>
      <c r="AD84" s="40" t="n">
        <v>8.5</v>
      </c>
      <c r="AE84" s="42" t="n">
        <v>3</v>
      </c>
      <c r="AF84" s="40" t="n">
        <v>6.9</v>
      </c>
      <c r="AG84" s="41" t="n">
        <v>0.533</v>
      </c>
      <c r="AH84" s="41" t="n">
        <v>0.077</v>
      </c>
      <c r="AI84" s="40" t="n">
        <v>0</v>
      </c>
      <c r="AJ84" s="42" t="n">
        <v>3</v>
      </c>
      <c r="AK84" s="40" t="n">
        <v>353.1</v>
      </c>
      <c r="AL84" s="41" t="n">
        <v>11.641</v>
      </c>
      <c r="AM84" s="41" t="n">
        <v>0.033</v>
      </c>
      <c r="AN84" s="40" t="n">
        <v>78.5</v>
      </c>
      <c r="AO84" s="43"/>
      <c r="AP84" s="43"/>
      <c r="AQ84" s="43"/>
      <c r="AR84" s="43"/>
      <c r="AS84" s="42"/>
      <c r="AT84" s="42" t="n">
        <f aca="false">Table1[[#This Row],[Object_A_._head_time]]+Table1[[#This Row],[Object_B_._head_time]]</f>
        <v>15.4</v>
      </c>
      <c r="AU84" s="42" t="n">
        <f aca="false">Table1[[#This Row],[Object_B_._head_time]]-Table1[[#This Row],[Object_A_._head_time]]</f>
        <v>4.2</v>
      </c>
      <c r="AV84" s="40" t="n">
        <f aca="false">Table1[[#This Row],[D1: Absolute discrimination measure (D1 = B2- A2)]]/Table1[[#This Row],[E2: total exploration time in second trial E2 ( E2 = A2 + B2)]]</f>
        <v>0.272727272727273</v>
      </c>
      <c r="AW84" s="43" t="n">
        <f aca="false">Table1[[#This Row],[Object_B_._head_time]]/Table1[[#This Row],[E2: total exploration time in second trial E2 ( E2 = A2 + B2)]]</f>
        <v>0.636363636363636</v>
      </c>
      <c r="AX84" s="44"/>
      <c r="AY84" s="38" t="s">
        <v>64</v>
      </c>
      <c r="AZ84" s="38" t="s">
        <v>65</v>
      </c>
      <c r="BA84" s="42" t="s">
        <v>66</v>
      </c>
      <c r="BB84" s="42" t="n">
        <v>61</v>
      </c>
      <c r="BC84" s="42" t="n">
        <v>2.03333333333333</v>
      </c>
      <c r="BD84" s="42" t="s">
        <v>81</v>
      </c>
      <c r="BE84" s="46" t="n">
        <v>4</v>
      </c>
      <c r="BF84" s="42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47"/>
    </row>
    <row r="85" s="48" customFormat="true" ht="12" hidden="false" customHeight="true" outlineLevel="0" collapsed="false">
      <c r="A85" s="38" t="n">
        <v>130</v>
      </c>
      <c r="B85" s="39" t="s">
        <v>166</v>
      </c>
      <c r="C85" s="38" t="s">
        <v>190</v>
      </c>
      <c r="D85" s="38" t="s">
        <v>69</v>
      </c>
      <c r="E85" s="38" t="s">
        <v>61</v>
      </c>
      <c r="F85" s="38" t="s">
        <v>237</v>
      </c>
      <c r="G85" s="38" t="s">
        <v>239</v>
      </c>
      <c r="H85" s="40" t="n">
        <v>360</v>
      </c>
      <c r="I85" s="41" t="n">
        <v>0</v>
      </c>
      <c r="J85" s="41" t="n">
        <v>0</v>
      </c>
      <c r="K85" s="41"/>
      <c r="L85" s="40" t="n">
        <v>180.3</v>
      </c>
      <c r="M85" s="42" t="n">
        <v>0</v>
      </c>
      <c r="N85" s="40" t="n">
        <v>0</v>
      </c>
      <c r="O85" s="41" t="n">
        <v>0</v>
      </c>
      <c r="P85" s="41"/>
      <c r="Q85" s="41"/>
      <c r="R85" s="40" t="n">
        <v>0</v>
      </c>
      <c r="S85" s="42" t="n">
        <v>0</v>
      </c>
      <c r="T85" s="40" t="n">
        <v>0</v>
      </c>
      <c r="U85" s="40"/>
      <c r="V85" s="42" t="n">
        <v>0</v>
      </c>
      <c r="W85" s="40" t="n">
        <v>0</v>
      </c>
      <c r="X85" s="41" t="n">
        <v>0</v>
      </c>
      <c r="Y85" s="41"/>
      <c r="Z85" s="41"/>
      <c r="AA85" s="40" t="n">
        <v>0</v>
      </c>
      <c r="AB85" s="42" t="n">
        <v>0</v>
      </c>
      <c r="AC85" s="40" t="n">
        <v>0</v>
      </c>
      <c r="AD85" s="40"/>
      <c r="AE85" s="42" t="n">
        <v>1</v>
      </c>
      <c r="AF85" s="40" t="n">
        <v>0.8</v>
      </c>
      <c r="AG85" s="41" t="n">
        <v>0</v>
      </c>
      <c r="AH85" s="41" t="n">
        <v>0</v>
      </c>
      <c r="AI85" s="40" t="n">
        <v>0.8</v>
      </c>
      <c r="AJ85" s="42" t="n">
        <v>2</v>
      </c>
      <c r="AK85" s="40" t="n">
        <v>359.2</v>
      </c>
      <c r="AL85" s="41" t="n">
        <v>0</v>
      </c>
      <c r="AM85" s="41" t="n">
        <v>0</v>
      </c>
      <c r="AN85" s="40" t="n">
        <v>180</v>
      </c>
      <c r="AO85" s="43"/>
      <c r="AP85" s="43"/>
      <c r="AQ85" s="43"/>
      <c r="AR85" s="43"/>
      <c r="AS85" s="42"/>
      <c r="AT85" s="42" t="n">
        <f aca="false">Table1[[#This Row],[Object_A_._head_time]]+Table1[[#This Row],[Object_B_._head_time]]</f>
        <v>0</v>
      </c>
      <c r="AU85" s="42" t="n">
        <f aca="false">Table1[[#This Row],[Object_B_._head_time]]-Table1[[#This Row],[Object_A_._head_time]]</f>
        <v>0</v>
      </c>
      <c r="AV85" s="40" t="e">
        <f aca="false">Table1[[#This Row],[D1: Absolute discrimination measure (D1 = B2- A2)]]/Table1[[#This Row],[E2: total exploration time in second trial E2 ( E2 = A2 + B2)]]</f>
        <v>#DIV/0!</v>
      </c>
      <c r="AW85" s="43" t="e">
        <f aca="false">Table1[[#This Row],[Object_B_._head_time]]/Table1[[#This Row],[E2: total exploration time in second trial E2 ( E2 = A2 + B2)]]</f>
        <v>#DIV/0!</v>
      </c>
      <c r="AX85" s="44"/>
      <c r="AY85" s="38" t="s">
        <v>64</v>
      </c>
      <c r="AZ85" s="38" t="s">
        <v>65</v>
      </c>
      <c r="BA85" s="42" t="s">
        <v>66</v>
      </c>
      <c r="BB85" s="42" t="n">
        <v>61</v>
      </c>
      <c r="BC85" s="42" t="n">
        <v>2.03333333333333</v>
      </c>
      <c r="BD85" s="42" t="s">
        <v>67</v>
      </c>
      <c r="BE85" s="46" t="n">
        <v>3</v>
      </c>
      <c r="BF85" s="42" t="s">
        <v>168</v>
      </c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47"/>
    </row>
    <row r="86" s="48" customFormat="true" ht="12" hidden="false" customHeight="true" outlineLevel="0" collapsed="false">
      <c r="A86" s="38" t="n">
        <v>132</v>
      </c>
      <c r="B86" s="39" t="s">
        <v>169</v>
      </c>
      <c r="C86" s="38" t="s">
        <v>190</v>
      </c>
      <c r="D86" s="38" t="s">
        <v>74</v>
      </c>
      <c r="E86" s="38" t="s">
        <v>61</v>
      </c>
      <c r="F86" s="38" t="s">
        <v>237</v>
      </c>
      <c r="G86" s="38" t="s">
        <v>240</v>
      </c>
      <c r="H86" s="40" t="n">
        <v>360</v>
      </c>
      <c r="I86" s="41" t="n">
        <v>6.3</v>
      </c>
      <c r="J86" s="41" t="n">
        <v>0.017</v>
      </c>
      <c r="K86" s="41" t="n">
        <v>0.27</v>
      </c>
      <c r="L86" s="40" t="n">
        <v>190.7</v>
      </c>
      <c r="M86" s="42" t="n">
        <v>10</v>
      </c>
      <c r="N86" s="40" t="n">
        <v>8.5</v>
      </c>
      <c r="O86" s="41" t="n">
        <v>0.239</v>
      </c>
      <c r="P86" s="41" t="n">
        <v>0.028</v>
      </c>
      <c r="Q86" s="41" t="n">
        <v>0.214</v>
      </c>
      <c r="R86" s="40" t="n">
        <v>3.6</v>
      </c>
      <c r="S86" s="42" t="n">
        <v>660</v>
      </c>
      <c r="T86" s="40" t="n">
        <v>0</v>
      </c>
      <c r="U86" s="40" t="n">
        <v>6.9</v>
      </c>
      <c r="V86" s="42" t="n">
        <v>4</v>
      </c>
      <c r="W86" s="40" t="n">
        <v>1.5</v>
      </c>
      <c r="X86" s="41" t="n">
        <v>0.027</v>
      </c>
      <c r="Y86" s="41" t="n">
        <v>0.018</v>
      </c>
      <c r="Z86" s="41" t="n">
        <v>0.167</v>
      </c>
      <c r="AA86" s="40" t="n">
        <v>1.3</v>
      </c>
      <c r="AB86" s="42" t="n">
        <v>64</v>
      </c>
      <c r="AC86" s="40" t="n">
        <v>0</v>
      </c>
      <c r="AD86" s="40" t="n">
        <v>1.4</v>
      </c>
      <c r="AE86" s="42" t="n">
        <v>1</v>
      </c>
      <c r="AF86" s="40" t="n">
        <v>2.2</v>
      </c>
      <c r="AG86" s="41" t="n">
        <v>0.16</v>
      </c>
      <c r="AH86" s="41" t="n">
        <v>0.073</v>
      </c>
      <c r="AI86" s="40" t="n">
        <v>0</v>
      </c>
      <c r="AJ86" s="42" t="n">
        <v>2</v>
      </c>
      <c r="AK86" s="40" t="n">
        <v>357.8</v>
      </c>
      <c r="AL86" s="41" t="n">
        <v>6.14</v>
      </c>
      <c r="AM86" s="41" t="n">
        <v>0.017</v>
      </c>
      <c r="AN86" s="40" t="n">
        <v>190.7</v>
      </c>
      <c r="AO86" s="43"/>
      <c r="AP86" s="43"/>
      <c r="AQ86" s="43"/>
      <c r="AR86" s="43"/>
      <c r="AS86" s="42"/>
      <c r="AT86" s="42" t="n">
        <f aca="false">Table1[[#This Row],[Object_A_._head_time]]+Table1[[#This Row],[Object_B_._head_time]]</f>
        <v>10</v>
      </c>
      <c r="AU86" s="42" t="n">
        <f aca="false">Table1[[#This Row],[Object_B_._head_time]]-Table1[[#This Row],[Object_A_._head_time]]</f>
        <v>-7</v>
      </c>
      <c r="AV86" s="40" t="n">
        <f aca="false">Table1[[#This Row],[D1: Absolute discrimination measure (D1 = B2- A2)]]/Table1[[#This Row],[E2: total exploration time in second trial E2 ( E2 = A2 + B2)]]</f>
        <v>-0.7</v>
      </c>
      <c r="AW86" s="43" t="n">
        <f aca="false">Table1[[#This Row],[Object_B_._head_time]]/Table1[[#This Row],[E2: total exploration time in second trial E2 ( E2 = A2 + B2)]]</f>
        <v>0.15</v>
      </c>
      <c r="AX86" s="44"/>
      <c r="AY86" s="38" t="s">
        <v>71</v>
      </c>
      <c r="AZ86" s="38" t="s">
        <v>65</v>
      </c>
      <c r="BA86" s="42" t="s">
        <v>72</v>
      </c>
      <c r="BB86" s="42" t="n">
        <v>61</v>
      </c>
      <c r="BC86" s="42" t="n">
        <v>2.03333333333333</v>
      </c>
      <c r="BD86" s="42" t="s">
        <v>67</v>
      </c>
      <c r="BE86" s="46" t="n">
        <v>1</v>
      </c>
      <c r="BF86" s="42" t="s">
        <v>171</v>
      </c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47"/>
    </row>
    <row r="87" s="48" customFormat="true" ht="12" hidden="false" customHeight="true" outlineLevel="0" collapsed="false">
      <c r="A87" s="38" t="n">
        <v>131</v>
      </c>
      <c r="B87" s="39" t="s">
        <v>172</v>
      </c>
      <c r="C87" s="38" t="s">
        <v>190</v>
      </c>
      <c r="D87" s="38" t="s">
        <v>79</v>
      </c>
      <c r="E87" s="38" t="s">
        <v>61</v>
      </c>
      <c r="F87" s="38" t="s">
        <v>237</v>
      </c>
      <c r="G87" s="38" t="s">
        <v>241</v>
      </c>
      <c r="H87" s="40" t="n">
        <v>360</v>
      </c>
      <c r="I87" s="41" t="n">
        <v>7.065</v>
      </c>
      <c r="J87" s="41" t="n">
        <v>0.02</v>
      </c>
      <c r="K87" s="41" t="n">
        <v>0.203</v>
      </c>
      <c r="L87" s="40" t="n">
        <v>111.2</v>
      </c>
      <c r="M87" s="42" t="n">
        <v>8</v>
      </c>
      <c r="N87" s="40" t="n">
        <v>6.3</v>
      </c>
      <c r="O87" s="41" t="n">
        <v>0.35</v>
      </c>
      <c r="P87" s="41" t="n">
        <v>0.055</v>
      </c>
      <c r="Q87" s="41" t="n">
        <v>0.152</v>
      </c>
      <c r="R87" s="40" t="n">
        <v>2.8</v>
      </c>
      <c r="S87" s="42" t="n">
        <v>657</v>
      </c>
      <c r="T87" s="40" t="n">
        <v>0</v>
      </c>
      <c r="U87" s="40" t="n">
        <v>3.2</v>
      </c>
      <c r="V87" s="42" t="n">
        <v>10</v>
      </c>
      <c r="W87" s="40" t="n">
        <v>5.4</v>
      </c>
      <c r="X87" s="41" t="n">
        <v>0.23</v>
      </c>
      <c r="Y87" s="41" t="n">
        <v>0.043</v>
      </c>
      <c r="Z87" s="41" t="n">
        <v>0.146</v>
      </c>
      <c r="AA87" s="40" t="n">
        <v>2.6</v>
      </c>
      <c r="AB87" s="42" t="n">
        <v>500</v>
      </c>
      <c r="AC87" s="40" t="n">
        <v>0</v>
      </c>
      <c r="AD87" s="40" t="n">
        <v>4.7</v>
      </c>
      <c r="AE87" s="42" t="n">
        <v>5</v>
      </c>
      <c r="AF87" s="40" t="n">
        <v>15.7</v>
      </c>
      <c r="AG87" s="41" t="n">
        <v>1.019</v>
      </c>
      <c r="AH87" s="41" t="n">
        <v>0.065</v>
      </c>
      <c r="AI87" s="40" t="n">
        <v>1.2</v>
      </c>
      <c r="AJ87" s="42" t="n">
        <v>6</v>
      </c>
      <c r="AK87" s="40" t="n">
        <v>344.3</v>
      </c>
      <c r="AL87" s="41" t="n">
        <v>6.046</v>
      </c>
      <c r="AM87" s="41" t="n">
        <v>0.018</v>
      </c>
      <c r="AN87" s="40" t="n">
        <v>110</v>
      </c>
      <c r="AO87" s="43"/>
      <c r="AP87" s="43"/>
      <c r="AQ87" s="43"/>
      <c r="AR87" s="43"/>
      <c r="AS87" s="42"/>
      <c r="AT87" s="42" t="n">
        <f aca="false">Table1[[#This Row],[Object_A_._head_time]]+Table1[[#This Row],[Object_B_._head_time]]</f>
        <v>11.7</v>
      </c>
      <c r="AU87" s="42" t="n">
        <f aca="false">Table1[[#This Row],[Object_B_._head_time]]-Table1[[#This Row],[Object_A_._head_time]]</f>
        <v>-0.9</v>
      </c>
      <c r="AV87" s="40" t="n">
        <f aca="false">Table1[[#This Row],[D1: Absolute discrimination measure (D1 = B2- A2)]]/Table1[[#This Row],[E2: total exploration time in second trial E2 ( E2 = A2 + B2)]]</f>
        <v>-0.0769230769230769</v>
      </c>
      <c r="AW87" s="43" t="n">
        <f aca="false">Table1[[#This Row],[Object_B_._head_time]]/Table1[[#This Row],[E2: total exploration time in second trial E2 ( E2 = A2 + B2)]]</f>
        <v>0.461538461538462</v>
      </c>
      <c r="AX87" s="44"/>
      <c r="AY87" s="38" t="s">
        <v>71</v>
      </c>
      <c r="AZ87" s="38" t="s">
        <v>65</v>
      </c>
      <c r="BA87" s="42" t="s">
        <v>66</v>
      </c>
      <c r="BB87" s="42" t="n">
        <v>61</v>
      </c>
      <c r="BC87" s="42" t="n">
        <v>2.03333333333333</v>
      </c>
      <c r="BD87" s="42" t="s">
        <v>81</v>
      </c>
      <c r="BE87" s="46" t="n">
        <v>4</v>
      </c>
      <c r="BF87" s="42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47"/>
    </row>
    <row r="88" s="48" customFormat="true" ht="12" hidden="false" customHeight="true" outlineLevel="0" collapsed="false">
      <c r="A88" s="38" t="n">
        <v>133</v>
      </c>
      <c r="B88" s="39" t="s">
        <v>174</v>
      </c>
      <c r="C88" s="38" t="s">
        <v>190</v>
      </c>
      <c r="D88" s="38" t="s">
        <v>60</v>
      </c>
      <c r="E88" s="38" t="s">
        <v>61</v>
      </c>
      <c r="F88" s="38" t="s">
        <v>242</v>
      </c>
      <c r="G88" s="38" t="s">
        <v>243</v>
      </c>
      <c r="H88" s="40" t="n">
        <v>360</v>
      </c>
      <c r="I88" s="41" t="n">
        <v>6.934</v>
      </c>
      <c r="J88" s="41" t="n">
        <v>0.019</v>
      </c>
      <c r="K88" s="41" t="n">
        <v>0.325</v>
      </c>
      <c r="L88" s="40" t="n">
        <v>138.2</v>
      </c>
      <c r="M88" s="42" t="n">
        <v>55</v>
      </c>
      <c r="N88" s="40" t="n">
        <v>99.9</v>
      </c>
      <c r="O88" s="41" t="n">
        <v>1.024</v>
      </c>
      <c r="P88" s="41" t="n">
        <v>0.01</v>
      </c>
      <c r="Q88" s="41" t="n">
        <v>0.324</v>
      </c>
      <c r="R88" s="40" t="n">
        <v>64.2</v>
      </c>
      <c r="S88" s="42" t="n">
        <v>6237</v>
      </c>
      <c r="T88" s="40" t="n">
        <v>37.4</v>
      </c>
      <c r="U88" s="40" t="n">
        <v>77.9</v>
      </c>
      <c r="V88" s="42" t="n">
        <v>5</v>
      </c>
      <c r="W88" s="40" t="n">
        <v>12.7</v>
      </c>
      <c r="X88" s="41" t="n">
        <v>0.485</v>
      </c>
      <c r="Y88" s="41" t="n">
        <v>0.038</v>
      </c>
      <c r="Z88" s="41" t="n">
        <v>0.222</v>
      </c>
      <c r="AA88" s="40" t="n">
        <v>6.4</v>
      </c>
      <c r="AB88" s="42" t="n">
        <v>1051</v>
      </c>
      <c r="AC88" s="40" t="n">
        <v>0</v>
      </c>
      <c r="AD88" s="40" t="n">
        <v>3.6</v>
      </c>
      <c r="AE88" s="42" t="n">
        <v>8</v>
      </c>
      <c r="AF88" s="40" t="n">
        <v>9</v>
      </c>
      <c r="AG88" s="41" t="n">
        <v>1.24</v>
      </c>
      <c r="AH88" s="41" t="n">
        <v>0.137</v>
      </c>
      <c r="AI88" s="40" t="n">
        <v>0</v>
      </c>
      <c r="AJ88" s="42" t="n">
        <v>9</v>
      </c>
      <c r="AK88" s="40" t="n">
        <v>351</v>
      </c>
      <c r="AL88" s="41" t="n">
        <v>5.694</v>
      </c>
      <c r="AM88" s="41" t="n">
        <v>0.016</v>
      </c>
      <c r="AN88" s="40" t="n">
        <v>138.2</v>
      </c>
      <c r="AO88" s="43"/>
      <c r="AP88" s="43"/>
      <c r="AQ88" s="43"/>
      <c r="AR88" s="43"/>
      <c r="AS88" s="42"/>
      <c r="AT88" s="42" t="n">
        <f aca="false">Table1[[#This Row],[Object_A_._head_time]]+Table1[[#This Row],[Object_B_._head_time]]</f>
        <v>112.6</v>
      </c>
      <c r="AU88" s="42" t="n">
        <f aca="false">Table1[[#This Row],[Object_B_._head_time]]-Table1[[#This Row],[Object_A_._head_time]]</f>
        <v>-87.2</v>
      </c>
      <c r="AV88" s="40" t="n">
        <f aca="false">Table1[[#This Row],[D1: Absolute discrimination measure (D1 = B2- A2)]]/Table1[[#This Row],[E2: total exploration time in second trial E2 ( E2 = A2 + B2)]]</f>
        <v>-0.774422735346359</v>
      </c>
      <c r="AW88" s="43" t="n">
        <f aca="false">Table1[[#This Row],[Object_B_._head_time]]/Table1[[#This Row],[E2: total exploration time in second trial E2 ( E2 = A2 + B2)]]</f>
        <v>0.112788632326821</v>
      </c>
      <c r="AX88" s="44"/>
      <c r="AY88" s="38" t="s">
        <v>71</v>
      </c>
      <c r="AZ88" s="38" t="s">
        <v>65</v>
      </c>
      <c r="BA88" s="42" t="s">
        <v>72</v>
      </c>
      <c r="BB88" s="42" t="n">
        <v>61</v>
      </c>
      <c r="BC88" s="42" t="n">
        <v>2.03333333333333</v>
      </c>
      <c r="BD88" s="42" t="s">
        <v>81</v>
      </c>
      <c r="BE88" s="46" t="n">
        <v>2</v>
      </c>
      <c r="BF88" s="42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47"/>
    </row>
    <row r="89" s="48" customFormat="true" ht="12" hidden="false" customHeight="true" outlineLevel="0" collapsed="false">
      <c r="A89" s="38" t="n">
        <v>134</v>
      </c>
      <c r="B89" s="39" t="s">
        <v>177</v>
      </c>
      <c r="C89" s="38" t="s">
        <v>190</v>
      </c>
      <c r="D89" s="38" t="s">
        <v>69</v>
      </c>
      <c r="E89" s="38" t="s">
        <v>61</v>
      </c>
      <c r="F89" s="38" t="s">
        <v>242</v>
      </c>
      <c r="G89" s="38" t="s">
        <v>244</v>
      </c>
      <c r="H89" s="40" t="n">
        <v>360</v>
      </c>
      <c r="I89" s="41" t="n">
        <v>4.475</v>
      </c>
      <c r="J89" s="41" t="n">
        <v>0.012</v>
      </c>
      <c r="K89" s="41" t="n">
        <v>0.244</v>
      </c>
      <c r="L89" s="40" t="n">
        <v>85.4</v>
      </c>
      <c r="M89" s="42" t="n">
        <v>6</v>
      </c>
      <c r="N89" s="40" t="n">
        <v>5.2</v>
      </c>
      <c r="O89" s="41" t="n">
        <v>0.259</v>
      </c>
      <c r="P89" s="41" t="n">
        <v>0.05</v>
      </c>
      <c r="Q89" s="41" t="n">
        <v>0.147</v>
      </c>
      <c r="R89" s="40" t="n">
        <v>2</v>
      </c>
      <c r="S89" s="42" t="n">
        <v>348</v>
      </c>
      <c r="T89" s="40" t="n">
        <v>0</v>
      </c>
      <c r="U89" s="40" t="n">
        <v>1.9</v>
      </c>
      <c r="V89" s="42" t="n">
        <v>3</v>
      </c>
      <c r="W89" s="40" t="n">
        <v>1.9</v>
      </c>
      <c r="X89" s="41" t="n">
        <v>0.121</v>
      </c>
      <c r="Y89" s="41" t="n">
        <v>0.065</v>
      </c>
      <c r="Z89" s="41" t="n">
        <v>0.09</v>
      </c>
      <c r="AA89" s="40" t="n">
        <v>1.1</v>
      </c>
      <c r="AB89" s="42" t="n">
        <v>147</v>
      </c>
      <c r="AC89" s="40" t="n">
        <v>0</v>
      </c>
      <c r="AD89" s="40" t="n">
        <v>1.4</v>
      </c>
      <c r="AE89" s="42" t="n">
        <v>1</v>
      </c>
      <c r="AF89" s="40" t="n">
        <v>4.5</v>
      </c>
      <c r="AG89" s="41" t="n">
        <v>0.325</v>
      </c>
      <c r="AH89" s="41" t="n">
        <v>0.072</v>
      </c>
      <c r="AI89" s="40" t="n">
        <v>0</v>
      </c>
      <c r="AJ89" s="42" t="n">
        <v>2</v>
      </c>
      <c r="AK89" s="40" t="n">
        <v>355.5</v>
      </c>
      <c r="AL89" s="41" t="n">
        <v>4.15</v>
      </c>
      <c r="AM89" s="41" t="n">
        <v>0.012</v>
      </c>
      <c r="AN89" s="40" t="n">
        <v>85.4</v>
      </c>
      <c r="AO89" s="43"/>
      <c r="AP89" s="43"/>
      <c r="AQ89" s="43"/>
      <c r="AR89" s="43"/>
      <c r="AS89" s="42"/>
      <c r="AT89" s="42" t="n">
        <f aca="false">Table1[[#This Row],[Object_A_._head_time]]+Table1[[#This Row],[Object_B_._head_time]]</f>
        <v>7.1</v>
      </c>
      <c r="AU89" s="42" t="n">
        <f aca="false">Table1[[#This Row],[Object_B_._head_time]]-Table1[[#This Row],[Object_A_._head_time]]</f>
        <v>-3.3</v>
      </c>
      <c r="AV89" s="40" t="n">
        <f aca="false">Table1[[#This Row],[D1: Absolute discrimination measure (D1 = B2- A2)]]/Table1[[#This Row],[E2: total exploration time in second trial E2 ( E2 = A2 + B2)]]</f>
        <v>-0.464788732394366</v>
      </c>
      <c r="AW89" s="43" t="n">
        <f aca="false">Table1[[#This Row],[Object_B_._head_time]]/Table1[[#This Row],[E2: total exploration time in second trial E2 ( E2 = A2 + B2)]]</f>
        <v>0.267605633802817</v>
      </c>
      <c r="AX89" s="44"/>
      <c r="AY89" s="38" t="s">
        <v>64</v>
      </c>
      <c r="AZ89" s="38" t="s">
        <v>65</v>
      </c>
      <c r="BA89" s="42" t="s">
        <v>72</v>
      </c>
      <c r="BB89" s="42" t="n">
        <v>60</v>
      </c>
      <c r="BC89" s="42" t="n">
        <v>2</v>
      </c>
      <c r="BD89" s="42" t="s">
        <v>67</v>
      </c>
      <c r="BE89" s="46" t="n">
        <v>1</v>
      </c>
      <c r="BF89" s="42" t="s">
        <v>179</v>
      </c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47"/>
    </row>
    <row r="90" s="48" customFormat="true" ht="12" hidden="false" customHeight="true" outlineLevel="0" collapsed="false">
      <c r="A90" s="38" t="n">
        <v>136</v>
      </c>
      <c r="B90" s="39" t="s">
        <v>180</v>
      </c>
      <c r="C90" s="38" t="s">
        <v>190</v>
      </c>
      <c r="D90" s="38" t="s">
        <v>74</v>
      </c>
      <c r="E90" s="38" t="s">
        <v>61</v>
      </c>
      <c r="F90" s="38" t="s">
        <v>242</v>
      </c>
      <c r="G90" s="38" t="s">
        <v>245</v>
      </c>
      <c r="H90" s="40" t="n">
        <v>360</v>
      </c>
      <c r="I90" s="41" t="n">
        <v>11.342</v>
      </c>
      <c r="J90" s="41" t="n">
        <v>0.032</v>
      </c>
      <c r="K90" s="41" t="n">
        <v>0.257</v>
      </c>
      <c r="L90" s="40" t="n">
        <v>46.1</v>
      </c>
      <c r="M90" s="42" t="n">
        <v>11</v>
      </c>
      <c r="N90" s="40" t="n">
        <v>15.5</v>
      </c>
      <c r="O90" s="41" t="n">
        <v>0.797</v>
      </c>
      <c r="P90" s="41" t="n">
        <v>0.051</v>
      </c>
      <c r="Q90" s="41" t="n">
        <v>0.202</v>
      </c>
      <c r="R90" s="40" t="n">
        <v>4.8</v>
      </c>
      <c r="S90" s="42" t="n">
        <v>1033</v>
      </c>
      <c r="T90" s="40" t="n">
        <v>0</v>
      </c>
      <c r="U90" s="40" t="n">
        <v>4.5</v>
      </c>
      <c r="V90" s="42" t="n">
        <v>18</v>
      </c>
      <c r="W90" s="40" t="n">
        <v>22.5</v>
      </c>
      <c r="X90" s="41" t="n">
        <v>1.021</v>
      </c>
      <c r="Y90" s="41" t="n">
        <v>0.045</v>
      </c>
      <c r="Z90" s="41" t="n">
        <v>0.205</v>
      </c>
      <c r="AA90" s="40" t="n">
        <v>7.1</v>
      </c>
      <c r="AB90" s="42" t="n">
        <v>1923</v>
      </c>
      <c r="AC90" s="40" t="n">
        <v>0</v>
      </c>
      <c r="AD90" s="40" t="n">
        <v>7.4</v>
      </c>
      <c r="AE90" s="42" t="n">
        <v>9</v>
      </c>
      <c r="AF90" s="40" t="n">
        <v>9.5</v>
      </c>
      <c r="AG90" s="41" t="n">
        <v>1.362</v>
      </c>
      <c r="AH90" s="41" t="n">
        <v>0.143</v>
      </c>
      <c r="AI90" s="40" t="n">
        <v>0</v>
      </c>
      <c r="AJ90" s="42" t="n">
        <v>10</v>
      </c>
      <c r="AK90" s="40" t="n">
        <v>350.5</v>
      </c>
      <c r="AL90" s="41" t="n">
        <v>9.98</v>
      </c>
      <c r="AM90" s="41" t="n">
        <v>0.028</v>
      </c>
      <c r="AN90" s="40" t="n">
        <v>46.1</v>
      </c>
      <c r="AO90" s="43"/>
      <c r="AP90" s="43"/>
      <c r="AQ90" s="43"/>
      <c r="AR90" s="43"/>
      <c r="AS90" s="42"/>
      <c r="AT90" s="42" t="n">
        <f aca="false">Table1[[#This Row],[Object_A_._head_time]]+Table1[[#This Row],[Object_B_._head_time]]</f>
        <v>38</v>
      </c>
      <c r="AU90" s="42" t="n">
        <f aca="false">Table1[[#This Row],[Object_B_._head_time]]-Table1[[#This Row],[Object_A_._head_time]]</f>
        <v>7</v>
      </c>
      <c r="AV90" s="40" t="n">
        <f aca="false">Table1[[#This Row],[D1: Absolute discrimination measure (D1 = B2- A2)]]/Table1[[#This Row],[E2: total exploration time in second trial E2 ( E2 = A2 + B2)]]</f>
        <v>0.184210526315789</v>
      </c>
      <c r="AW90" s="43" t="n">
        <f aca="false">Table1[[#This Row],[Object_B_._head_time]]/Table1[[#This Row],[E2: total exploration time in second trial E2 ( E2 = A2 + B2)]]</f>
        <v>0.592105263157895</v>
      </c>
      <c r="AX90" s="44"/>
      <c r="AY90" s="38" t="s">
        <v>71</v>
      </c>
      <c r="AZ90" s="38" t="s">
        <v>65</v>
      </c>
      <c r="BA90" s="42" t="s">
        <v>72</v>
      </c>
      <c r="BB90" s="42" t="n">
        <v>53</v>
      </c>
      <c r="BC90" s="42" t="n">
        <v>1.76666666666667</v>
      </c>
      <c r="BD90" s="42" t="s">
        <v>81</v>
      </c>
      <c r="BE90" s="46" t="n">
        <v>2</v>
      </c>
      <c r="BF90" s="42" t="s">
        <v>182</v>
      </c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47"/>
    </row>
    <row r="91" s="48" customFormat="true" ht="12" hidden="false" customHeight="true" outlineLevel="0" collapsed="false">
      <c r="A91" s="38" t="n">
        <v>135</v>
      </c>
      <c r="B91" s="39" t="s">
        <v>183</v>
      </c>
      <c r="C91" s="38" t="s">
        <v>190</v>
      </c>
      <c r="D91" s="38" t="s">
        <v>79</v>
      </c>
      <c r="E91" s="38" t="s">
        <v>61</v>
      </c>
      <c r="F91" s="38" t="s">
        <v>242</v>
      </c>
      <c r="G91" s="38" t="s">
        <v>246</v>
      </c>
      <c r="H91" s="40" t="n">
        <v>360</v>
      </c>
      <c r="I91" s="41" t="n">
        <v>21.859</v>
      </c>
      <c r="J91" s="41" t="n">
        <v>0.061</v>
      </c>
      <c r="K91" s="41" t="n">
        <v>0.366</v>
      </c>
      <c r="L91" s="40" t="n">
        <v>12.1</v>
      </c>
      <c r="M91" s="42" t="n">
        <v>20</v>
      </c>
      <c r="N91" s="40" t="n">
        <v>14.3</v>
      </c>
      <c r="O91" s="41" t="n">
        <v>1.168</v>
      </c>
      <c r="P91" s="41" t="n">
        <v>0.082</v>
      </c>
      <c r="Q91" s="41" t="n">
        <v>0.313</v>
      </c>
      <c r="R91" s="40" t="n">
        <v>5.9</v>
      </c>
      <c r="S91" s="42" t="n">
        <v>1074</v>
      </c>
      <c r="T91" s="40" t="n">
        <v>0</v>
      </c>
      <c r="U91" s="40" t="n">
        <v>9.1</v>
      </c>
      <c r="V91" s="42" t="n">
        <v>19</v>
      </c>
      <c r="W91" s="40" t="n">
        <v>17</v>
      </c>
      <c r="X91" s="41" t="n">
        <v>1.004</v>
      </c>
      <c r="Y91" s="41" t="n">
        <v>0.059</v>
      </c>
      <c r="Z91" s="41" t="n">
        <v>0.256</v>
      </c>
      <c r="AA91" s="40" t="n">
        <v>9</v>
      </c>
      <c r="AB91" s="42" t="n">
        <v>1435</v>
      </c>
      <c r="AC91" s="40" t="n">
        <v>0</v>
      </c>
      <c r="AD91" s="40" t="n">
        <v>9.8</v>
      </c>
      <c r="AE91" s="42" t="n">
        <v>11</v>
      </c>
      <c r="AF91" s="40" t="n">
        <v>10.4</v>
      </c>
      <c r="AG91" s="41" t="n">
        <v>1.241</v>
      </c>
      <c r="AH91" s="41" t="n">
        <v>0.119</v>
      </c>
      <c r="AI91" s="40" t="n">
        <v>0</v>
      </c>
      <c r="AJ91" s="42" t="n">
        <v>12</v>
      </c>
      <c r="AK91" s="40" t="n">
        <v>349.6</v>
      </c>
      <c r="AL91" s="41" t="n">
        <v>20.619</v>
      </c>
      <c r="AM91" s="41" t="n">
        <v>0.059</v>
      </c>
      <c r="AN91" s="40" t="n">
        <v>12.1</v>
      </c>
      <c r="AO91" s="43"/>
      <c r="AP91" s="43"/>
      <c r="AQ91" s="43"/>
      <c r="AR91" s="43"/>
      <c r="AS91" s="42"/>
      <c r="AT91" s="42" t="n">
        <f aca="false">Table1[[#This Row],[Object_A_._head_time]]+Table1[[#This Row],[Object_B_._head_time]]</f>
        <v>31.3</v>
      </c>
      <c r="AU91" s="42" t="n">
        <f aca="false">Table1[[#This Row],[Object_B_._head_time]]-Table1[[#This Row],[Object_A_._head_time]]</f>
        <v>2.7</v>
      </c>
      <c r="AV91" s="40" t="n">
        <f aca="false">Table1[[#This Row],[D1: Absolute discrimination measure (D1 = B2- A2)]]/Table1[[#This Row],[E2: total exploration time in second trial E2 ( E2 = A2 + B2)]]</f>
        <v>0.0862619808306709</v>
      </c>
      <c r="AW91" s="43" t="n">
        <f aca="false">Table1[[#This Row],[Object_B_._head_time]]/Table1[[#This Row],[E2: total exploration time in second trial E2 ( E2 = A2 + B2)]]</f>
        <v>0.543130990415335</v>
      </c>
      <c r="AX91" s="44"/>
      <c r="AY91" s="38" t="s">
        <v>71</v>
      </c>
      <c r="AZ91" s="38" t="s">
        <v>76</v>
      </c>
      <c r="BA91" s="42" t="s">
        <v>72</v>
      </c>
      <c r="BB91" s="42" t="n">
        <v>42</v>
      </c>
      <c r="BC91" s="42" t="n">
        <v>1.4</v>
      </c>
      <c r="BD91" s="42" t="s">
        <v>67</v>
      </c>
      <c r="BE91" s="46" t="n">
        <v>5</v>
      </c>
      <c r="BF91" s="42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47"/>
    </row>
    <row r="92" s="48" customFormat="true" ht="12" hidden="false" customHeight="true" outlineLevel="0" collapsed="false">
      <c r="A92" s="38" t="n">
        <v>138</v>
      </c>
      <c r="B92" s="39" t="s">
        <v>185</v>
      </c>
      <c r="C92" s="38" t="s">
        <v>190</v>
      </c>
      <c r="D92" s="38" t="s">
        <v>60</v>
      </c>
      <c r="E92" s="38" t="s">
        <v>61</v>
      </c>
      <c r="F92" s="38" t="s">
        <v>247</v>
      </c>
      <c r="G92" s="38" t="s">
        <v>248</v>
      </c>
      <c r="H92" s="40" t="n">
        <v>360</v>
      </c>
      <c r="I92" s="41" t="n">
        <v>15.161</v>
      </c>
      <c r="J92" s="41" t="n">
        <v>0.042</v>
      </c>
      <c r="K92" s="41" t="n">
        <v>0.755</v>
      </c>
      <c r="L92" s="40" t="n">
        <v>18.9</v>
      </c>
      <c r="M92" s="42" t="n">
        <v>12</v>
      </c>
      <c r="N92" s="40" t="n">
        <v>11.3</v>
      </c>
      <c r="O92" s="41" t="n">
        <v>0.285</v>
      </c>
      <c r="P92" s="41" t="n">
        <v>0.025</v>
      </c>
      <c r="Q92" s="41" t="n">
        <v>0.168</v>
      </c>
      <c r="R92" s="40" t="n">
        <v>6.2</v>
      </c>
      <c r="S92" s="42" t="n">
        <v>596</v>
      </c>
      <c r="T92" s="40" t="n">
        <v>0</v>
      </c>
      <c r="U92" s="40" t="n">
        <v>7.5</v>
      </c>
      <c r="V92" s="42" t="n">
        <v>15</v>
      </c>
      <c r="W92" s="40" t="n">
        <v>16.2</v>
      </c>
      <c r="X92" s="41" t="n">
        <v>0.664</v>
      </c>
      <c r="Y92" s="41" t="n">
        <v>0.041</v>
      </c>
      <c r="Z92" s="41" t="n">
        <v>0.182</v>
      </c>
      <c r="AA92" s="40" t="n">
        <v>10.8</v>
      </c>
      <c r="AB92" s="42" t="n">
        <v>1161</v>
      </c>
      <c r="AC92" s="40" t="n">
        <v>0</v>
      </c>
      <c r="AD92" s="40" t="n">
        <v>8.8</v>
      </c>
      <c r="AE92" s="42" t="n">
        <v>5</v>
      </c>
      <c r="AF92" s="40" t="n">
        <v>8.4</v>
      </c>
      <c r="AG92" s="41" t="n">
        <v>0.919</v>
      </c>
      <c r="AH92" s="41" t="n">
        <v>0.11</v>
      </c>
      <c r="AI92" s="40" t="n">
        <v>0</v>
      </c>
      <c r="AJ92" s="42" t="n">
        <v>6</v>
      </c>
      <c r="AK92" s="40" t="n">
        <v>351.6</v>
      </c>
      <c r="AL92" s="41" t="n">
        <v>14.242</v>
      </c>
      <c r="AM92" s="41" t="n">
        <v>0.041</v>
      </c>
      <c r="AN92" s="40" t="n">
        <v>18.9</v>
      </c>
      <c r="AO92" s="43"/>
      <c r="AP92" s="43"/>
      <c r="AQ92" s="43"/>
      <c r="AR92" s="43"/>
      <c r="AS92" s="42"/>
      <c r="AT92" s="42" t="n">
        <f aca="false">Table1[[#This Row],[Object_A_._head_time]]+Table1[[#This Row],[Object_B_._head_time]]</f>
        <v>27.5</v>
      </c>
      <c r="AU92" s="42" t="n">
        <f aca="false">Table1[[#This Row],[Object_B_._head_time]]-Table1[[#This Row],[Object_A_._head_time]]</f>
        <v>4.9</v>
      </c>
      <c r="AV92" s="40" t="n">
        <f aca="false">Table1[[#This Row],[D1: Absolute discrimination measure (D1 = B2- A2)]]/Table1[[#This Row],[E2: total exploration time in second trial E2 ( E2 = A2 + B2)]]</f>
        <v>0.178181818181818</v>
      </c>
      <c r="AW92" s="43" t="n">
        <f aca="false">Table1[[#This Row],[Object_B_._head_time]]/Table1[[#This Row],[E2: total exploration time in second trial E2 ( E2 = A2 + B2)]]</f>
        <v>0.589090909090909</v>
      </c>
      <c r="AX92" s="44"/>
      <c r="AY92" s="38" t="s">
        <v>71</v>
      </c>
      <c r="AZ92" s="38" t="s">
        <v>76</v>
      </c>
      <c r="BA92" s="42" t="s">
        <v>66</v>
      </c>
      <c r="BB92" s="42" t="n">
        <v>42</v>
      </c>
      <c r="BC92" s="42" t="n">
        <v>1.4</v>
      </c>
      <c r="BD92" s="42" t="s">
        <v>81</v>
      </c>
      <c r="BE92" s="46" t="n">
        <v>8</v>
      </c>
      <c r="BF92" s="42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47"/>
    </row>
    <row r="93" s="48" customFormat="true" ht="12" hidden="false" customHeight="true" outlineLevel="0" collapsed="false">
      <c r="A93" s="38" t="n">
        <v>137</v>
      </c>
      <c r="B93" s="39" t="s">
        <v>188</v>
      </c>
      <c r="C93" s="38" t="s">
        <v>190</v>
      </c>
      <c r="D93" s="38" t="s">
        <v>69</v>
      </c>
      <c r="E93" s="38" t="s">
        <v>61</v>
      </c>
      <c r="F93" s="38" t="s">
        <v>247</v>
      </c>
      <c r="G93" s="38" t="s">
        <v>249</v>
      </c>
      <c r="H93" s="40" t="n">
        <v>360</v>
      </c>
      <c r="I93" s="41" t="n">
        <v>15.92</v>
      </c>
      <c r="J93" s="41" t="n">
        <v>0.044</v>
      </c>
      <c r="K93" s="41" t="n">
        <v>0.25</v>
      </c>
      <c r="L93" s="40" t="n">
        <v>23.1</v>
      </c>
      <c r="M93" s="42" t="n">
        <v>46</v>
      </c>
      <c r="N93" s="40" t="n">
        <v>51.2</v>
      </c>
      <c r="O93" s="41" t="n">
        <v>1.479</v>
      </c>
      <c r="P93" s="41" t="n">
        <v>0.029</v>
      </c>
      <c r="Q93" s="41" t="n">
        <v>0.224</v>
      </c>
      <c r="R93" s="40" t="n">
        <v>9.3</v>
      </c>
      <c r="S93" s="42" t="n">
        <v>4045</v>
      </c>
      <c r="T93" s="40" t="n">
        <v>10.5</v>
      </c>
      <c r="U93" s="40" t="n">
        <v>24.3</v>
      </c>
      <c r="V93" s="42" t="n">
        <v>28</v>
      </c>
      <c r="W93" s="40" t="n">
        <v>33.4</v>
      </c>
      <c r="X93" s="41" t="n">
        <v>1.81</v>
      </c>
      <c r="Y93" s="41" t="n">
        <v>0.054</v>
      </c>
      <c r="Z93" s="41" t="n">
        <v>0.248</v>
      </c>
      <c r="AA93" s="40" t="n">
        <v>6.3</v>
      </c>
      <c r="AB93" s="42" t="n">
        <v>2684</v>
      </c>
      <c r="AC93" s="40" t="n">
        <v>0</v>
      </c>
      <c r="AD93" s="40" t="n">
        <v>9.1</v>
      </c>
      <c r="AE93" s="42" t="n">
        <v>13</v>
      </c>
      <c r="AF93" s="40" t="n">
        <v>15.3</v>
      </c>
      <c r="AG93" s="41" t="n">
        <v>1.68</v>
      </c>
      <c r="AH93" s="41" t="n">
        <v>0.11</v>
      </c>
      <c r="AI93" s="40" t="n">
        <v>0</v>
      </c>
      <c r="AJ93" s="42" t="n">
        <v>14</v>
      </c>
      <c r="AK93" s="40" t="n">
        <v>344.7</v>
      </c>
      <c r="AL93" s="41" t="n">
        <v>14.24</v>
      </c>
      <c r="AM93" s="41" t="n">
        <v>0.041</v>
      </c>
      <c r="AN93" s="40" t="n">
        <v>23.1</v>
      </c>
      <c r="AO93" s="43"/>
      <c r="AP93" s="43"/>
      <c r="AQ93" s="43"/>
      <c r="AR93" s="43"/>
      <c r="AS93" s="42"/>
      <c r="AT93" s="42" t="n">
        <f aca="false">Table1[[#This Row],[Object_A_._head_time]]+Table1[[#This Row],[Object_B_._head_time]]</f>
        <v>84.6</v>
      </c>
      <c r="AU93" s="42" t="n">
        <f aca="false">Table1[[#This Row],[Object_B_._head_time]]-Table1[[#This Row],[Object_A_._head_time]]</f>
        <v>-17.8</v>
      </c>
      <c r="AV93" s="40" t="n">
        <f aca="false">Table1[[#This Row],[D1: Absolute discrimination measure (D1 = B2- A2)]]/Table1[[#This Row],[E2: total exploration time in second trial E2 ( E2 = A2 + B2)]]</f>
        <v>-0.210401891252955</v>
      </c>
      <c r="AW93" s="43" t="n">
        <f aca="false">Table1[[#This Row],[Object_B_._head_time]]/Table1[[#This Row],[E2: total exploration time in second trial E2 ( E2 = A2 + B2)]]</f>
        <v>0.394799054373522</v>
      </c>
      <c r="AX93" s="44"/>
      <c r="AY93" s="45" t="s">
        <v>71</v>
      </c>
      <c r="AZ93" s="45" t="s">
        <v>76</v>
      </c>
      <c r="BA93" s="42" t="s">
        <v>66</v>
      </c>
      <c r="BB93" s="42" t="n">
        <v>42</v>
      </c>
      <c r="BC93" s="40" t="n">
        <v>1.4</v>
      </c>
      <c r="BD93" s="42" t="s">
        <v>67</v>
      </c>
      <c r="BE93" s="46" t="n">
        <v>7</v>
      </c>
      <c r="BF93" s="42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47"/>
    </row>
    <row r="94" customFormat="false" ht="12" hidden="false" customHeight="true" outlineLevel="0" collapsed="false">
      <c r="A94" s="12" t="n">
        <v>2</v>
      </c>
      <c r="B94" s="60" t="s">
        <v>58</v>
      </c>
      <c r="C94" s="12" t="s">
        <v>250</v>
      </c>
      <c r="D94" s="12" t="s">
        <v>60</v>
      </c>
      <c r="E94" s="12" t="s">
        <v>251</v>
      </c>
      <c r="F94" s="12" t="s">
        <v>252</v>
      </c>
      <c r="G94" s="12" t="s">
        <v>253</v>
      </c>
      <c r="H94" s="61" t="n">
        <v>300</v>
      </c>
      <c r="I94" s="62" t="n">
        <v>10.212</v>
      </c>
      <c r="J94" s="62" t="n">
        <v>0.034</v>
      </c>
      <c r="K94" s="62" t="n">
        <v>0.323</v>
      </c>
      <c r="L94" s="61" t="n">
        <v>35.9</v>
      </c>
      <c r="M94" s="63" t="n">
        <v>17</v>
      </c>
      <c r="N94" s="61" t="n">
        <v>9.9</v>
      </c>
      <c r="O94" s="62" t="n">
        <v>0.851</v>
      </c>
      <c r="P94" s="62" t="n">
        <v>0.086</v>
      </c>
      <c r="Q94" s="62" t="n">
        <v>0.284</v>
      </c>
      <c r="R94" s="61" t="n">
        <v>1.8</v>
      </c>
      <c r="S94" s="63" t="n">
        <v>724</v>
      </c>
      <c r="T94" s="61" t="n">
        <v>0</v>
      </c>
      <c r="U94" s="61" t="n">
        <v>1.7</v>
      </c>
      <c r="V94" s="63" t="n">
        <v>12</v>
      </c>
      <c r="W94" s="61" t="n">
        <v>9.4</v>
      </c>
      <c r="X94" s="62" t="n">
        <v>0.821</v>
      </c>
      <c r="Y94" s="62" t="n">
        <v>0.088</v>
      </c>
      <c r="Z94" s="62" t="n">
        <v>0.227</v>
      </c>
      <c r="AA94" s="61" t="n">
        <v>0.9</v>
      </c>
      <c r="AB94" s="63" t="n">
        <v>508</v>
      </c>
      <c r="AC94" s="61" t="n">
        <v>0</v>
      </c>
      <c r="AD94" s="61" t="n">
        <v>4.1</v>
      </c>
      <c r="AE94" s="63" t="n">
        <v>7</v>
      </c>
      <c r="AF94" s="61" t="n">
        <v>7.3</v>
      </c>
      <c r="AG94" s="62" t="n">
        <v>1.19</v>
      </c>
      <c r="AH94" s="62" t="n">
        <v>0.162</v>
      </c>
      <c r="AI94" s="61" t="n">
        <v>0</v>
      </c>
      <c r="AJ94" s="63" t="n">
        <v>8</v>
      </c>
      <c r="AK94" s="61" t="n">
        <v>292.7</v>
      </c>
      <c r="AL94" s="62" t="n">
        <v>9.022</v>
      </c>
      <c r="AM94" s="62" t="n">
        <v>0.031</v>
      </c>
      <c r="AN94" s="61" t="n">
        <v>35.9</v>
      </c>
      <c r="AO94" s="64" t="n">
        <f aca="false">Table1[[#This Row],[Inside_._time]]/Table1[[#This Row],[Duration]]</f>
        <v>0.0243333333333333</v>
      </c>
      <c r="AP94" s="64" t="n">
        <f aca="false">Table1[[#This Row],[Outside_._time]]/Table1[[#This Row],[Duration]]</f>
        <v>0.975666666666667</v>
      </c>
      <c r="AQ94" s="64" t="n">
        <f aca="false">Table1[[#This Row],[Inside_._distance]]/Table1[[#This Row],[Distance]]</f>
        <v>0.116529573051312</v>
      </c>
      <c r="AR94" s="64" t="n">
        <f aca="false">Table1[[#This Row],[Outside_._distance]]/Table1[[#This Row],[Distance]]</f>
        <v>0.883470426948688</v>
      </c>
      <c r="AS94" s="63"/>
      <c r="AT94" s="65"/>
      <c r="AU94" s="65"/>
      <c r="AV94" s="66"/>
      <c r="AW94" s="65"/>
      <c r="AX94" s="65"/>
      <c r="AY94" s="67" t="s">
        <v>64</v>
      </c>
      <c r="AZ94" s="67" t="s">
        <v>65</v>
      </c>
      <c r="BA94" s="63" t="s">
        <v>66</v>
      </c>
      <c r="BB94" s="63" t="n">
        <v>99</v>
      </c>
      <c r="BC94" s="61" t="n">
        <v>3.3</v>
      </c>
      <c r="BD94" s="63" t="s">
        <v>67</v>
      </c>
      <c r="BE94" s="68" t="n">
        <v>3</v>
      </c>
      <c r="BF94" s="6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</row>
    <row r="95" customFormat="false" ht="12" hidden="false" customHeight="true" outlineLevel="0" collapsed="false">
      <c r="A95" s="12" t="n">
        <v>1</v>
      </c>
      <c r="B95" s="60" t="s">
        <v>68</v>
      </c>
      <c r="C95" s="12" t="s">
        <v>250</v>
      </c>
      <c r="D95" s="12" t="s">
        <v>69</v>
      </c>
      <c r="E95" s="12" t="s">
        <v>251</v>
      </c>
      <c r="F95" s="12" t="s">
        <v>252</v>
      </c>
      <c r="G95" s="12" t="s">
        <v>254</v>
      </c>
      <c r="H95" s="61" t="n">
        <v>300</v>
      </c>
      <c r="I95" s="62" t="n">
        <v>10.921</v>
      </c>
      <c r="J95" s="62" t="n">
        <v>0.036</v>
      </c>
      <c r="K95" s="62" t="n">
        <v>0.243</v>
      </c>
      <c r="L95" s="61" t="n">
        <v>11.9</v>
      </c>
      <c r="M95" s="63" t="n">
        <v>20</v>
      </c>
      <c r="N95" s="61" t="n">
        <v>53.4</v>
      </c>
      <c r="O95" s="62" t="n">
        <v>1.152</v>
      </c>
      <c r="P95" s="62" t="n">
        <v>0.022</v>
      </c>
      <c r="Q95" s="62" t="n">
        <v>0.216</v>
      </c>
      <c r="R95" s="61" t="n">
        <v>7.9</v>
      </c>
      <c r="S95" s="63" t="n">
        <v>3572</v>
      </c>
      <c r="T95" s="61" t="n">
        <v>3.7</v>
      </c>
      <c r="U95" s="61" t="n">
        <v>13.5</v>
      </c>
      <c r="V95" s="63" t="n">
        <v>28</v>
      </c>
      <c r="W95" s="61" t="n">
        <v>31.2</v>
      </c>
      <c r="X95" s="62" t="n">
        <v>1.451</v>
      </c>
      <c r="Y95" s="62" t="n">
        <v>0.046</v>
      </c>
      <c r="Z95" s="62" t="n">
        <v>0.213</v>
      </c>
      <c r="AA95" s="61" t="n">
        <v>7.3</v>
      </c>
      <c r="AB95" s="63" t="n">
        <v>2497</v>
      </c>
      <c r="AC95" s="61" t="n">
        <v>0</v>
      </c>
      <c r="AD95" s="61" t="n">
        <v>9.2</v>
      </c>
      <c r="AE95" s="63" t="n">
        <v>26</v>
      </c>
      <c r="AF95" s="61" t="n">
        <v>48.9</v>
      </c>
      <c r="AG95" s="62" t="n">
        <v>3.425</v>
      </c>
      <c r="AH95" s="62" t="n">
        <v>0.07</v>
      </c>
      <c r="AI95" s="61" t="n">
        <v>0</v>
      </c>
      <c r="AJ95" s="63" t="n">
        <v>27</v>
      </c>
      <c r="AK95" s="61" t="n">
        <v>251.1</v>
      </c>
      <c r="AL95" s="62" t="n">
        <v>7.497</v>
      </c>
      <c r="AM95" s="62" t="n">
        <v>0.03</v>
      </c>
      <c r="AN95" s="61" t="n">
        <v>11.9</v>
      </c>
      <c r="AO95" s="64" t="n">
        <f aca="false">Table1[[#This Row],[Inside_._time]]/Table1[[#This Row],[Duration]]</f>
        <v>0.163</v>
      </c>
      <c r="AP95" s="64" t="n">
        <f aca="false">Table1[[#This Row],[Outside_._time]]/Table1[[#This Row],[Duration]]</f>
        <v>0.837</v>
      </c>
      <c r="AQ95" s="64" t="n">
        <f aca="false">Table1[[#This Row],[Inside_._distance]]/Table1[[#This Row],[Distance]]</f>
        <v>0.313615969233587</v>
      </c>
      <c r="AR95" s="64" t="n">
        <f aca="false">Table1[[#This Row],[Outside_._distance]]/Table1[[#This Row],[Distance]]</f>
        <v>0.686475597472759</v>
      </c>
      <c r="AS95" s="63"/>
      <c r="AT95" s="65"/>
      <c r="AU95" s="65"/>
      <c r="AV95" s="66"/>
      <c r="AW95" s="65"/>
      <c r="AX95" s="65"/>
      <c r="AY95" s="67" t="s">
        <v>71</v>
      </c>
      <c r="AZ95" s="67" t="s">
        <v>65</v>
      </c>
      <c r="BA95" s="63" t="s">
        <v>72</v>
      </c>
      <c r="BB95" s="63" t="n">
        <v>99</v>
      </c>
      <c r="BC95" s="61" t="n">
        <v>3.3</v>
      </c>
      <c r="BD95" s="63" t="s">
        <v>67</v>
      </c>
      <c r="BE95" s="68" t="n">
        <v>1</v>
      </c>
      <c r="BF95" s="6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</row>
    <row r="96" customFormat="false" ht="12" hidden="false" customHeight="true" outlineLevel="0" collapsed="false">
      <c r="A96" s="12" t="n">
        <v>4</v>
      </c>
      <c r="B96" s="60" t="s">
        <v>73</v>
      </c>
      <c r="C96" s="12" t="s">
        <v>250</v>
      </c>
      <c r="D96" s="12" t="s">
        <v>74</v>
      </c>
      <c r="E96" s="12" t="s">
        <v>251</v>
      </c>
      <c r="F96" s="12" t="s">
        <v>252</v>
      </c>
      <c r="G96" s="12" t="s">
        <v>255</v>
      </c>
      <c r="H96" s="61" t="n">
        <v>300</v>
      </c>
      <c r="I96" s="62" t="n">
        <v>7.487</v>
      </c>
      <c r="J96" s="62" t="n">
        <v>0.025</v>
      </c>
      <c r="K96" s="62" t="n">
        <v>0.248</v>
      </c>
      <c r="L96" s="61" t="n">
        <v>95.7</v>
      </c>
      <c r="M96" s="63" t="n">
        <v>21</v>
      </c>
      <c r="N96" s="61" t="n">
        <v>40.3</v>
      </c>
      <c r="O96" s="62" t="n">
        <v>0.763</v>
      </c>
      <c r="P96" s="62" t="n">
        <v>0.019</v>
      </c>
      <c r="Q96" s="62" t="n">
        <v>0.202</v>
      </c>
      <c r="R96" s="61" t="n">
        <v>3.2</v>
      </c>
      <c r="S96" s="63" t="n">
        <v>2133</v>
      </c>
      <c r="T96" s="61" t="n">
        <v>12.7</v>
      </c>
      <c r="U96" s="61" t="n">
        <v>18.8</v>
      </c>
      <c r="V96" s="63" t="n">
        <v>2</v>
      </c>
      <c r="W96" s="61" t="n">
        <v>6.6</v>
      </c>
      <c r="X96" s="62" t="n">
        <v>0.529</v>
      </c>
      <c r="Y96" s="62" t="n">
        <v>0.08</v>
      </c>
      <c r="Z96" s="62" t="n">
        <v>0.201</v>
      </c>
      <c r="AA96" s="61" t="n">
        <v>0</v>
      </c>
      <c r="AB96" s="63" t="n">
        <v>175</v>
      </c>
      <c r="AC96" s="61" t="n">
        <v>0</v>
      </c>
      <c r="AD96" s="61"/>
      <c r="AE96" s="63" t="n">
        <v>9</v>
      </c>
      <c r="AF96" s="61" t="n">
        <v>26.5</v>
      </c>
      <c r="AG96" s="62" t="n">
        <v>1.234</v>
      </c>
      <c r="AH96" s="62" t="n">
        <v>0.047</v>
      </c>
      <c r="AI96" s="61" t="n">
        <v>6.7</v>
      </c>
      <c r="AJ96" s="63" t="n">
        <v>10</v>
      </c>
      <c r="AK96" s="61" t="n">
        <v>273.5</v>
      </c>
      <c r="AL96" s="62" t="n">
        <v>6.254</v>
      </c>
      <c r="AM96" s="62" t="n">
        <v>0.023</v>
      </c>
      <c r="AN96" s="61" t="n">
        <v>89.1</v>
      </c>
      <c r="AO96" s="64" t="n">
        <f aca="false">Table1[[#This Row],[Inside_._time]]/Table1[[#This Row],[Duration]]</f>
        <v>0.0883333333333333</v>
      </c>
      <c r="AP96" s="64" t="n">
        <f aca="false">Table1[[#This Row],[Outside_._time]]/Table1[[#This Row],[Duration]]</f>
        <v>0.911666666666667</v>
      </c>
      <c r="AQ96" s="64" t="n">
        <f aca="false">Table1[[#This Row],[Inside_._distance]]/Table1[[#This Row],[Distance]]</f>
        <v>0.164819019634032</v>
      </c>
      <c r="AR96" s="64" t="n">
        <f aca="false">Table1[[#This Row],[Outside_._distance]]/Table1[[#This Row],[Distance]]</f>
        <v>0.8353145452117</v>
      </c>
      <c r="AS96" s="63"/>
      <c r="AT96" s="65"/>
      <c r="AU96" s="65"/>
      <c r="AV96" s="66"/>
      <c r="AW96" s="65"/>
      <c r="AX96" s="65"/>
      <c r="AY96" s="67" t="s">
        <v>64</v>
      </c>
      <c r="AZ96" s="67" t="s">
        <v>76</v>
      </c>
      <c r="BA96" s="63" t="s">
        <v>72</v>
      </c>
      <c r="BB96" s="63" t="n">
        <v>94</v>
      </c>
      <c r="BC96" s="61" t="n">
        <v>3.13333333333333</v>
      </c>
      <c r="BD96" s="63" t="s">
        <v>67</v>
      </c>
      <c r="BE96" s="68" t="n">
        <v>5</v>
      </c>
      <c r="BF96" s="63" t="s">
        <v>77</v>
      </c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</row>
    <row r="97" customFormat="false" ht="12" hidden="false" customHeight="true" outlineLevel="0" collapsed="false">
      <c r="A97" s="12" t="n">
        <v>3</v>
      </c>
      <c r="B97" s="60" t="s">
        <v>78</v>
      </c>
      <c r="C97" s="12" t="s">
        <v>250</v>
      </c>
      <c r="D97" s="12" t="s">
        <v>79</v>
      </c>
      <c r="E97" s="12" t="s">
        <v>251</v>
      </c>
      <c r="F97" s="12" t="s">
        <v>252</v>
      </c>
      <c r="G97" s="12" t="s">
        <v>256</v>
      </c>
      <c r="H97" s="61" t="n">
        <v>300</v>
      </c>
      <c r="I97" s="62" t="n">
        <v>20.006</v>
      </c>
      <c r="J97" s="62" t="n">
        <v>0.067</v>
      </c>
      <c r="K97" s="62" t="n">
        <v>0.29</v>
      </c>
      <c r="L97" s="61" t="n">
        <v>12</v>
      </c>
      <c r="M97" s="63" t="n">
        <v>19</v>
      </c>
      <c r="N97" s="61" t="n">
        <v>15.5</v>
      </c>
      <c r="O97" s="62" t="n">
        <v>1.338</v>
      </c>
      <c r="P97" s="62" t="n">
        <v>0.087</v>
      </c>
      <c r="Q97" s="62" t="n">
        <v>0.251</v>
      </c>
      <c r="R97" s="61" t="n">
        <v>4.2</v>
      </c>
      <c r="S97" s="63" t="n">
        <v>1571</v>
      </c>
      <c r="T97" s="61" t="n">
        <v>0</v>
      </c>
      <c r="U97" s="61" t="n">
        <v>3.7</v>
      </c>
      <c r="V97" s="63" t="n">
        <v>26</v>
      </c>
      <c r="W97" s="61" t="n">
        <v>30.2</v>
      </c>
      <c r="X97" s="62" t="n">
        <v>2.138</v>
      </c>
      <c r="Y97" s="62" t="n">
        <v>0.071</v>
      </c>
      <c r="Z97" s="62" t="n">
        <v>0.251</v>
      </c>
      <c r="AA97" s="61" t="n">
        <v>4.9</v>
      </c>
      <c r="AB97" s="63" t="n">
        <v>2106</v>
      </c>
      <c r="AC97" s="61" t="n">
        <v>2.7</v>
      </c>
      <c r="AD97" s="61" t="n">
        <v>6.1</v>
      </c>
      <c r="AE97" s="63" t="n">
        <v>28</v>
      </c>
      <c r="AF97" s="61" t="n">
        <v>33.3</v>
      </c>
      <c r="AG97" s="62" t="n">
        <v>3.739</v>
      </c>
      <c r="AH97" s="62" t="n">
        <v>0.112</v>
      </c>
      <c r="AI97" s="61" t="n">
        <v>0</v>
      </c>
      <c r="AJ97" s="63" t="n">
        <v>29</v>
      </c>
      <c r="AK97" s="61" t="n">
        <v>266.7</v>
      </c>
      <c r="AL97" s="62" t="n">
        <v>16.267</v>
      </c>
      <c r="AM97" s="62" t="n">
        <v>0.061</v>
      </c>
      <c r="AN97" s="61" t="n">
        <v>12</v>
      </c>
      <c r="AO97" s="64" t="n">
        <f aca="false">Table1[[#This Row],[Inside_._time]]/Table1[[#This Row],[Duration]]</f>
        <v>0.111</v>
      </c>
      <c r="AP97" s="64" t="n">
        <f aca="false">Table1[[#This Row],[Outside_._time]]/Table1[[#This Row],[Duration]]</f>
        <v>0.889</v>
      </c>
      <c r="AQ97" s="64" t="n">
        <f aca="false">Table1[[#This Row],[Inside_._distance]]/Table1[[#This Row],[Distance]]</f>
        <v>0.186893931820454</v>
      </c>
      <c r="AR97" s="64" t="n">
        <f aca="false">Table1[[#This Row],[Outside_._distance]]/Table1[[#This Row],[Distance]]</f>
        <v>0.813106068179546</v>
      </c>
      <c r="AS97" s="63"/>
      <c r="AT97" s="65"/>
      <c r="AU97" s="65"/>
      <c r="AV97" s="66"/>
      <c r="AW97" s="65"/>
      <c r="AX97" s="65"/>
      <c r="AY97" s="67" t="s">
        <v>64</v>
      </c>
      <c r="AZ97" s="67" t="s">
        <v>76</v>
      </c>
      <c r="BA97" s="63" t="s">
        <v>66</v>
      </c>
      <c r="BB97" s="63" t="n">
        <v>94</v>
      </c>
      <c r="BC97" s="61" t="n">
        <v>3.13333333333333</v>
      </c>
      <c r="BD97" s="63" t="s">
        <v>81</v>
      </c>
      <c r="BE97" s="68" t="n">
        <v>8</v>
      </c>
      <c r="BF97" s="6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</row>
    <row r="98" customFormat="false" ht="12" hidden="false" customHeight="true" outlineLevel="0" collapsed="false">
      <c r="A98" s="12" t="n">
        <v>5</v>
      </c>
      <c r="B98" s="60" t="s">
        <v>82</v>
      </c>
      <c r="C98" s="12" t="s">
        <v>250</v>
      </c>
      <c r="D98" s="12" t="s">
        <v>60</v>
      </c>
      <c r="E98" s="12" t="s">
        <v>251</v>
      </c>
      <c r="F98" s="12" t="s">
        <v>257</v>
      </c>
      <c r="G98" s="12" t="s">
        <v>258</v>
      </c>
      <c r="H98" s="61" t="n">
        <v>300</v>
      </c>
      <c r="I98" s="62" t="n">
        <v>10.15</v>
      </c>
      <c r="J98" s="62" t="n">
        <v>0.034</v>
      </c>
      <c r="K98" s="62" t="n">
        <v>0.251</v>
      </c>
      <c r="L98" s="61" t="n">
        <v>11.1</v>
      </c>
      <c r="M98" s="63" t="n">
        <v>22</v>
      </c>
      <c r="N98" s="61" t="n">
        <v>33.3</v>
      </c>
      <c r="O98" s="62" t="n">
        <v>1.369</v>
      </c>
      <c r="P98" s="62" t="n">
        <v>0.041</v>
      </c>
      <c r="Q98" s="62" t="n">
        <v>0.187</v>
      </c>
      <c r="R98" s="61" t="n">
        <v>4.1</v>
      </c>
      <c r="S98" s="63" t="n">
        <v>2435</v>
      </c>
      <c r="T98" s="61" t="n">
        <v>0</v>
      </c>
      <c r="U98" s="61" t="n">
        <v>6.7</v>
      </c>
      <c r="V98" s="63" t="n">
        <v>13</v>
      </c>
      <c r="W98" s="61" t="n">
        <v>10.9</v>
      </c>
      <c r="X98" s="62" t="n">
        <v>0.534</v>
      </c>
      <c r="Y98" s="62" t="n">
        <v>0.049</v>
      </c>
      <c r="Z98" s="62" t="n">
        <v>0.204</v>
      </c>
      <c r="AA98" s="61" t="n">
        <v>6.3</v>
      </c>
      <c r="AB98" s="63" t="n">
        <v>832</v>
      </c>
      <c r="AC98" s="61" t="n">
        <v>0</v>
      </c>
      <c r="AD98" s="61" t="n">
        <v>8</v>
      </c>
      <c r="AE98" s="63" t="n">
        <v>24</v>
      </c>
      <c r="AF98" s="61" t="n">
        <v>90.5</v>
      </c>
      <c r="AG98" s="62" t="n">
        <v>3.287</v>
      </c>
      <c r="AH98" s="62" t="n">
        <v>0.036</v>
      </c>
      <c r="AI98" s="61" t="n">
        <v>2.5</v>
      </c>
      <c r="AJ98" s="63" t="n">
        <v>25</v>
      </c>
      <c r="AK98" s="61" t="n">
        <v>209.5</v>
      </c>
      <c r="AL98" s="62" t="n">
        <v>6.863</v>
      </c>
      <c r="AM98" s="62" t="n">
        <v>0.033</v>
      </c>
      <c r="AN98" s="61" t="n">
        <v>8.6</v>
      </c>
      <c r="AO98" s="64" t="n">
        <f aca="false">Table1[[#This Row],[Inside_._time]]/Table1[[#This Row],[Duration]]</f>
        <v>0.301666666666667</v>
      </c>
      <c r="AP98" s="64" t="n">
        <f aca="false">Table1[[#This Row],[Outside_._time]]/Table1[[#This Row],[Duration]]</f>
        <v>0.698333333333333</v>
      </c>
      <c r="AQ98" s="64" t="n">
        <f aca="false">Table1[[#This Row],[Inside_._distance]]/Table1[[#This Row],[Distance]]</f>
        <v>0.32384236453202</v>
      </c>
      <c r="AR98" s="64" t="n">
        <f aca="false">Table1[[#This Row],[Outside_._distance]]/Table1[[#This Row],[Distance]]</f>
        <v>0.67615763546798</v>
      </c>
      <c r="AS98" s="63"/>
      <c r="AT98" s="65"/>
      <c r="AU98" s="65"/>
      <c r="AV98" s="66"/>
      <c r="AW98" s="65"/>
      <c r="AX98" s="65"/>
      <c r="AY98" s="67" t="s">
        <v>64</v>
      </c>
      <c r="AZ98" s="67" t="s">
        <v>76</v>
      </c>
      <c r="BA98" s="63" t="s">
        <v>66</v>
      </c>
      <c r="BB98" s="63" t="n">
        <v>94</v>
      </c>
      <c r="BC98" s="61" t="n">
        <v>3.13333333333333</v>
      </c>
      <c r="BD98" s="63" t="s">
        <v>67</v>
      </c>
      <c r="BE98" s="68" t="n">
        <v>7</v>
      </c>
      <c r="BF98" s="63" t="s">
        <v>77</v>
      </c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</row>
    <row r="99" customFormat="false" ht="12" hidden="false" customHeight="true" outlineLevel="0" collapsed="false">
      <c r="A99" s="12" t="n">
        <v>6</v>
      </c>
      <c r="B99" s="60" t="s">
        <v>85</v>
      </c>
      <c r="C99" s="12" t="s">
        <v>250</v>
      </c>
      <c r="D99" s="12" t="s">
        <v>69</v>
      </c>
      <c r="E99" s="12" t="s">
        <v>251</v>
      </c>
      <c r="F99" s="12" t="s">
        <v>257</v>
      </c>
      <c r="G99" s="12" t="s">
        <v>259</v>
      </c>
      <c r="H99" s="61" t="n">
        <v>300</v>
      </c>
      <c r="I99" s="62" t="n">
        <v>7.988</v>
      </c>
      <c r="J99" s="62" t="n">
        <v>0.027</v>
      </c>
      <c r="K99" s="62" t="n">
        <v>0.199</v>
      </c>
      <c r="L99" s="61" t="n">
        <v>39.9</v>
      </c>
      <c r="M99" s="63" t="n">
        <v>23</v>
      </c>
      <c r="N99" s="61" t="n">
        <v>38.5</v>
      </c>
      <c r="O99" s="62" t="n">
        <v>1.055</v>
      </c>
      <c r="P99" s="62" t="n">
        <v>0.027</v>
      </c>
      <c r="Q99" s="62" t="n">
        <v>0.191</v>
      </c>
      <c r="R99" s="61" t="n">
        <v>10.2</v>
      </c>
      <c r="S99" s="63" t="n">
        <v>2247</v>
      </c>
      <c r="T99" s="61" t="n">
        <v>7.5</v>
      </c>
      <c r="U99" s="61" t="n">
        <v>18.7</v>
      </c>
      <c r="V99" s="63" t="n">
        <v>14</v>
      </c>
      <c r="W99" s="61" t="n">
        <v>19.2</v>
      </c>
      <c r="X99" s="62" t="n">
        <v>0.901</v>
      </c>
      <c r="Y99" s="62" t="n">
        <v>0.047</v>
      </c>
      <c r="Z99" s="62" t="n">
        <v>0.189</v>
      </c>
      <c r="AA99" s="61" t="n">
        <v>2.4</v>
      </c>
      <c r="AB99" s="63" t="n">
        <v>1249</v>
      </c>
      <c r="AC99" s="61" t="n">
        <v>0</v>
      </c>
      <c r="AD99" s="61" t="n">
        <v>3.6</v>
      </c>
      <c r="AE99" s="63" t="n">
        <v>15</v>
      </c>
      <c r="AF99" s="61" t="n">
        <v>56.6</v>
      </c>
      <c r="AG99" s="62" t="n">
        <v>1.779</v>
      </c>
      <c r="AH99" s="62" t="n">
        <v>0.031</v>
      </c>
      <c r="AI99" s="61" t="n">
        <v>5.6</v>
      </c>
      <c r="AJ99" s="63" t="n">
        <v>16</v>
      </c>
      <c r="AK99" s="61" t="n">
        <v>243.4</v>
      </c>
      <c r="AL99" s="62" t="n">
        <v>6.209</v>
      </c>
      <c r="AM99" s="62" t="n">
        <v>0.026</v>
      </c>
      <c r="AN99" s="61" t="n">
        <v>34.3</v>
      </c>
      <c r="AO99" s="64" t="n">
        <f aca="false">Table1[[#This Row],[Inside_._time]]/Table1[[#This Row],[Duration]]</f>
        <v>0.188666666666667</v>
      </c>
      <c r="AP99" s="64" t="n">
        <f aca="false">Table1[[#This Row],[Outside_._time]]/Table1[[#This Row],[Duration]]</f>
        <v>0.811333333333333</v>
      </c>
      <c r="AQ99" s="64" t="n">
        <f aca="false">Table1[[#This Row],[Inside_._distance]]/Table1[[#This Row],[Distance]]</f>
        <v>0.222709063595393</v>
      </c>
      <c r="AR99" s="64" t="n">
        <f aca="false">Table1[[#This Row],[Outside_._distance]]/Table1[[#This Row],[Distance]]</f>
        <v>0.777290936404607</v>
      </c>
      <c r="AS99" s="63"/>
      <c r="AT99" s="65"/>
      <c r="AU99" s="65"/>
      <c r="AV99" s="66"/>
      <c r="AW99" s="65"/>
      <c r="AX99" s="65"/>
      <c r="AY99" s="67" t="s">
        <v>71</v>
      </c>
      <c r="AZ99" s="67" t="s">
        <v>76</v>
      </c>
      <c r="BA99" s="63" t="s">
        <v>66</v>
      </c>
      <c r="BB99" s="63" t="n">
        <v>94</v>
      </c>
      <c r="BC99" s="61" t="n">
        <v>3.13333333333333</v>
      </c>
      <c r="BD99" s="63" t="s">
        <v>81</v>
      </c>
      <c r="BE99" s="68" t="n">
        <v>8</v>
      </c>
      <c r="BF99" s="6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</row>
    <row r="100" customFormat="false" ht="12" hidden="false" customHeight="true" outlineLevel="0" collapsed="false">
      <c r="A100" s="12" t="n">
        <v>7</v>
      </c>
      <c r="B100" s="60" t="s">
        <v>87</v>
      </c>
      <c r="C100" s="12" t="s">
        <v>250</v>
      </c>
      <c r="D100" s="12" t="s">
        <v>74</v>
      </c>
      <c r="E100" s="12" t="s">
        <v>251</v>
      </c>
      <c r="F100" s="12" t="s">
        <v>257</v>
      </c>
      <c r="G100" s="12" t="s">
        <v>260</v>
      </c>
      <c r="H100" s="61" t="n">
        <v>300</v>
      </c>
      <c r="I100" s="62" t="n">
        <v>10.189</v>
      </c>
      <c r="J100" s="62" t="n">
        <v>0.034</v>
      </c>
      <c r="K100" s="62" t="n">
        <v>0.24</v>
      </c>
      <c r="L100" s="61" t="n">
        <v>13.7</v>
      </c>
      <c r="M100" s="63" t="n">
        <v>22</v>
      </c>
      <c r="N100" s="61" t="n">
        <v>25.6</v>
      </c>
      <c r="O100" s="62" t="n">
        <v>1.423</v>
      </c>
      <c r="P100" s="62" t="n">
        <v>0.056</v>
      </c>
      <c r="Q100" s="62" t="n">
        <v>0.24</v>
      </c>
      <c r="R100" s="61" t="n">
        <v>1.6</v>
      </c>
      <c r="S100" s="63" t="n">
        <v>2254</v>
      </c>
      <c r="T100" s="61" t="n">
        <v>1.2</v>
      </c>
      <c r="U100" s="61" t="n">
        <v>1.7</v>
      </c>
      <c r="V100" s="63" t="n">
        <v>15</v>
      </c>
      <c r="W100" s="61" t="n">
        <v>16.9</v>
      </c>
      <c r="X100" s="62" t="n">
        <v>0.762</v>
      </c>
      <c r="Y100" s="62" t="n">
        <v>0.045</v>
      </c>
      <c r="Z100" s="62" t="n">
        <v>0.194</v>
      </c>
      <c r="AA100" s="61" t="n">
        <v>2.3</v>
      </c>
      <c r="AB100" s="63" t="n">
        <v>1633</v>
      </c>
      <c r="AC100" s="61" t="n">
        <v>0</v>
      </c>
      <c r="AD100" s="61" t="n">
        <v>4</v>
      </c>
      <c r="AE100" s="63" t="n">
        <v>21</v>
      </c>
      <c r="AF100" s="61" t="n">
        <v>28.5</v>
      </c>
      <c r="AG100" s="62" t="n">
        <v>1.865</v>
      </c>
      <c r="AH100" s="62" t="n">
        <v>0.065</v>
      </c>
      <c r="AI100" s="61" t="n">
        <v>0</v>
      </c>
      <c r="AJ100" s="63" t="n">
        <v>22</v>
      </c>
      <c r="AK100" s="61" t="n">
        <v>271.5</v>
      </c>
      <c r="AL100" s="62" t="n">
        <v>8.323</v>
      </c>
      <c r="AM100" s="62" t="n">
        <v>0.031</v>
      </c>
      <c r="AN100" s="61" t="n">
        <v>13.7</v>
      </c>
      <c r="AO100" s="64" t="n">
        <f aca="false">Table1[[#This Row],[Inside_._time]]/Table1[[#This Row],[Duration]]</f>
        <v>0.095</v>
      </c>
      <c r="AP100" s="64" t="n">
        <f aca="false">Table1[[#This Row],[Outside_._time]]/Table1[[#This Row],[Duration]]</f>
        <v>0.905</v>
      </c>
      <c r="AQ100" s="64" t="n">
        <f aca="false">Table1[[#This Row],[Inside_._distance]]/Table1[[#This Row],[Distance]]</f>
        <v>0.183040533909118</v>
      </c>
      <c r="AR100" s="64" t="n">
        <f aca="false">Table1[[#This Row],[Outside_._distance]]/Table1[[#This Row],[Distance]]</f>
        <v>0.816861321032486</v>
      </c>
      <c r="AS100" s="63"/>
      <c r="AT100" s="65"/>
      <c r="AU100" s="65"/>
      <c r="AV100" s="66"/>
      <c r="AW100" s="65"/>
      <c r="AX100" s="65"/>
      <c r="AY100" s="67" t="s">
        <v>71</v>
      </c>
      <c r="AZ100" s="67" t="s">
        <v>76</v>
      </c>
      <c r="BA100" s="63" t="s">
        <v>72</v>
      </c>
      <c r="BB100" s="63" t="n">
        <v>94</v>
      </c>
      <c r="BC100" s="61" t="n">
        <v>3.13333333333333</v>
      </c>
      <c r="BD100" s="63" t="s">
        <v>67</v>
      </c>
      <c r="BE100" s="68" t="n">
        <v>5</v>
      </c>
      <c r="BF100" s="6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</row>
    <row r="101" customFormat="false" ht="12" hidden="false" customHeight="true" outlineLevel="0" collapsed="false">
      <c r="A101" s="12" t="n">
        <v>8</v>
      </c>
      <c r="B101" s="60" t="s">
        <v>89</v>
      </c>
      <c r="C101" s="12" t="s">
        <v>250</v>
      </c>
      <c r="D101" s="12" t="s">
        <v>79</v>
      </c>
      <c r="E101" s="12" t="s">
        <v>251</v>
      </c>
      <c r="F101" s="12" t="s">
        <v>257</v>
      </c>
      <c r="G101" s="12" t="s">
        <v>261</v>
      </c>
      <c r="H101" s="61" t="n">
        <v>300</v>
      </c>
      <c r="I101" s="62" t="n">
        <v>12.251</v>
      </c>
      <c r="J101" s="62" t="n">
        <v>0.041</v>
      </c>
      <c r="K101" s="62" t="n">
        <v>0.224</v>
      </c>
      <c r="L101" s="61" t="n">
        <v>39</v>
      </c>
      <c r="M101" s="63" t="n">
        <v>9</v>
      </c>
      <c r="N101" s="61" t="n">
        <v>5.8</v>
      </c>
      <c r="O101" s="62" t="n">
        <v>0.407</v>
      </c>
      <c r="P101" s="62" t="n">
        <v>0.071</v>
      </c>
      <c r="Q101" s="62" t="n">
        <v>0.196</v>
      </c>
      <c r="R101" s="61" t="n">
        <v>1.2</v>
      </c>
      <c r="S101" s="63" t="n">
        <v>446</v>
      </c>
      <c r="T101" s="61" t="n">
        <v>0</v>
      </c>
      <c r="U101" s="61" t="n">
        <v>2.9</v>
      </c>
      <c r="V101" s="63" t="n">
        <v>15</v>
      </c>
      <c r="W101" s="61" t="n">
        <v>16.2</v>
      </c>
      <c r="X101" s="62" t="n">
        <v>0.702</v>
      </c>
      <c r="Y101" s="62" t="n">
        <v>0.043</v>
      </c>
      <c r="Z101" s="62" t="n">
        <v>0.157</v>
      </c>
      <c r="AA101" s="61" t="n">
        <v>9.6</v>
      </c>
      <c r="AB101" s="63" t="n">
        <v>997</v>
      </c>
      <c r="AC101" s="61" t="n">
        <v>2.1</v>
      </c>
      <c r="AD101" s="61" t="n">
        <v>9.7</v>
      </c>
      <c r="AE101" s="63" t="n">
        <v>8</v>
      </c>
      <c r="AF101" s="61" t="n">
        <v>61.9</v>
      </c>
      <c r="AG101" s="62" t="n">
        <v>1.602</v>
      </c>
      <c r="AH101" s="62" t="n">
        <v>0.026</v>
      </c>
      <c r="AI101" s="61" t="n">
        <v>18.5</v>
      </c>
      <c r="AJ101" s="63" t="n">
        <v>9</v>
      </c>
      <c r="AK101" s="61" t="n">
        <v>238.1</v>
      </c>
      <c r="AL101" s="62" t="n">
        <v>10.649</v>
      </c>
      <c r="AM101" s="62" t="n">
        <v>0.045</v>
      </c>
      <c r="AN101" s="61" t="n">
        <v>20.5</v>
      </c>
      <c r="AO101" s="64" t="n">
        <f aca="false">Table1[[#This Row],[Inside_._time]]/Table1[[#This Row],[Duration]]</f>
        <v>0.206333333333333</v>
      </c>
      <c r="AP101" s="64" t="n">
        <f aca="false">Table1[[#This Row],[Outside_._time]]/Table1[[#This Row],[Duration]]</f>
        <v>0.793666666666667</v>
      </c>
      <c r="AQ101" s="64" t="n">
        <f aca="false">Table1[[#This Row],[Inside_._distance]]/Table1[[#This Row],[Distance]]</f>
        <v>0.130764835523631</v>
      </c>
      <c r="AR101" s="64" t="n">
        <f aca="false">Table1[[#This Row],[Outside_._distance]]/Table1[[#This Row],[Distance]]</f>
        <v>0.869235164476369</v>
      </c>
      <c r="AS101" s="63"/>
      <c r="AT101" s="65"/>
      <c r="AU101" s="65"/>
      <c r="AV101" s="66"/>
      <c r="AW101" s="65"/>
      <c r="AX101" s="65"/>
      <c r="AY101" s="67" t="s">
        <v>71</v>
      </c>
      <c r="AZ101" s="67" t="s">
        <v>76</v>
      </c>
      <c r="BA101" s="63" t="s">
        <v>66</v>
      </c>
      <c r="BB101" s="63" t="n">
        <v>94</v>
      </c>
      <c r="BC101" s="61" t="n">
        <v>3.13333333333333</v>
      </c>
      <c r="BD101" s="63" t="s">
        <v>81</v>
      </c>
      <c r="BE101" s="68" t="n">
        <v>8</v>
      </c>
      <c r="BF101" s="63" t="s">
        <v>91</v>
      </c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</row>
    <row r="102" customFormat="false" ht="12" hidden="false" customHeight="true" outlineLevel="0" collapsed="false">
      <c r="A102" s="12" t="n">
        <v>9</v>
      </c>
      <c r="B102" s="60" t="s">
        <v>92</v>
      </c>
      <c r="C102" s="12" t="s">
        <v>250</v>
      </c>
      <c r="D102" s="12" t="s">
        <v>60</v>
      </c>
      <c r="E102" s="12" t="s">
        <v>251</v>
      </c>
      <c r="F102" s="12" t="s">
        <v>262</v>
      </c>
      <c r="G102" s="12" t="s">
        <v>263</v>
      </c>
      <c r="H102" s="61" t="n">
        <v>300</v>
      </c>
      <c r="I102" s="62" t="n">
        <v>11.809</v>
      </c>
      <c r="J102" s="62" t="n">
        <v>0.039</v>
      </c>
      <c r="K102" s="62" t="n">
        <v>0.285</v>
      </c>
      <c r="L102" s="61" t="n">
        <v>20.5</v>
      </c>
      <c r="M102" s="63" t="n">
        <v>17</v>
      </c>
      <c r="N102" s="61" t="n">
        <v>11.1</v>
      </c>
      <c r="O102" s="62" t="n">
        <v>0.969</v>
      </c>
      <c r="P102" s="62" t="n">
        <v>0.087</v>
      </c>
      <c r="Q102" s="62" t="n">
        <v>0.202</v>
      </c>
      <c r="R102" s="61" t="n">
        <v>1.7</v>
      </c>
      <c r="S102" s="63" t="n">
        <v>1093</v>
      </c>
      <c r="T102" s="61" t="n">
        <v>0</v>
      </c>
      <c r="U102" s="61" t="n">
        <v>5</v>
      </c>
      <c r="V102" s="63" t="n">
        <v>19</v>
      </c>
      <c r="W102" s="61" t="n">
        <v>22.8</v>
      </c>
      <c r="X102" s="62" t="n">
        <v>1.201</v>
      </c>
      <c r="Y102" s="62" t="n">
        <v>0.053</v>
      </c>
      <c r="Z102" s="62" t="n">
        <v>0.25</v>
      </c>
      <c r="AA102" s="61" t="n">
        <v>6</v>
      </c>
      <c r="AB102" s="63" t="n">
        <v>1400</v>
      </c>
      <c r="AC102" s="61" t="n">
        <v>1.1</v>
      </c>
      <c r="AD102" s="61" t="n">
        <v>8</v>
      </c>
      <c r="AE102" s="63" t="n">
        <v>19</v>
      </c>
      <c r="AF102" s="61" t="n">
        <v>23.4</v>
      </c>
      <c r="AG102" s="62" t="n">
        <v>1.985</v>
      </c>
      <c r="AH102" s="62" t="n">
        <v>0.085</v>
      </c>
      <c r="AI102" s="61" t="n">
        <v>0</v>
      </c>
      <c r="AJ102" s="63" t="n">
        <v>20</v>
      </c>
      <c r="AK102" s="61" t="n">
        <v>276.6</v>
      </c>
      <c r="AL102" s="62" t="n">
        <v>9.823</v>
      </c>
      <c r="AM102" s="62" t="n">
        <v>0.036</v>
      </c>
      <c r="AN102" s="61" t="n">
        <v>20.5</v>
      </c>
      <c r="AO102" s="64" t="n">
        <f aca="false">Table1[[#This Row],[Inside_._time]]/Table1[[#This Row],[Duration]]</f>
        <v>0.078</v>
      </c>
      <c r="AP102" s="64" t="n">
        <f aca="false">Table1[[#This Row],[Outside_._time]]/Table1[[#This Row],[Duration]]</f>
        <v>0.922</v>
      </c>
      <c r="AQ102" s="64" t="n">
        <f aca="false">Table1[[#This Row],[Inside_._distance]]/Table1[[#This Row],[Distance]]</f>
        <v>0.168092133118808</v>
      </c>
      <c r="AR102" s="64" t="n">
        <f aca="false">Table1[[#This Row],[Outside_._distance]]/Table1[[#This Row],[Distance]]</f>
        <v>0.831823185705818</v>
      </c>
      <c r="AS102" s="63"/>
      <c r="AT102" s="65"/>
      <c r="AU102" s="65"/>
      <c r="AV102" s="66"/>
      <c r="AW102" s="65"/>
      <c r="AX102" s="65"/>
      <c r="AY102" s="67" t="s">
        <v>71</v>
      </c>
      <c r="AZ102" s="67" t="s">
        <v>76</v>
      </c>
      <c r="BA102" s="63" t="s">
        <v>66</v>
      </c>
      <c r="BB102" s="63" t="n">
        <v>94</v>
      </c>
      <c r="BC102" s="61" t="n">
        <v>3.13333333333333</v>
      </c>
      <c r="BD102" s="63" t="s">
        <v>67</v>
      </c>
      <c r="BE102" s="68" t="n">
        <v>7</v>
      </c>
      <c r="BF102" s="63" t="s">
        <v>95</v>
      </c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</row>
    <row r="103" customFormat="false" ht="12" hidden="false" customHeight="true" outlineLevel="0" collapsed="false">
      <c r="A103" s="12" t="n">
        <v>10</v>
      </c>
      <c r="B103" s="60" t="s">
        <v>96</v>
      </c>
      <c r="C103" s="12" t="s">
        <v>250</v>
      </c>
      <c r="D103" s="12" t="s">
        <v>69</v>
      </c>
      <c r="E103" s="12" t="s">
        <v>251</v>
      </c>
      <c r="F103" s="12" t="s">
        <v>262</v>
      </c>
      <c r="G103" s="12" t="s">
        <v>264</v>
      </c>
      <c r="H103" s="61" t="n">
        <v>300</v>
      </c>
      <c r="I103" s="62" t="n">
        <v>11.738</v>
      </c>
      <c r="J103" s="62" t="n">
        <v>0.039</v>
      </c>
      <c r="K103" s="62" t="n">
        <v>0.211</v>
      </c>
      <c r="L103" s="61" t="n">
        <v>29.9</v>
      </c>
      <c r="M103" s="63" t="n">
        <v>45</v>
      </c>
      <c r="N103" s="61" t="n">
        <v>41.9</v>
      </c>
      <c r="O103" s="62" t="n">
        <v>1.327</v>
      </c>
      <c r="P103" s="62" t="n">
        <v>0.032</v>
      </c>
      <c r="Q103" s="62" t="n">
        <v>0.194</v>
      </c>
      <c r="R103" s="61" t="n">
        <v>3.4</v>
      </c>
      <c r="S103" s="63" t="n">
        <v>3899</v>
      </c>
      <c r="T103" s="61" t="n">
        <v>2.2</v>
      </c>
      <c r="U103" s="61" t="n">
        <v>5.4</v>
      </c>
      <c r="V103" s="63" t="n">
        <v>13</v>
      </c>
      <c r="W103" s="61" t="n">
        <v>10.1</v>
      </c>
      <c r="X103" s="62" t="n">
        <v>1.097</v>
      </c>
      <c r="Y103" s="62" t="n">
        <v>0.108</v>
      </c>
      <c r="Z103" s="62" t="n">
        <v>0.211</v>
      </c>
      <c r="AA103" s="61" t="n">
        <v>1.9</v>
      </c>
      <c r="AB103" s="63" t="n">
        <v>1230</v>
      </c>
      <c r="AC103" s="61" t="n">
        <v>0</v>
      </c>
      <c r="AD103" s="61" t="n">
        <v>2</v>
      </c>
      <c r="AE103" s="63" t="n">
        <v>21</v>
      </c>
      <c r="AF103" s="61" t="n">
        <v>51.8</v>
      </c>
      <c r="AG103" s="62" t="n">
        <v>2.159</v>
      </c>
      <c r="AH103" s="62" t="n">
        <v>0.042</v>
      </c>
      <c r="AI103" s="61" t="n">
        <v>7.1</v>
      </c>
      <c r="AJ103" s="63" t="n">
        <v>21</v>
      </c>
      <c r="AK103" s="61" t="n">
        <v>248.2</v>
      </c>
      <c r="AL103" s="62" t="n">
        <v>9.579</v>
      </c>
      <c r="AM103" s="62" t="n">
        <v>0.039</v>
      </c>
      <c r="AN103" s="61" t="n">
        <v>22.8</v>
      </c>
      <c r="AO103" s="64" t="n">
        <f aca="false">Table1[[#This Row],[Inside_._time]]/Table1[[#This Row],[Duration]]</f>
        <v>0.172666666666667</v>
      </c>
      <c r="AP103" s="64" t="n">
        <f aca="false">Table1[[#This Row],[Outside_._time]]/Table1[[#This Row],[Duration]]</f>
        <v>0.827333333333333</v>
      </c>
      <c r="AQ103" s="64" t="n">
        <f aca="false">Table1[[#This Row],[Inside_._distance]]/Table1[[#This Row],[Distance]]</f>
        <v>0.183932526835918</v>
      </c>
      <c r="AR103" s="64" t="n">
        <f aca="false">Table1[[#This Row],[Outside_._distance]]/Table1[[#This Row],[Distance]]</f>
        <v>0.816067473164082</v>
      </c>
      <c r="AS103" s="63"/>
      <c r="AT103" s="65"/>
      <c r="AU103" s="65"/>
      <c r="AV103" s="66"/>
      <c r="AW103" s="65"/>
      <c r="AX103" s="65"/>
      <c r="AY103" s="67" t="s">
        <v>71</v>
      </c>
      <c r="AZ103" s="67" t="s">
        <v>76</v>
      </c>
      <c r="BA103" s="63" t="s">
        <v>72</v>
      </c>
      <c r="BB103" s="63" t="n">
        <v>94</v>
      </c>
      <c r="BC103" s="61" t="n">
        <v>3.13333333333333</v>
      </c>
      <c r="BD103" s="63" t="s">
        <v>81</v>
      </c>
      <c r="BE103" s="68" t="n">
        <v>6</v>
      </c>
      <c r="BF103" s="63" t="s">
        <v>98</v>
      </c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</row>
    <row r="104" customFormat="false" ht="12" hidden="false" customHeight="true" outlineLevel="0" collapsed="false">
      <c r="A104" s="12" t="n">
        <v>11</v>
      </c>
      <c r="B104" s="60" t="s">
        <v>99</v>
      </c>
      <c r="C104" s="12" t="s">
        <v>250</v>
      </c>
      <c r="D104" s="12" t="s">
        <v>74</v>
      </c>
      <c r="E104" s="12" t="s">
        <v>251</v>
      </c>
      <c r="F104" s="12" t="s">
        <v>262</v>
      </c>
      <c r="G104" s="12" t="s">
        <v>265</v>
      </c>
      <c r="H104" s="61" t="n">
        <v>300</v>
      </c>
      <c r="I104" s="62" t="n">
        <v>8.329</v>
      </c>
      <c r="J104" s="62" t="n">
        <v>0.028</v>
      </c>
      <c r="K104" s="62" t="n">
        <v>0.218</v>
      </c>
      <c r="L104" s="61" t="n">
        <v>42.3</v>
      </c>
      <c r="M104" s="63" t="n">
        <v>12</v>
      </c>
      <c r="N104" s="61" t="n">
        <v>14.7</v>
      </c>
      <c r="O104" s="62" t="n">
        <v>0.559</v>
      </c>
      <c r="P104" s="62" t="n">
        <v>0.038</v>
      </c>
      <c r="Q104" s="62" t="n">
        <v>0.155</v>
      </c>
      <c r="R104" s="61" t="n">
        <v>4.7</v>
      </c>
      <c r="S104" s="63" t="n">
        <v>1004</v>
      </c>
      <c r="T104" s="61" t="n">
        <v>3.1</v>
      </c>
      <c r="U104" s="61" t="n">
        <v>9.5</v>
      </c>
      <c r="V104" s="63" t="n">
        <v>12</v>
      </c>
      <c r="W104" s="61" t="n">
        <v>7.5</v>
      </c>
      <c r="X104" s="62" t="n">
        <v>0.698</v>
      </c>
      <c r="Y104" s="62" t="n">
        <v>0.093</v>
      </c>
      <c r="Z104" s="62" t="n">
        <v>0.192</v>
      </c>
      <c r="AA104" s="61" t="n">
        <v>2.5</v>
      </c>
      <c r="AB104" s="63" t="n">
        <v>798</v>
      </c>
      <c r="AC104" s="61" t="n">
        <v>0</v>
      </c>
      <c r="AD104" s="61" t="n">
        <v>3.1</v>
      </c>
      <c r="AE104" s="63" t="n">
        <v>20</v>
      </c>
      <c r="AF104" s="61" t="n">
        <v>48.7</v>
      </c>
      <c r="AG104" s="62" t="n">
        <v>1.67</v>
      </c>
      <c r="AH104" s="62" t="n">
        <v>0.034</v>
      </c>
      <c r="AI104" s="61" t="n">
        <v>10.8</v>
      </c>
      <c r="AJ104" s="63" t="n">
        <v>20</v>
      </c>
      <c r="AK104" s="61" t="n">
        <v>251.3</v>
      </c>
      <c r="AL104" s="62" t="n">
        <v>6.66</v>
      </c>
      <c r="AM104" s="62" t="n">
        <v>0.027</v>
      </c>
      <c r="AN104" s="61" t="n">
        <v>31.4</v>
      </c>
      <c r="AO104" s="64" t="n">
        <f aca="false">Table1[[#This Row],[Inside_._time]]/Table1[[#This Row],[Duration]]</f>
        <v>0.162333333333333</v>
      </c>
      <c r="AP104" s="64" t="n">
        <f aca="false">Table1[[#This Row],[Outside_._time]]/Table1[[#This Row],[Duration]]</f>
        <v>0.837666666666667</v>
      </c>
      <c r="AQ104" s="64" t="n">
        <f aca="false">Table1[[#This Row],[Inside_._distance]]/Table1[[#This Row],[Distance]]</f>
        <v>0.200504262216352</v>
      </c>
      <c r="AR104" s="64" t="n">
        <f aca="false">Table1[[#This Row],[Outside_._distance]]/Table1[[#This Row],[Distance]]</f>
        <v>0.799615800216112</v>
      </c>
      <c r="AS104" s="63"/>
      <c r="AT104" s="65"/>
      <c r="AU104" s="65"/>
      <c r="AV104" s="66"/>
      <c r="AW104" s="65"/>
      <c r="AX104" s="65"/>
      <c r="AY104" s="67" t="s">
        <v>71</v>
      </c>
      <c r="AZ104" s="67" t="s">
        <v>76</v>
      </c>
      <c r="BA104" s="63" t="s">
        <v>72</v>
      </c>
      <c r="BB104" s="63" t="n">
        <v>94</v>
      </c>
      <c r="BC104" s="61" t="n">
        <v>3.13333333333333</v>
      </c>
      <c r="BD104" s="63" t="s">
        <v>67</v>
      </c>
      <c r="BE104" s="68" t="n">
        <v>5</v>
      </c>
      <c r="BF104" s="63" t="s">
        <v>101</v>
      </c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</row>
    <row r="105" customFormat="false" ht="12" hidden="false" customHeight="true" outlineLevel="0" collapsed="false">
      <c r="A105" s="12" t="n">
        <v>12</v>
      </c>
      <c r="B105" s="60" t="s">
        <v>102</v>
      </c>
      <c r="C105" s="12" t="s">
        <v>250</v>
      </c>
      <c r="D105" s="12" t="s">
        <v>79</v>
      </c>
      <c r="E105" s="12" t="s">
        <v>251</v>
      </c>
      <c r="F105" s="12" t="s">
        <v>262</v>
      </c>
      <c r="G105" s="12" t="s">
        <v>266</v>
      </c>
      <c r="H105" s="61" t="n">
        <v>300</v>
      </c>
      <c r="I105" s="62" t="n">
        <v>7.094</v>
      </c>
      <c r="J105" s="62" t="n">
        <v>0.024</v>
      </c>
      <c r="K105" s="62" t="n">
        <v>0.269</v>
      </c>
      <c r="L105" s="61" t="n">
        <v>95.1</v>
      </c>
      <c r="M105" s="63" t="n">
        <v>18</v>
      </c>
      <c r="N105" s="61" t="n">
        <v>26.2</v>
      </c>
      <c r="O105" s="62" t="n">
        <v>0.973</v>
      </c>
      <c r="P105" s="62" t="n">
        <v>0.037</v>
      </c>
      <c r="Q105" s="62" t="n">
        <v>0.221</v>
      </c>
      <c r="R105" s="61" t="n">
        <v>4.5</v>
      </c>
      <c r="S105" s="63" t="n">
        <v>1960</v>
      </c>
      <c r="T105" s="61" t="n">
        <v>2.8</v>
      </c>
      <c r="U105" s="61" t="n">
        <v>1.5</v>
      </c>
      <c r="V105" s="63" t="n">
        <v>14</v>
      </c>
      <c r="W105" s="61" t="n">
        <v>9.5</v>
      </c>
      <c r="X105" s="62" t="n">
        <v>0.245</v>
      </c>
      <c r="Y105" s="62" t="n">
        <v>0.026</v>
      </c>
      <c r="Z105" s="62" t="n">
        <v>0.16</v>
      </c>
      <c r="AA105" s="61" t="n">
        <v>3.7</v>
      </c>
      <c r="AB105" s="63" t="n">
        <v>645</v>
      </c>
      <c r="AC105" s="61" t="n">
        <v>1.3</v>
      </c>
      <c r="AD105" s="61" t="n">
        <v>5.9</v>
      </c>
      <c r="AE105" s="63" t="n">
        <v>13</v>
      </c>
      <c r="AF105" s="61" t="n">
        <v>78.1</v>
      </c>
      <c r="AG105" s="62" t="n">
        <v>2.072</v>
      </c>
      <c r="AH105" s="62" t="n">
        <v>0.027</v>
      </c>
      <c r="AI105" s="61" t="n">
        <v>31.7</v>
      </c>
      <c r="AJ105" s="63" t="n">
        <v>13</v>
      </c>
      <c r="AK105" s="61" t="n">
        <v>221.9</v>
      </c>
      <c r="AL105" s="62" t="n">
        <v>5.022</v>
      </c>
      <c r="AM105" s="62" t="n">
        <v>0.023</v>
      </c>
      <c r="AN105" s="61" t="n">
        <v>63.3</v>
      </c>
      <c r="AO105" s="64" t="n">
        <f aca="false">Table1[[#This Row],[Inside_._time]]/Table1[[#This Row],[Duration]]</f>
        <v>0.260333333333333</v>
      </c>
      <c r="AP105" s="64" t="n">
        <f aca="false">Table1[[#This Row],[Outside_._time]]/Table1[[#This Row],[Duration]]</f>
        <v>0.739666666666667</v>
      </c>
      <c r="AQ105" s="64" t="n">
        <f aca="false">Table1[[#This Row],[Inside_._distance]]/Table1[[#This Row],[Distance]]</f>
        <v>0.292077812235692</v>
      </c>
      <c r="AR105" s="64" t="n">
        <f aca="false">Table1[[#This Row],[Outside_._distance]]/Table1[[#This Row],[Distance]]</f>
        <v>0.707922187764308</v>
      </c>
      <c r="AS105" s="63"/>
      <c r="AT105" s="65"/>
      <c r="AU105" s="65"/>
      <c r="AV105" s="66"/>
      <c r="AW105" s="65"/>
      <c r="AX105" s="65"/>
      <c r="AY105" s="67" t="s">
        <v>71</v>
      </c>
      <c r="AZ105" s="67" t="s">
        <v>76</v>
      </c>
      <c r="BA105" s="63" t="s">
        <v>72</v>
      </c>
      <c r="BB105" s="63" t="n">
        <v>94</v>
      </c>
      <c r="BC105" s="61" t="n">
        <v>3.13333333333333</v>
      </c>
      <c r="BD105" s="63" t="s">
        <v>81</v>
      </c>
      <c r="BE105" s="68" t="n">
        <v>6</v>
      </c>
      <c r="BF105" s="6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</row>
    <row r="106" s="78" customFormat="true" ht="12" hidden="false" customHeight="true" outlineLevel="0" collapsed="false">
      <c r="A106" s="69" t="n">
        <v>14</v>
      </c>
      <c r="B106" s="70" t="s">
        <v>104</v>
      </c>
      <c r="C106" s="69" t="s">
        <v>250</v>
      </c>
      <c r="D106" s="69" t="s">
        <v>60</v>
      </c>
      <c r="E106" s="69" t="s">
        <v>251</v>
      </c>
      <c r="F106" s="69" t="s">
        <v>267</v>
      </c>
      <c r="G106" s="69" t="s">
        <v>268</v>
      </c>
      <c r="H106" s="71" t="n">
        <v>300</v>
      </c>
      <c r="I106" s="72" t="n">
        <v>23.299</v>
      </c>
      <c r="J106" s="72" t="n">
        <v>0.078</v>
      </c>
      <c r="K106" s="72" t="n">
        <v>0.381</v>
      </c>
      <c r="L106" s="71" t="n">
        <v>15</v>
      </c>
      <c r="M106" s="73" t="n">
        <v>25</v>
      </c>
      <c r="N106" s="71" t="n">
        <v>14.7</v>
      </c>
      <c r="O106" s="72" t="n">
        <v>1.684</v>
      </c>
      <c r="P106" s="72" t="n">
        <v>0.115</v>
      </c>
      <c r="Q106" s="72" t="n">
        <v>0.314</v>
      </c>
      <c r="R106" s="71" t="n">
        <v>1.8</v>
      </c>
      <c r="S106" s="73" t="n">
        <v>1578</v>
      </c>
      <c r="T106" s="71" t="n">
        <v>0</v>
      </c>
      <c r="U106" s="71" t="n">
        <v>3.4</v>
      </c>
      <c r="V106" s="73" t="n">
        <v>33</v>
      </c>
      <c r="W106" s="71" t="n">
        <v>20.3</v>
      </c>
      <c r="X106" s="72" t="n">
        <v>2.342</v>
      </c>
      <c r="Y106" s="72" t="n">
        <v>0.115</v>
      </c>
      <c r="Z106" s="72" t="n">
        <v>0.305</v>
      </c>
      <c r="AA106" s="71" t="n">
        <v>2.7</v>
      </c>
      <c r="AB106" s="73" t="n">
        <v>2384</v>
      </c>
      <c r="AC106" s="71" t="n">
        <v>0</v>
      </c>
      <c r="AD106" s="71" t="n">
        <v>4.5</v>
      </c>
      <c r="AE106" s="73" t="n">
        <v>37</v>
      </c>
      <c r="AF106" s="71" t="n">
        <v>51.5</v>
      </c>
      <c r="AG106" s="72" t="n">
        <v>5.704</v>
      </c>
      <c r="AH106" s="72" t="n">
        <v>0.111</v>
      </c>
      <c r="AI106" s="71" t="n">
        <v>0</v>
      </c>
      <c r="AJ106" s="73" t="n">
        <v>36</v>
      </c>
      <c r="AK106" s="71" t="n">
        <v>248.5</v>
      </c>
      <c r="AL106" s="72" t="n">
        <v>17.595</v>
      </c>
      <c r="AM106" s="72" t="n">
        <v>0.071</v>
      </c>
      <c r="AN106" s="71" t="n">
        <v>2.4</v>
      </c>
      <c r="AO106" s="74" t="n">
        <f aca="false">Table1[[#This Row],[Inside_._time]]/Table1[[#This Row],[Duration]]</f>
        <v>0.171666666666667</v>
      </c>
      <c r="AP106" s="74" t="n">
        <f aca="false">Table1[[#This Row],[Outside_._time]]/Table1[[#This Row],[Duration]]</f>
        <v>0.828333333333333</v>
      </c>
      <c r="AQ106" s="74" t="n">
        <f aca="false">Table1[[#This Row],[Inside_._distance]]/Table1[[#This Row],[Distance]]</f>
        <v>0.244817374136229</v>
      </c>
      <c r="AR106" s="74" t="n">
        <f aca="false">Table1[[#This Row],[Outside_._distance]]/Table1[[#This Row],[Distance]]</f>
        <v>0.755182625863771</v>
      </c>
      <c r="AS106" s="63"/>
      <c r="AT106" s="73"/>
      <c r="AU106" s="73"/>
      <c r="AV106" s="71"/>
      <c r="AW106" s="73"/>
      <c r="AX106" s="73"/>
      <c r="AY106" s="75" t="s">
        <v>64</v>
      </c>
      <c r="AZ106" s="75" t="s">
        <v>65</v>
      </c>
      <c r="BA106" s="75" t="s">
        <v>72</v>
      </c>
      <c r="BB106" s="75" t="n">
        <v>93</v>
      </c>
      <c r="BC106" s="76" t="n">
        <v>3.1</v>
      </c>
      <c r="BD106" s="73"/>
      <c r="BE106" s="77"/>
      <c r="BF106" s="73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</row>
    <row r="107" customFormat="false" ht="12" hidden="false" customHeight="true" outlineLevel="0" collapsed="false">
      <c r="A107" s="12" t="n">
        <v>13</v>
      </c>
      <c r="B107" s="60" t="s">
        <v>107</v>
      </c>
      <c r="C107" s="12" t="s">
        <v>250</v>
      </c>
      <c r="D107" s="12" t="s">
        <v>69</v>
      </c>
      <c r="E107" s="12" t="s">
        <v>251</v>
      </c>
      <c r="F107" s="12" t="s">
        <v>267</v>
      </c>
      <c r="G107" s="12" t="s">
        <v>269</v>
      </c>
      <c r="H107" s="61" t="n">
        <v>300</v>
      </c>
      <c r="I107" s="62" t="n">
        <v>9.909</v>
      </c>
      <c r="J107" s="62" t="n">
        <v>0.033</v>
      </c>
      <c r="K107" s="62" t="n">
        <v>0.29</v>
      </c>
      <c r="L107" s="61" t="n">
        <v>49.3</v>
      </c>
      <c r="M107" s="63" t="n">
        <v>23</v>
      </c>
      <c r="N107" s="61" t="n">
        <v>16.7</v>
      </c>
      <c r="O107" s="62" t="n">
        <v>0.825</v>
      </c>
      <c r="P107" s="62" t="n">
        <v>0.049</v>
      </c>
      <c r="Q107" s="62" t="n">
        <v>0.222</v>
      </c>
      <c r="R107" s="61" t="n">
        <v>4.6</v>
      </c>
      <c r="S107" s="63" t="n">
        <v>1661</v>
      </c>
      <c r="T107" s="61" t="n">
        <v>1.9</v>
      </c>
      <c r="U107" s="61" t="n">
        <v>4.4</v>
      </c>
      <c r="V107" s="63" t="n">
        <v>30</v>
      </c>
      <c r="W107" s="61" t="n">
        <v>51</v>
      </c>
      <c r="X107" s="62" t="n">
        <v>1.265</v>
      </c>
      <c r="Y107" s="62" t="n">
        <v>0.025</v>
      </c>
      <c r="Z107" s="62" t="n">
        <v>0.21</v>
      </c>
      <c r="AA107" s="61" t="n">
        <v>12.8</v>
      </c>
      <c r="AB107" s="63" t="n">
        <v>3233</v>
      </c>
      <c r="AC107" s="61" t="n">
        <v>15.1</v>
      </c>
      <c r="AD107" s="61" t="n">
        <v>20.1</v>
      </c>
      <c r="AE107" s="63" t="n">
        <v>17</v>
      </c>
      <c r="AF107" s="61" t="n">
        <v>54.4</v>
      </c>
      <c r="AG107" s="62" t="n">
        <v>2.833</v>
      </c>
      <c r="AH107" s="62" t="n">
        <v>0.052</v>
      </c>
      <c r="AI107" s="61" t="n">
        <v>2.4</v>
      </c>
      <c r="AJ107" s="63" t="n">
        <v>18</v>
      </c>
      <c r="AK107" s="61" t="n">
        <v>245.6</v>
      </c>
      <c r="AL107" s="62" t="n">
        <v>7.076</v>
      </c>
      <c r="AM107" s="62" t="n">
        <v>0.029</v>
      </c>
      <c r="AN107" s="61" t="n">
        <v>34.3</v>
      </c>
      <c r="AO107" s="64" t="n">
        <f aca="false">Table1[[#This Row],[Inside_._time]]/Table1[[#This Row],[Duration]]</f>
        <v>0.181333333333333</v>
      </c>
      <c r="AP107" s="64" t="n">
        <f aca="false">Table1[[#This Row],[Outside_._time]]/Table1[[#This Row],[Duration]]</f>
        <v>0.818666666666667</v>
      </c>
      <c r="AQ107" s="64" t="n">
        <f aca="false">Table1[[#This Row],[Inside_._distance]]/Table1[[#This Row],[Distance]]</f>
        <v>0.285901705520234</v>
      </c>
      <c r="AR107" s="64" t="n">
        <f aca="false">Table1[[#This Row],[Outside_._distance]]/Table1[[#This Row],[Distance]]</f>
        <v>0.714098294479766</v>
      </c>
      <c r="AS107" s="63"/>
      <c r="AT107" s="65"/>
      <c r="AU107" s="65"/>
      <c r="AV107" s="66"/>
      <c r="AW107" s="65"/>
      <c r="AX107" s="65"/>
      <c r="AY107" s="12" t="s">
        <v>64</v>
      </c>
      <c r="AZ107" s="12" t="s">
        <v>65</v>
      </c>
      <c r="BA107" s="63" t="s">
        <v>66</v>
      </c>
      <c r="BB107" s="63" t="n">
        <v>86</v>
      </c>
      <c r="BC107" s="63" t="n">
        <v>2.86666666666667</v>
      </c>
      <c r="BD107" s="63" t="s">
        <v>81</v>
      </c>
      <c r="BE107" s="68" t="n">
        <v>4</v>
      </c>
      <c r="BF107" s="63" t="s">
        <v>109</v>
      </c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</row>
    <row r="108" customFormat="false" ht="12" hidden="false" customHeight="true" outlineLevel="0" collapsed="false">
      <c r="A108" s="12" t="n">
        <v>15</v>
      </c>
      <c r="B108" s="60" t="s">
        <v>110</v>
      </c>
      <c r="C108" s="12" t="s">
        <v>250</v>
      </c>
      <c r="D108" s="12" t="s">
        <v>74</v>
      </c>
      <c r="E108" s="12" t="s">
        <v>251</v>
      </c>
      <c r="F108" s="12" t="s">
        <v>267</v>
      </c>
      <c r="G108" s="12" t="s">
        <v>270</v>
      </c>
      <c r="H108" s="61" t="n">
        <v>300</v>
      </c>
      <c r="I108" s="62" t="n">
        <v>10.845</v>
      </c>
      <c r="J108" s="62" t="n">
        <v>0.036</v>
      </c>
      <c r="K108" s="62" t="n">
        <v>0.33</v>
      </c>
      <c r="L108" s="61" t="n">
        <v>83.9</v>
      </c>
      <c r="M108" s="63" t="n">
        <v>22</v>
      </c>
      <c r="N108" s="61" t="n">
        <v>21.6</v>
      </c>
      <c r="O108" s="62" t="n">
        <v>0.898</v>
      </c>
      <c r="P108" s="62" t="n">
        <v>0.042</v>
      </c>
      <c r="Q108" s="62" t="n">
        <v>0.249</v>
      </c>
      <c r="R108" s="61" t="n">
        <v>11.5</v>
      </c>
      <c r="S108" s="63" t="n">
        <v>2141</v>
      </c>
      <c r="T108" s="61" t="n">
        <v>8.4</v>
      </c>
      <c r="U108" s="61" t="n">
        <v>14</v>
      </c>
      <c r="V108" s="63" t="n">
        <v>17</v>
      </c>
      <c r="W108" s="61" t="n">
        <v>9.9</v>
      </c>
      <c r="X108" s="62" t="n">
        <v>0.478</v>
      </c>
      <c r="Y108" s="62" t="n">
        <v>0.048</v>
      </c>
      <c r="Z108" s="62" t="n">
        <v>0.248</v>
      </c>
      <c r="AA108" s="61" t="n">
        <v>2.4</v>
      </c>
      <c r="AB108" s="63" t="n">
        <v>951</v>
      </c>
      <c r="AC108" s="61" t="n">
        <v>1.5</v>
      </c>
      <c r="AD108" s="61" t="n">
        <v>3.6</v>
      </c>
      <c r="AE108" s="63" t="n">
        <v>13</v>
      </c>
      <c r="AF108" s="61" t="n">
        <v>14.6</v>
      </c>
      <c r="AG108" s="62" t="n">
        <v>1.592</v>
      </c>
      <c r="AH108" s="62" t="n">
        <v>0.109</v>
      </c>
      <c r="AI108" s="61" t="n">
        <v>0</v>
      </c>
      <c r="AJ108" s="63" t="n">
        <v>14</v>
      </c>
      <c r="AK108" s="61" t="n">
        <v>285.4</v>
      </c>
      <c r="AL108" s="62" t="n">
        <v>9.253</v>
      </c>
      <c r="AM108" s="62" t="n">
        <v>0.032</v>
      </c>
      <c r="AN108" s="61" t="n">
        <v>84.6</v>
      </c>
      <c r="AO108" s="64" t="n">
        <f aca="false">Table1[[#This Row],[Inside_._time]]/Table1[[#This Row],[Duration]]</f>
        <v>0.0486666666666667</v>
      </c>
      <c r="AP108" s="64" t="n">
        <f aca="false">Table1[[#This Row],[Outside_._time]]/Table1[[#This Row],[Duration]]</f>
        <v>0.951333333333333</v>
      </c>
      <c r="AQ108" s="64" t="n">
        <f aca="false">Table1[[#This Row],[Inside_._distance]]/Table1[[#This Row],[Distance]]</f>
        <v>0.146795758414016</v>
      </c>
      <c r="AR108" s="64" t="n">
        <f aca="false">Table1[[#This Row],[Outside_._distance]]/Table1[[#This Row],[Distance]]</f>
        <v>0.853204241585984</v>
      </c>
      <c r="AS108" s="63"/>
      <c r="AT108" s="65"/>
      <c r="AU108" s="65"/>
      <c r="AV108" s="66"/>
      <c r="AW108" s="65"/>
      <c r="AX108" s="65"/>
      <c r="AY108" s="12" t="s">
        <v>71</v>
      </c>
      <c r="AZ108" s="12" t="s">
        <v>65</v>
      </c>
      <c r="BA108" s="63" t="s">
        <v>72</v>
      </c>
      <c r="BB108" s="63" t="n">
        <v>86</v>
      </c>
      <c r="BC108" s="63" t="n">
        <v>2.86666666666667</v>
      </c>
      <c r="BD108" s="63" t="s">
        <v>67</v>
      </c>
      <c r="BE108" s="68" t="n">
        <v>1</v>
      </c>
      <c r="BF108" s="6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</row>
    <row r="109" customFormat="false" ht="12" hidden="false" customHeight="true" outlineLevel="0" collapsed="false">
      <c r="A109" s="12" t="n">
        <v>16</v>
      </c>
      <c r="B109" s="60" t="s">
        <v>112</v>
      </c>
      <c r="C109" s="12" t="s">
        <v>250</v>
      </c>
      <c r="D109" s="12" t="s">
        <v>79</v>
      </c>
      <c r="E109" s="12" t="s">
        <v>251</v>
      </c>
      <c r="F109" s="12" t="s">
        <v>267</v>
      </c>
      <c r="G109" s="12" t="s">
        <v>271</v>
      </c>
      <c r="H109" s="61" t="n">
        <v>300</v>
      </c>
      <c r="I109" s="62" t="n">
        <v>23.18</v>
      </c>
      <c r="J109" s="62" t="n">
        <v>0.077</v>
      </c>
      <c r="K109" s="62" t="n">
        <v>0.407</v>
      </c>
      <c r="L109" s="61" t="n">
        <v>17.2</v>
      </c>
      <c r="M109" s="63" t="n">
        <v>39</v>
      </c>
      <c r="N109" s="61" t="n">
        <v>19.7</v>
      </c>
      <c r="O109" s="62" t="n">
        <v>2.211</v>
      </c>
      <c r="P109" s="62" t="n">
        <v>0.112</v>
      </c>
      <c r="Q109" s="62" t="n">
        <v>0.328</v>
      </c>
      <c r="R109" s="61" t="n">
        <v>4.5</v>
      </c>
      <c r="S109" s="63" t="n">
        <v>3026</v>
      </c>
      <c r="T109" s="61" t="n">
        <v>0</v>
      </c>
      <c r="U109" s="61" t="n">
        <v>5.4</v>
      </c>
      <c r="V109" s="63" t="n">
        <v>26</v>
      </c>
      <c r="W109" s="61" t="n">
        <v>16.5</v>
      </c>
      <c r="X109" s="62" t="n">
        <v>1.692</v>
      </c>
      <c r="Y109" s="62" t="n">
        <v>0.102</v>
      </c>
      <c r="Z109" s="62" t="n">
        <v>0.364</v>
      </c>
      <c r="AA109" s="61" t="n">
        <v>2.5</v>
      </c>
      <c r="AB109" s="63" t="n">
        <v>2604</v>
      </c>
      <c r="AC109" s="61" t="n">
        <v>1.2</v>
      </c>
      <c r="AD109" s="61" t="n">
        <v>3.1</v>
      </c>
      <c r="AE109" s="63" t="n">
        <v>29</v>
      </c>
      <c r="AF109" s="61" t="n">
        <v>59.8</v>
      </c>
      <c r="AG109" s="62" t="n">
        <v>5.528</v>
      </c>
      <c r="AH109" s="62" t="n">
        <v>0.092</v>
      </c>
      <c r="AI109" s="61" t="n">
        <v>0</v>
      </c>
      <c r="AJ109" s="63" t="n">
        <v>29</v>
      </c>
      <c r="AK109" s="61" t="n">
        <v>240.2</v>
      </c>
      <c r="AL109" s="62" t="n">
        <v>17.653</v>
      </c>
      <c r="AM109" s="62" t="n">
        <v>0.074</v>
      </c>
      <c r="AN109" s="61" t="n">
        <v>3.7</v>
      </c>
      <c r="AO109" s="64" t="n">
        <f aca="false">Table1[[#This Row],[Inside_._time]]/Table1[[#This Row],[Duration]]</f>
        <v>0.199333333333333</v>
      </c>
      <c r="AP109" s="64" t="n">
        <f aca="false">Table1[[#This Row],[Outside_._time]]/Table1[[#This Row],[Duration]]</f>
        <v>0.800666666666667</v>
      </c>
      <c r="AQ109" s="64" t="n">
        <f aca="false">Table1[[#This Row],[Inside_._distance]]/Table1[[#This Row],[Distance]]</f>
        <v>0.238481449525453</v>
      </c>
      <c r="AR109" s="64" t="n">
        <f aca="false">Table1[[#This Row],[Outside_._distance]]/Table1[[#This Row],[Distance]]</f>
        <v>0.761561691113028</v>
      </c>
      <c r="AS109" s="63"/>
      <c r="AT109" s="65"/>
      <c r="AU109" s="65"/>
      <c r="AV109" s="66"/>
      <c r="AW109" s="65"/>
      <c r="AX109" s="65"/>
      <c r="AY109" s="12" t="s">
        <v>71</v>
      </c>
      <c r="AZ109" s="12" t="s">
        <v>76</v>
      </c>
      <c r="BA109" s="63" t="s">
        <v>66</v>
      </c>
      <c r="BB109" s="63" t="n">
        <v>86</v>
      </c>
      <c r="BC109" s="63" t="n">
        <v>2.86666666666667</v>
      </c>
      <c r="BD109" s="63" t="s">
        <v>67</v>
      </c>
      <c r="BE109" s="68" t="n">
        <v>7</v>
      </c>
      <c r="BF109" s="6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</row>
    <row r="110" customFormat="false" ht="12" hidden="false" customHeight="true" outlineLevel="0" collapsed="false">
      <c r="A110" s="12" t="n">
        <v>17</v>
      </c>
      <c r="B110" s="60" t="s">
        <v>114</v>
      </c>
      <c r="C110" s="12" t="s">
        <v>250</v>
      </c>
      <c r="D110" s="12" t="s">
        <v>60</v>
      </c>
      <c r="E110" s="12" t="s">
        <v>251</v>
      </c>
      <c r="F110" s="12" t="s">
        <v>272</v>
      </c>
      <c r="G110" s="12" t="s">
        <v>273</v>
      </c>
      <c r="H110" s="61" t="n">
        <v>300</v>
      </c>
      <c r="I110" s="62" t="n">
        <v>6.729</v>
      </c>
      <c r="J110" s="62" t="n">
        <v>0.022</v>
      </c>
      <c r="K110" s="62" t="n">
        <v>0.294</v>
      </c>
      <c r="L110" s="61" t="n">
        <v>38</v>
      </c>
      <c r="M110" s="63" t="n">
        <v>12</v>
      </c>
      <c r="N110" s="61" t="n">
        <v>21.8</v>
      </c>
      <c r="O110" s="62" t="n">
        <v>0.596</v>
      </c>
      <c r="P110" s="62" t="n">
        <v>0.027</v>
      </c>
      <c r="Q110" s="62" t="n">
        <v>0.23</v>
      </c>
      <c r="R110" s="61" t="n">
        <v>1</v>
      </c>
      <c r="S110" s="63" t="n">
        <v>1082</v>
      </c>
      <c r="T110" s="61" t="n">
        <v>1.1</v>
      </c>
      <c r="U110" s="61" t="n">
        <v>4.2</v>
      </c>
      <c r="V110" s="63" t="n">
        <v>9</v>
      </c>
      <c r="W110" s="61" t="n">
        <v>9.9</v>
      </c>
      <c r="X110" s="62" t="n">
        <v>0.334</v>
      </c>
      <c r="Y110" s="62" t="n">
        <v>0.034</v>
      </c>
      <c r="Z110" s="62" t="n">
        <v>0.192</v>
      </c>
      <c r="AA110" s="61" t="n">
        <v>2.7</v>
      </c>
      <c r="AB110" s="63" t="n">
        <v>674</v>
      </c>
      <c r="AC110" s="61" t="n">
        <v>0</v>
      </c>
      <c r="AD110" s="61" t="n">
        <v>3.7</v>
      </c>
      <c r="AE110" s="63" t="n">
        <v>10</v>
      </c>
      <c r="AF110" s="61" t="n">
        <v>25.1</v>
      </c>
      <c r="AG110" s="62" t="n">
        <v>1.48</v>
      </c>
      <c r="AH110" s="62" t="n">
        <v>0.059</v>
      </c>
      <c r="AI110" s="61" t="n">
        <v>0</v>
      </c>
      <c r="AJ110" s="63" t="n">
        <v>10</v>
      </c>
      <c r="AK110" s="61" t="n">
        <v>274.9</v>
      </c>
      <c r="AL110" s="62" t="n">
        <v>5.25</v>
      </c>
      <c r="AM110" s="62" t="n">
        <v>0.019</v>
      </c>
      <c r="AN110" s="61" t="n">
        <v>38</v>
      </c>
      <c r="AO110" s="64" t="n">
        <f aca="false">Table1[[#This Row],[Inside_._time]]/Table1[[#This Row],[Duration]]</f>
        <v>0.0836666666666667</v>
      </c>
      <c r="AP110" s="64" t="n">
        <f aca="false">Table1[[#This Row],[Outside_._time]]/Table1[[#This Row],[Duration]]</f>
        <v>0.916333333333333</v>
      </c>
      <c r="AQ110" s="64" t="n">
        <f aca="false">Table1[[#This Row],[Inside_._distance]]/Table1[[#This Row],[Distance]]</f>
        <v>0.219943528013078</v>
      </c>
      <c r="AR110" s="64" t="n">
        <f aca="false">Table1[[#This Row],[Outside_._distance]]/Table1[[#This Row],[Distance]]</f>
        <v>0.780205082478823</v>
      </c>
      <c r="AS110" s="63"/>
      <c r="AT110" s="65"/>
      <c r="AU110" s="65"/>
      <c r="AV110" s="66"/>
      <c r="AW110" s="65"/>
      <c r="AX110" s="65"/>
      <c r="AY110" s="12" t="s">
        <v>71</v>
      </c>
      <c r="AZ110" s="12" t="s">
        <v>65</v>
      </c>
      <c r="BA110" s="63" t="s">
        <v>66</v>
      </c>
      <c r="BB110" s="63" t="n">
        <v>86</v>
      </c>
      <c r="BC110" s="63" t="n">
        <v>2.86666666666667</v>
      </c>
      <c r="BD110" s="63" t="s">
        <v>67</v>
      </c>
      <c r="BE110" s="68" t="n">
        <v>3</v>
      </c>
      <c r="BF110" s="6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</row>
    <row r="111" customFormat="false" ht="12" hidden="false" customHeight="true" outlineLevel="0" collapsed="false">
      <c r="A111" s="12" t="n">
        <v>18</v>
      </c>
      <c r="B111" s="60" t="s">
        <v>117</v>
      </c>
      <c r="C111" s="12" t="s">
        <v>250</v>
      </c>
      <c r="D111" s="12" t="s">
        <v>69</v>
      </c>
      <c r="E111" s="12" t="s">
        <v>251</v>
      </c>
      <c r="F111" s="12" t="s">
        <v>272</v>
      </c>
      <c r="G111" s="12" t="s">
        <v>274</v>
      </c>
      <c r="H111" s="61" t="n">
        <v>300</v>
      </c>
      <c r="I111" s="62" t="n">
        <v>12.123</v>
      </c>
      <c r="J111" s="62" t="n">
        <v>0.04</v>
      </c>
      <c r="K111" s="62" t="n">
        <v>0.27</v>
      </c>
      <c r="L111" s="61" t="n">
        <v>31.6</v>
      </c>
      <c r="M111" s="63" t="n">
        <v>26</v>
      </c>
      <c r="N111" s="61" t="n">
        <v>23.5</v>
      </c>
      <c r="O111" s="62" t="n">
        <v>1.28</v>
      </c>
      <c r="P111" s="62" t="n">
        <v>0.054</v>
      </c>
      <c r="Q111" s="62" t="n">
        <v>0.209</v>
      </c>
      <c r="R111" s="61" t="n">
        <v>5.1</v>
      </c>
      <c r="S111" s="63" t="n">
        <v>1996</v>
      </c>
      <c r="T111" s="61" t="n">
        <v>1.3</v>
      </c>
      <c r="U111" s="61" t="n">
        <v>7.7</v>
      </c>
      <c r="V111" s="63" t="n">
        <v>12</v>
      </c>
      <c r="W111" s="61" t="n">
        <v>8.8</v>
      </c>
      <c r="X111" s="62" t="n">
        <v>0.857</v>
      </c>
      <c r="Y111" s="62" t="n">
        <v>0.098</v>
      </c>
      <c r="Z111" s="62" t="n">
        <v>0.259</v>
      </c>
      <c r="AA111" s="61" t="n">
        <v>3.3</v>
      </c>
      <c r="AB111" s="63" t="n">
        <v>986</v>
      </c>
      <c r="AC111" s="61" t="n">
        <v>0</v>
      </c>
      <c r="AD111" s="61" t="n">
        <v>3.3</v>
      </c>
      <c r="AE111" s="63" t="n">
        <v>30</v>
      </c>
      <c r="AF111" s="61" t="n">
        <v>50</v>
      </c>
      <c r="AG111" s="62" t="n">
        <v>3.711</v>
      </c>
      <c r="AH111" s="62" t="n">
        <v>0.074</v>
      </c>
      <c r="AI111" s="61" t="n">
        <v>3.8</v>
      </c>
      <c r="AJ111" s="63" t="n">
        <v>31</v>
      </c>
      <c r="AK111" s="61" t="n">
        <v>250</v>
      </c>
      <c r="AL111" s="62" t="n">
        <v>8.412</v>
      </c>
      <c r="AM111" s="62" t="n">
        <v>0.034</v>
      </c>
      <c r="AN111" s="61" t="n">
        <v>27.8</v>
      </c>
      <c r="AO111" s="64" t="n">
        <f aca="false">Table1[[#This Row],[Inside_._time]]/Table1[[#This Row],[Duration]]</f>
        <v>0.166666666666667</v>
      </c>
      <c r="AP111" s="64" t="n">
        <f aca="false">Table1[[#This Row],[Outside_._time]]/Table1[[#This Row],[Duration]]</f>
        <v>0.833333333333333</v>
      </c>
      <c r="AQ111" s="64" t="n">
        <f aca="false">Table1[[#This Row],[Inside_._distance]]/Table1[[#This Row],[Distance]]</f>
        <v>0.306112348428607</v>
      </c>
      <c r="AR111" s="64" t="n">
        <f aca="false">Table1[[#This Row],[Outside_._distance]]/Table1[[#This Row],[Distance]]</f>
        <v>0.693887651571393</v>
      </c>
      <c r="AS111" s="63"/>
      <c r="AT111" s="65"/>
      <c r="AU111" s="65"/>
      <c r="AV111" s="66"/>
      <c r="AW111" s="65"/>
      <c r="AX111" s="65"/>
      <c r="AY111" s="12" t="s">
        <v>64</v>
      </c>
      <c r="AZ111" s="12" t="s">
        <v>65</v>
      </c>
      <c r="BA111" s="63" t="s">
        <v>66</v>
      </c>
      <c r="BB111" s="63" t="n">
        <v>76</v>
      </c>
      <c r="BC111" s="63" t="n">
        <v>2.53333333333333</v>
      </c>
      <c r="BD111" s="63" t="s">
        <v>67</v>
      </c>
      <c r="BE111" s="68" t="n">
        <v>3</v>
      </c>
      <c r="BF111" s="6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</row>
    <row r="112" customFormat="false" ht="12" hidden="false" customHeight="true" outlineLevel="0" collapsed="false">
      <c r="A112" s="12" t="n">
        <v>20</v>
      </c>
      <c r="B112" s="60" t="s">
        <v>119</v>
      </c>
      <c r="C112" s="12" t="s">
        <v>250</v>
      </c>
      <c r="D112" s="12" t="s">
        <v>74</v>
      </c>
      <c r="E112" s="12" t="s">
        <v>251</v>
      </c>
      <c r="F112" s="12" t="s">
        <v>272</v>
      </c>
      <c r="G112" s="12" t="s">
        <v>275</v>
      </c>
      <c r="H112" s="61" t="n">
        <v>300</v>
      </c>
      <c r="I112" s="62" t="n">
        <v>6.493</v>
      </c>
      <c r="J112" s="62" t="n">
        <v>0.022</v>
      </c>
      <c r="K112" s="62" t="n">
        <v>0.196</v>
      </c>
      <c r="L112" s="61" t="n">
        <v>36.3</v>
      </c>
      <c r="M112" s="63" t="n">
        <v>19</v>
      </c>
      <c r="N112" s="61" t="n">
        <v>68</v>
      </c>
      <c r="O112" s="62" t="n">
        <v>0.49</v>
      </c>
      <c r="P112" s="62" t="n">
        <v>0.007</v>
      </c>
      <c r="Q112" s="62" t="n">
        <v>0.184</v>
      </c>
      <c r="R112" s="61" t="n">
        <v>19.1</v>
      </c>
      <c r="S112" s="63" t="n">
        <v>3777</v>
      </c>
      <c r="T112" s="61" t="n">
        <v>13.8</v>
      </c>
      <c r="U112" s="61" t="n">
        <v>26.2</v>
      </c>
      <c r="V112" s="63" t="n">
        <v>7</v>
      </c>
      <c r="W112" s="61" t="n">
        <v>25.8</v>
      </c>
      <c r="X112" s="62" t="n">
        <v>0.484</v>
      </c>
      <c r="Y112" s="62" t="n">
        <v>0.019</v>
      </c>
      <c r="Z112" s="62" t="n">
        <v>0.186</v>
      </c>
      <c r="AA112" s="61" t="n">
        <v>0.8</v>
      </c>
      <c r="AB112" s="63" t="n">
        <v>548</v>
      </c>
      <c r="AC112" s="61" t="n">
        <v>11.3</v>
      </c>
      <c r="AD112" s="61" t="n">
        <v>1.9</v>
      </c>
      <c r="AE112" s="63" t="n">
        <v>9</v>
      </c>
      <c r="AF112" s="61" t="n">
        <v>32.7</v>
      </c>
      <c r="AG112" s="62" t="n">
        <v>1.151</v>
      </c>
      <c r="AH112" s="62" t="n">
        <v>0.035</v>
      </c>
      <c r="AI112" s="61" t="n">
        <v>11.3</v>
      </c>
      <c r="AJ112" s="63" t="n">
        <v>10</v>
      </c>
      <c r="AK112" s="61" t="n">
        <v>267.3</v>
      </c>
      <c r="AL112" s="62" t="n">
        <v>5.342</v>
      </c>
      <c r="AM112" s="62" t="n">
        <v>0.02</v>
      </c>
      <c r="AN112" s="61" t="n">
        <v>25</v>
      </c>
      <c r="AO112" s="64" t="n">
        <f aca="false">Table1[[#This Row],[Inside_._time]]/Table1[[#This Row],[Duration]]</f>
        <v>0.109</v>
      </c>
      <c r="AP112" s="64" t="n">
        <f aca="false">Table1[[#This Row],[Outside_._time]]/Table1[[#This Row],[Duration]]</f>
        <v>0.891</v>
      </c>
      <c r="AQ112" s="64" t="n">
        <f aca="false">Table1[[#This Row],[Inside_._distance]]/Table1[[#This Row],[Distance]]</f>
        <v>0.177267826890497</v>
      </c>
      <c r="AR112" s="64" t="n">
        <f aca="false">Table1[[#This Row],[Outside_._distance]]/Table1[[#This Row],[Distance]]</f>
        <v>0.822732173109502</v>
      </c>
      <c r="AS112" s="63"/>
      <c r="AT112" s="65"/>
      <c r="AU112" s="65"/>
      <c r="AV112" s="66"/>
      <c r="AW112" s="65"/>
      <c r="AX112" s="65"/>
      <c r="AY112" s="12" t="s">
        <v>64</v>
      </c>
      <c r="AZ112" s="12" t="s">
        <v>76</v>
      </c>
      <c r="BA112" s="63" t="s">
        <v>66</v>
      </c>
      <c r="BB112" s="63" t="n">
        <v>76</v>
      </c>
      <c r="BC112" s="63" t="n">
        <v>2.53333333333333</v>
      </c>
      <c r="BD112" s="63" t="s">
        <v>81</v>
      </c>
      <c r="BE112" s="68" t="n">
        <v>8</v>
      </c>
      <c r="BF112" s="6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</row>
    <row r="113" customFormat="false" ht="12" hidden="false" customHeight="true" outlineLevel="0" collapsed="false">
      <c r="A113" s="12" t="n">
        <v>19</v>
      </c>
      <c r="B113" s="60" t="s">
        <v>121</v>
      </c>
      <c r="C113" s="12" t="s">
        <v>250</v>
      </c>
      <c r="D113" s="12" t="s">
        <v>79</v>
      </c>
      <c r="E113" s="12" t="s">
        <v>251</v>
      </c>
      <c r="F113" s="12" t="s">
        <v>272</v>
      </c>
      <c r="G113" s="12" t="s">
        <v>276</v>
      </c>
      <c r="H113" s="61" t="n">
        <v>300</v>
      </c>
      <c r="I113" s="62" t="n">
        <v>14.232</v>
      </c>
      <c r="J113" s="62" t="n">
        <v>0.047</v>
      </c>
      <c r="K113" s="62" t="n">
        <v>0.272</v>
      </c>
      <c r="L113" s="61" t="n">
        <v>26.3</v>
      </c>
      <c r="M113" s="63" t="n">
        <v>17</v>
      </c>
      <c r="N113" s="61" t="n">
        <v>18.9</v>
      </c>
      <c r="O113" s="62" t="n">
        <v>1.256</v>
      </c>
      <c r="P113" s="62" t="n">
        <v>0.066</v>
      </c>
      <c r="Q113" s="62" t="n">
        <v>0.196</v>
      </c>
      <c r="R113" s="61" t="n">
        <v>2.5</v>
      </c>
      <c r="S113" s="63" t="n">
        <v>1614</v>
      </c>
      <c r="T113" s="61" t="n">
        <v>0</v>
      </c>
      <c r="U113" s="61" t="n">
        <v>3.2</v>
      </c>
      <c r="V113" s="63" t="n">
        <v>24</v>
      </c>
      <c r="W113" s="61" t="n">
        <v>12.1</v>
      </c>
      <c r="X113" s="62" t="n">
        <v>1.042</v>
      </c>
      <c r="Y113" s="62" t="n">
        <v>0.086</v>
      </c>
      <c r="Z113" s="62" t="n">
        <v>0.238</v>
      </c>
      <c r="AA113" s="61" t="n">
        <v>1.7</v>
      </c>
      <c r="AB113" s="63" t="n">
        <v>1190</v>
      </c>
      <c r="AC113" s="61" t="n">
        <v>0.8</v>
      </c>
      <c r="AD113" s="61" t="n">
        <v>1.9</v>
      </c>
      <c r="AE113" s="63" t="n">
        <v>19</v>
      </c>
      <c r="AF113" s="61" t="n">
        <v>53.9</v>
      </c>
      <c r="AG113" s="62" t="n">
        <v>2.808</v>
      </c>
      <c r="AH113" s="62" t="n">
        <v>0.052</v>
      </c>
      <c r="AI113" s="61" t="n">
        <v>14.9</v>
      </c>
      <c r="AJ113" s="63" t="n">
        <v>19</v>
      </c>
      <c r="AK113" s="61" t="n">
        <v>246.1</v>
      </c>
      <c r="AL113" s="62" t="n">
        <v>11.424</v>
      </c>
      <c r="AM113" s="62" t="n">
        <v>0.046</v>
      </c>
      <c r="AN113" s="61" t="n">
        <v>11.5</v>
      </c>
      <c r="AO113" s="64" t="n">
        <f aca="false">Table1[[#This Row],[Inside_._time]]/Table1[[#This Row],[Duration]]</f>
        <v>0.179666666666667</v>
      </c>
      <c r="AP113" s="64" t="n">
        <f aca="false">Table1[[#This Row],[Outside_._time]]/Table1[[#This Row],[Duration]]</f>
        <v>0.820333333333333</v>
      </c>
      <c r="AQ113" s="64" t="n">
        <f aca="false">Table1[[#This Row],[Inside_._distance]]/Table1[[#This Row],[Distance]]</f>
        <v>0.197301854974705</v>
      </c>
      <c r="AR113" s="64" t="n">
        <f aca="false">Table1[[#This Row],[Outside_._distance]]/Table1[[#This Row],[Distance]]</f>
        <v>0.802698145025295</v>
      </c>
      <c r="AS113" s="63"/>
      <c r="AT113" s="65"/>
      <c r="AU113" s="65"/>
      <c r="AV113" s="66"/>
      <c r="AW113" s="65"/>
      <c r="AX113" s="65"/>
      <c r="AY113" s="12" t="s">
        <v>71</v>
      </c>
      <c r="AZ113" s="12" t="s">
        <v>65</v>
      </c>
      <c r="BA113" s="63" t="s">
        <v>66</v>
      </c>
      <c r="BB113" s="63" t="n">
        <v>76</v>
      </c>
      <c r="BC113" s="63" t="n">
        <v>2.53333333333333</v>
      </c>
      <c r="BD113" s="63" t="s">
        <v>67</v>
      </c>
      <c r="BE113" s="68" t="n">
        <v>3</v>
      </c>
      <c r="BF113" s="6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</row>
    <row r="114" customFormat="false" ht="12" hidden="false" customHeight="true" outlineLevel="0" collapsed="false">
      <c r="A114" s="12" t="n">
        <v>23</v>
      </c>
      <c r="B114" s="60" t="s">
        <v>123</v>
      </c>
      <c r="C114" s="12" t="s">
        <v>250</v>
      </c>
      <c r="D114" s="12" t="s">
        <v>60</v>
      </c>
      <c r="E114" s="12" t="s">
        <v>251</v>
      </c>
      <c r="F114" s="12" t="s">
        <v>277</v>
      </c>
      <c r="G114" s="12" t="s">
        <v>278</v>
      </c>
      <c r="H114" s="61" t="n">
        <v>300</v>
      </c>
      <c r="I114" s="62" t="n">
        <v>20.986</v>
      </c>
      <c r="J114" s="62" t="n">
        <v>0.07</v>
      </c>
      <c r="K114" s="62" t="n">
        <v>0.337</v>
      </c>
      <c r="L114" s="61" t="n">
        <v>2.2</v>
      </c>
      <c r="M114" s="63" t="n">
        <v>29</v>
      </c>
      <c r="N114" s="61" t="n">
        <v>13.6</v>
      </c>
      <c r="O114" s="62" t="n">
        <v>1.945</v>
      </c>
      <c r="P114" s="62" t="n">
        <v>0.143</v>
      </c>
      <c r="Q114" s="62" t="n">
        <v>0.306</v>
      </c>
      <c r="R114" s="61" t="n">
        <v>1.7</v>
      </c>
      <c r="S114" s="63" t="n">
        <v>1909</v>
      </c>
      <c r="T114" s="61" t="n">
        <v>0</v>
      </c>
      <c r="U114" s="61" t="n">
        <v>2.8</v>
      </c>
      <c r="V114" s="63" t="n">
        <v>16</v>
      </c>
      <c r="W114" s="61" t="n">
        <v>10.1</v>
      </c>
      <c r="X114" s="62" t="n">
        <v>1.195</v>
      </c>
      <c r="Y114" s="62" t="n">
        <v>0.118</v>
      </c>
      <c r="Z114" s="62" t="n">
        <v>0.31</v>
      </c>
      <c r="AA114" s="61" t="n">
        <v>0.9</v>
      </c>
      <c r="AB114" s="63" t="n">
        <v>1604</v>
      </c>
      <c r="AC114" s="61" t="n">
        <v>0</v>
      </c>
      <c r="AD114" s="61" t="n">
        <v>1.9</v>
      </c>
      <c r="AE114" s="63" t="n">
        <v>32</v>
      </c>
      <c r="AF114" s="61" t="n">
        <v>34.6</v>
      </c>
      <c r="AG114" s="62" t="n">
        <v>5.416</v>
      </c>
      <c r="AH114" s="62" t="n">
        <v>0.156</v>
      </c>
      <c r="AI114" s="61" t="n">
        <v>0</v>
      </c>
      <c r="AJ114" s="63" t="n">
        <v>33</v>
      </c>
      <c r="AK114" s="61" t="n">
        <v>265.4</v>
      </c>
      <c r="AL114" s="62" t="n">
        <v>15.57</v>
      </c>
      <c r="AM114" s="62" t="n">
        <v>0.059</v>
      </c>
      <c r="AN114" s="61" t="n">
        <v>2.2</v>
      </c>
      <c r="AO114" s="64" t="n">
        <f aca="false">Table1[[#This Row],[Inside_._time]]/Table1[[#This Row],[Duration]]</f>
        <v>0.115333333333333</v>
      </c>
      <c r="AP114" s="64" t="n">
        <f aca="false">Table1[[#This Row],[Outside_._time]]/Table1[[#This Row],[Duration]]</f>
        <v>0.884666666666667</v>
      </c>
      <c r="AQ114" s="64" t="n">
        <f aca="false">Table1[[#This Row],[Inside_._distance]]/Table1[[#This Row],[Distance]]</f>
        <v>0.258076813113504</v>
      </c>
      <c r="AR114" s="64" t="n">
        <f aca="false">Table1[[#This Row],[Outside_._distance]]/Table1[[#This Row],[Distance]]</f>
        <v>0.741923186886496</v>
      </c>
      <c r="AS114" s="63"/>
      <c r="AT114" s="65"/>
      <c r="AU114" s="65"/>
      <c r="AV114" s="66"/>
      <c r="AW114" s="65"/>
      <c r="AX114" s="65"/>
      <c r="AY114" s="12" t="s">
        <v>71</v>
      </c>
      <c r="AZ114" s="12" t="s">
        <v>76</v>
      </c>
      <c r="BA114" s="63" t="s">
        <v>72</v>
      </c>
      <c r="BB114" s="63" t="n">
        <v>76</v>
      </c>
      <c r="BC114" s="63" t="n">
        <v>2.53333333333333</v>
      </c>
      <c r="BD114" s="63" t="s">
        <v>67</v>
      </c>
      <c r="BE114" s="68" t="n">
        <v>5</v>
      </c>
      <c r="BF114" s="6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</row>
    <row r="115" s="78" customFormat="true" ht="12" hidden="false" customHeight="true" outlineLevel="0" collapsed="false">
      <c r="A115" s="69" t="n">
        <v>24</v>
      </c>
      <c r="B115" s="70" t="s">
        <v>126</v>
      </c>
      <c r="C115" s="69" t="s">
        <v>250</v>
      </c>
      <c r="D115" s="69" t="s">
        <v>69</v>
      </c>
      <c r="E115" s="69" t="s">
        <v>251</v>
      </c>
      <c r="F115" s="69" t="s">
        <v>277</v>
      </c>
      <c r="G115" s="69" t="s">
        <v>279</v>
      </c>
      <c r="H115" s="71" t="n">
        <v>300</v>
      </c>
      <c r="I115" s="72" t="n">
        <v>18.441</v>
      </c>
      <c r="J115" s="72" t="n">
        <v>0.061</v>
      </c>
      <c r="K115" s="72" t="n">
        <v>0.309</v>
      </c>
      <c r="L115" s="71" t="n">
        <v>11.1</v>
      </c>
      <c r="M115" s="73" t="n">
        <v>19</v>
      </c>
      <c r="N115" s="71" t="n">
        <v>11.6</v>
      </c>
      <c r="O115" s="72" t="n">
        <v>1.186</v>
      </c>
      <c r="P115" s="72" t="n">
        <v>0.102</v>
      </c>
      <c r="Q115" s="72" t="n">
        <v>0.249</v>
      </c>
      <c r="R115" s="71" t="n">
        <v>4.5</v>
      </c>
      <c r="S115" s="73" t="n">
        <v>1242</v>
      </c>
      <c r="T115" s="71" t="n">
        <v>0</v>
      </c>
      <c r="U115" s="71" t="n">
        <v>5.1</v>
      </c>
      <c r="V115" s="73" t="n">
        <v>25</v>
      </c>
      <c r="W115" s="71" t="n">
        <v>20.5</v>
      </c>
      <c r="X115" s="72" t="n">
        <v>1.843</v>
      </c>
      <c r="Y115" s="72" t="n">
        <v>0.09</v>
      </c>
      <c r="Z115" s="72" t="n">
        <v>0.272</v>
      </c>
      <c r="AA115" s="71" t="n">
        <v>1.7</v>
      </c>
      <c r="AB115" s="73" t="n">
        <v>2621</v>
      </c>
      <c r="AC115" s="71" t="n">
        <v>0.5</v>
      </c>
      <c r="AD115" s="71" t="n">
        <v>3.8</v>
      </c>
      <c r="AE115" s="73" t="n">
        <v>18</v>
      </c>
      <c r="AF115" s="71" t="n">
        <v>25.7</v>
      </c>
      <c r="AG115" s="72" t="n">
        <v>3.097</v>
      </c>
      <c r="AH115" s="72" t="n">
        <v>0.12</v>
      </c>
      <c r="AI115" s="71" t="n">
        <v>0</v>
      </c>
      <c r="AJ115" s="73" t="n">
        <v>19</v>
      </c>
      <c r="AK115" s="71" t="n">
        <v>274.3</v>
      </c>
      <c r="AL115" s="72" t="n">
        <v>15.344</v>
      </c>
      <c r="AM115" s="72" t="n">
        <v>0.056</v>
      </c>
      <c r="AN115" s="71" t="n">
        <v>11.1</v>
      </c>
      <c r="AO115" s="74" t="n">
        <f aca="false">Table1[[#This Row],[Inside_._time]]/Table1[[#This Row],[Duration]]</f>
        <v>0.0856666666666667</v>
      </c>
      <c r="AP115" s="74" t="n">
        <f aca="false">Table1[[#This Row],[Outside_._time]]/Table1[[#This Row],[Duration]]</f>
        <v>0.914333333333333</v>
      </c>
      <c r="AQ115" s="74" t="n">
        <f aca="false">Table1[[#This Row],[Inside_._distance]]/Table1[[#This Row],[Distance]]</f>
        <v>0.167941001030313</v>
      </c>
      <c r="AR115" s="74" t="n">
        <f aca="false">Table1[[#This Row],[Outside_._distance]]/Table1[[#This Row],[Distance]]</f>
        <v>0.832058998969687</v>
      </c>
      <c r="AS115" s="63"/>
      <c r="AT115" s="73"/>
      <c r="AU115" s="73"/>
      <c r="AV115" s="71"/>
      <c r="AW115" s="73"/>
      <c r="AX115" s="73"/>
      <c r="AY115" s="69" t="s">
        <v>71</v>
      </c>
      <c r="AZ115" s="69" t="s">
        <v>65</v>
      </c>
      <c r="BA115" s="69" t="s">
        <v>72</v>
      </c>
      <c r="BB115" s="69" t="n">
        <v>81</v>
      </c>
      <c r="BC115" s="71" t="n">
        <v>2.7</v>
      </c>
      <c r="BD115" s="73"/>
      <c r="BE115" s="77"/>
      <c r="BF115" s="73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</row>
    <row r="116" customFormat="false" ht="12" hidden="false" customHeight="true" outlineLevel="0" collapsed="false">
      <c r="A116" s="12" t="n">
        <v>22</v>
      </c>
      <c r="B116" s="60" t="s">
        <v>128</v>
      </c>
      <c r="C116" s="12" t="s">
        <v>250</v>
      </c>
      <c r="D116" s="12" t="s">
        <v>74</v>
      </c>
      <c r="E116" s="12" t="s">
        <v>251</v>
      </c>
      <c r="F116" s="12" t="s">
        <v>277</v>
      </c>
      <c r="G116" s="12" t="s">
        <v>280</v>
      </c>
      <c r="H116" s="61" t="n">
        <v>300</v>
      </c>
      <c r="I116" s="62" t="n">
        <v>10.277</v>
      </c>
      <c r="J116" s="62" t="n">
        <v>0.034</v>
      </c>
      <c r="K116" s="62" t="n">
        <v>0.205</v>
      </c>
      <c r="L116" s="61" t="n">
        <v>38.6</v>
      </c>
      <c r="M116" s="63" t="n">
        <v>25</v>
      </c>
      <c r="N116" s="61" t="n">
        <v>40.9</v>
      </c>
      <c r="O116" s="62" t="n">
        <v>0.774</v>
      </c>
      <c r="P116" s="62" t="n">
        <v>0.019</v>
      </c>
      <c r="Q116" s="62" t="n">
        <v>0.176</v>
      </c>
      <c r="R116" s="61" t="n">
        <v>24.2</v>
      </c>
      <c r="S116" s="63" t="n">
        <v>2153</v>
      </c>
      <c r="T116" s="61" t="n">
        <v>6.7</v>
      </c>
      <c r="U116" s="61" t="n">
        <v>30.2</v>
      </c>
      <c r="V116" s="63" t="n">
        <v>13</v>
      </c>
      <c r="W116" s="61" t="n">
        <v>10.5</v>
      </c>
      <c r="X116" s="62" t="n">
        <v>0.769</v>
      </c>
      <c r="Y116" s="62" t="n">
        <v>0.073</v>
      </c>
      <c r="Z116" s="62" t="n">
        <v>0.196</v>
      </c>
      <c r="AA116" s="61" t="n">
        <v>4.9</v>
      </c>
      <c r="AB116" s="63" t="n">
        <v>685</v>
      </c>
      <c r="AC116" s="61" t="n">
        <v>0</v>
      </c>
      <c r="AD116" s="61" t="n">
        <v>6.1</v>
      </c>
      <c r="AE116" s="63" t="n">
        <v>10</v>
      </c>
      <c r="AF116" s="61" t="n">
        <v>65.5</v>
      </c>
      <c r="AG116" s="62" t="n">
        <v>1.947</v>
      </c>
      <c r="AH116" s="62" t="n">
        <v>0.03</v>
      </c>
      <c r="AI116" s="61" t="n">
        <v>7.9</v>
      </c>
      <c r="AJ116" s="63" t="n">
        <v>11</v>
      </c>
      <c r="AK116" s="61" t="n">
        <v>234.5</v>
      </c>
      <c r="AL116" s="62" t="n">
        <v>8.33</v>
      </c>
      <c r="AM116" s="62" t="n">
        <v>0.036</v>
      </c>
      <c r="AN116" s="61" t="n">
        <v>30.8</v>
      </c>
      <c r="AO116" s="64" t="n">
        <f aca="false">Table1[[#This Row],[Inside_._time]]/Table1[[#This Row],[Duration]]</f>
        <v>0.218333333333333</v>
      </c>
      <c r="AP116" s="64" t="n">
        <f aca="false">Table1[[#This Row],[Outside_._time]]/Table1[[#This Row],[Duration]]</f>
        <v>0.781666666666667</v>
      </c>
      <c r="AQ116" s="64" t="n">
        <f aca="false">Table1[[#This Row],[Inside_._distance]]/Table1[[#This Row],[Distance]]</f>
        <v>0.189452174759171</v>
      </c>
      <c r="AR116" s="64" t="n">
        <f aca="false">Table1[[#This Row],[Outside_._distance]]/Table1[[#This Row],[Distance]]</f>
        <v>0.810547825240829</v>
      </c>
      <c r="AS116" s="63"/>
      <c r="AT116" s="65"/>
      <c r="AU116" s="65"/>
      <c r="AV116" s="66"/>
      <c r="AW116" s="65"/>
      <c r="AX116" s="65"/>
      <c r="AY116" s="12" t="s">
        <v>64</v>
      </c>
      <c r="AZ116" s="12" t="s">
        <v>76</v>
      </c>
      <c r="BA116" s="63" t="s">
        <v>72</v>
      </c>
      <c r="BB116" s="63" t="n">
        <v>68</v>
      </c>
      <c r="BC116" s="63" t="n">
        <v>2.26666666666667</v>
      </c>
      <c r="BD116" s="63" t="s">
        <v>81</v>
      </c>
      <c r="BE116" s="68" t="n">
        <v>6</v>
      </c>
      <c r="BF116" s="6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</row>
    <row r="117" customFormat="false" ht="12" hidden="false" customHeight="true" outlineLevel="0" collapsed="false">
      <c r="A117" s="12" t="n">
        <v>21</v>
      </c>
      <c r="B117" s="60" t="s">
        <v>130</v>
      </c>
      <c r="C117" s="12" t="s">
        <v>250</v>
      </c>
      <c r="D117" s="12" t="s">
        <v>79</v>
      </c>
      <c r="E117" s="12" t="s">
        <v>251</v>
      </c>
      <c r="F117" s="12" t="s">
        <v>277</v>
      </c>
      <c r="G117" s="12" t="s">
        <v>281</v>
      </c>
      <c r="H117" s="61" t="n">
        <v>300</v>
      </c>
      <c r="I117" s="62" t="n">
        <v>17.585</v>
      </c>
      <c r="J117" s="62" t="n">
        <v>0.059</v>
      </c>
      <c r="K117" s="62" t="n">
        <v>0.272</v>
      </c>
      <c r="L117" s="61" t="n">
        <v>8.9</v>
      </c>
      <c r="M117" s="63" t="n">
        <v>28</v>
      </c>
      <c r="N117" s="61" t="n">
        <v>29.8</v>
      </c>
      <c r="O117" s="62" t="n">
        <v>1.792</v>
      </c>
      <c r="P117" s="62" t="n">
        <v>0.06</v>
      </c>
      <c r="Q117" s="62" t="n">
        <v>0.272</v>
      </c>
      <c r="R117" s="61" t="n">
        <v>4.3</v>
      </c>
      <c r="S117" s="63" t="n">
        <v>2649</v>
      </c>
      <c r="T117" s="61" t="n">
        <v>4</v>
      </c>
      <c r="U117" s="61" t="n">
        <v>12.4</v>
      </c>
      <c r="V117" s="63" t="n">
        <v>18</v>
      </c>
      <c r="W117" s="61" t="n">
        <v>16.6</v>
      </c>
      <c r="X117" s="62" t="n">
        <v>1.223</v>
      </c>
      <c r="Y117" s="62" t="n">
        <v>0.074</v>
      </c>
      <c r="Z117" s="62" t="n">
        <v>0.195</v>
      </c>
      <c r="AA117" s="61" t="n">
        <v>2.8</v>
      </c>
      <c r="AB117" s="63" t="n">
        <v>1384</v>
      </c>
      <c r="AC117" s="61" t="n">
        <v>0</v>
      </c>
      <c r="AD117" s="61" t="n">
        <v>4.1</v>
      </c>
      <c r="AE117" s="63" t="n">
        <v>27</v>
      </c>
      <c r="AF117" s="61" t="n">
        <v>31.5</v>
      </c>
      <c r="AG117" s="62" t="n">
        <v>3.398</v>
      </c>
      <c r="AH117" s="62" t="n">
        <v>0.108</v>
      </c>
      <c r="AI117" s="61" t="n">
        <v>0</v>
      </c>
      <c r="AJ117" s="63" t="n">
        <v>28</v>
      </c>
      <c r="AK117" s="61" t="n">
        <v>268.5</v>
      </c>
      <c r="AL117" s="62" t="n">
        <v>14.187</v>
      </c>
      <c r="AM117" s="62" t="n">
        <v>0.053</v>
      </c>
      <c r="AN117" s="61" t="n">
        <v>8.9</v>
      </c>
      <c r="AO117" s="64" t="n">
        <f aca="false">Table1[[#This Row],[Inside_._time]]/Table1[[#This Row],[Duration]]</f>
        <v>0.105</v>
      </c>
      <c r="AP117" s="64" t="n">
        <f aca="false">Table1[[#This Row],[Outside_._time]]/Table1[[#This Row],[Duration]]</f>
        <v>0.895</v>
      </c>
      <c r="AQ117" s="64" t="n">
        <f aca="false">Table1[[#This Row],[Inside_._distance]]/Table1[[#This Row],[Distance]]</f>
        <v>0.193232868922377</v>
      </c>
      <c r="AR117" s="64" t="n">
        <f aca="false">Table1[[#This Row],[Outside_._distance]]/Table1[[#This Row],[Distance]]</f>
        <v>0.806767131077623</v>
      </c>
      <c r="AS117" s="63"/>
      <c r="AT117" s="65"/>
      <c r="AU117" s="65"/>
      <c r="AV117" s="66"/>
      <c r="AW117" s="65"/>
      <c r="AX117" s="65"/>
      <c r="AY117" s="12" t="s">
        <v>64</v>
      </c>
      <c r="AZ117" s="12" t="s">
        <v>76</v>
      </c>
      <c r="BA117" s="63" t="s">
        <v>72</v>
      </c>
      <c r="BB117" s="63" t="n">
        <v>68</v>
      </c>
      <c r="BC117" s="63" t="n">
        <v>2.26666666666667</v>
      </c>
      <c r="BD117" s="63" t="s">
        <v>67</v>
      </c>
      <c r="BE117" s="68" t="n">
        <v>5</v>
      </c>
      <c r="BF117" s="6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</row>
    <row r="118" s="78" customFormat="true" ht="12" hidden="false" customHeight="true" outlineLevel="0" collapsed="false">
      <c r="A118" s="69" t="n">
        <v>27</v>
      </c>
      <c r="B118" s="70" t="s">
        <v>132</v>
      </c>
      <c r="C118" s="69" t="s">
        <v>250</v>
      </c>
      <c r="D118" s="69" t="s">
        <v>60</v>
      </c>
      <c r="E118" s="69" t="s">
        <v>251</v>
      </c>
      <c r="F118" s="69" t="s">
        <v>282</v>
      </c>
      <c r="G118" s="69" t="s">
        <v>283</v>
      </c>
      <c r="H118" s="71" t="n">
        <v>300</v>
      </c>
      <c r="I118" s="72" t="n">
        <v>5.344</v>
      </c>
      <c r="J118" s="72" t="n">
        <v>0.018</v>
      </c>
      <c r="K118" s="72" t="n">
        <v>0.19</v>
      </c>
      <c r="L118" s="71" t="n">
        <v>49.9</v>
      </c>
      <c r="M118" s="73" t="n">
        <v>9</v>
      </c>
      <c r="N118" s="71" t="n">
        <v>3.4</v>
      </c>
      <c r="O118" s="72" t="n">
        <v>0.123</v>
      </c>
      <c r="P118" s="72" t="n">
        <v>0.036</v>
      </c>
      <c r="Q118" s="72" t="n">
        <v>0.117</v>
      </c>
      <c r="R118" s="71" t="n">
        <v>0</v>
      </c>
      <c r="S118" s="73" t="n">
        <v>139</v>
      </c>
      <c r="T118" s="71" t="n">
        <v>0</v>
      </c>
      <c r="U118" s="71" t="n">
        <v>2.8</v>
      </c>
      <c r="V118" s="73" t="n">
        <v>50</v>
      </c>
      <c r="W118" s="71" t="n">
        <v>95.1</v>
      </c>
      <c r="X118" s="72" t="n">
        <v>0.484</v>
      </c>
      <c r="Y118" s="72" t="n">
        <v>0.005</v>
      </c>
      <c r="Z118" s="72" t="n">
        <v>0.184</v>
      </c>
      <c r="AA118" s="71" t="n">
        <v>52.6</v>
      </c>
      <c r="AB118" s="73" t="n">
        <v>5520</v>
      </c>
      <c r="AC118" s="71" t="n">
        <v>22.6</v>
      </c>
      <c r="AD118" s="71" t="n">
        <v>81.6</v>
      </c>
      <c r="AE118" s="73" t="n">
        <v>3</v>
      </c>
      <c r="AF118" s="71" t="n">
        <v>4.5</v>
      </c>
      <c r="AG118" s="72" t="n">
        <v>0.535</v>
      </c>
      <c r="AH118" s="72" t="n">
        <v>0.12</v>
      </c>
      <c r="AI118" s="71" t="n">
        <v>0</v>
      </c>
      <c r="AJ118" s="73" t="n">
        <v>4</v>
      </c>
      <c r="AK118" s="71" t="n">
        <v>295.5</v>
      </c>
      <c r="AL118" s="72" t="n">
        <v>4.808</v>
      </c>
      <c r="AM118" s="72" t="n">
        <v>0.016</v>
      </c>
      <c r="AN118" s="71" t="n">
        <v>49.9</v>
      </c>
      <c r="AO118" s="74" t="n">
        <f aca="false">Table1[[#This Row],[Inside_._time]]/Table1[[#This Row],[Duration]]</f>
        <v>0.015</v>
      </c>
      <c r="AP118" s="74" t="n">
        <f aca="false">Table1[[#This Row],[Outside_._time]]/Table1[[#This Row],[Duration]]</f>
        <v>0.985</v>
      </c>
      <c r="AQ118" s="74" t="n">
        <f aca="false">Table1[[#This Row],[Inside_._distance]]/Table1[[#This Row],[Distance]]</f>
        <v>0.100112275449102</v>
      </c>
      <c r="AR118" s="74" t="n">
        <f aca="false">Table1[[#This Row],[Outside_._distance]]/Table1[[#This Row],[Distance]]</f>
        <v>0.899700598802395</v>
      </c>
      <c r="AS118" s="63"/>
      <c r="AT118" s="73"/>
      <c r="AU118" s="73"/>
      <c r="AV118" s="71"/>
      <c r="AW118" s="73"/>
      <c r="AX118" s="73"/>
      <c r="AY118" s="69" t="s">
        <v>64</v>
      </c>
      <c r="AZ118" s="69" t="s">
        <v>76</v>
      </c>
      <c r="BA118" s="69" t="s">
        <v>66</v>
      </c>
      <c r="BB118" s="69" t="n">
        <v>73</v>
      </c>
      <c r="BC118" s="71" t="n">
        <v>2.43333333333333</v>
      </c>
      <c r="BD118" s="73"/>
      <c r="BE118" s="77"/>
      <c r="BF118" s="73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</row>
    <row r="119" customFormat="false" ht="12" hidden="false" customHeight="true" outlineLevel="0" collapsed="false">
      <c r="A119" s="12" t="n">
        <v>26</v>
      </c>
      <c r="B119" s="60" t="s">
        <v>135</v>
      </c>
      <c r="C119" s="12" t="s">
        <v>250</v>
      </c>
      <c r="D119" s="12" t="s">
        <v>69</v>
      </c>
      <c r="E119" s="12" t="s">
        <v>251</v>
      </c>
      <c r="F119" s="12" t="s">
        <v>282</v>
      </c>
      <c r="G119" s="12" t="s">
        <v>284</v>
      </c>
      <c r="H119" s="61" t="n">
        <v>300</v>
      </c>
      <c r="I119" s="62" t="n">
        <v>17.007</v>
      </c>
      <c r="J119" s="62" t="n">
        <v>0.057</v>
      </c>
      <c r="K119" s="62" t="n">
        <v>1.105</v>
      </c>
      <c r="L119" s="61" t="n">
        <v>23.1</v>
      </c>
      <c r="M119" s="63" t="n">
        <v>18</v>
      </c>
      <c r="N119" s="61" t="n">
        <v>6.7</v>
      </c>
      <c r="O119" s="62" t="n">
        <v>0.951</v>
      </c>
      <c r="P119" s="62" t="n">
        <v>0.143</v>
      </c>
      <c r="Q119" s="62" t="n">
        <v>0.326</v>
      </c>
      <c r="R119" s="61" t="n">
        <v>1.5</v>
      </c>
      <c r="S119" s="63" t="n">
        <v>1263</v>
      </c>
      <c r="T119" s="61" t="n">
        <v>0</v>
      </c>
      <c r="U119" s="61" t="n">
        <v>2.3</v>
      </c>
      <c r="V119" s="63" t="n">
        <v>31</v>
      </c>
      <c r="W119" s="61" t="n">
        <v>56.4</v>
      </c>
      <c r="X119" s="62" t="n">
        <v>1.708</v>
      </c>
      <c r="Y119" s="62" t="n">
        <v>0.03</v>
      </c>
      <c r="Z119" s="62" t="n">
        <v>0.315</v>
      </c>
      <c r="AA119" s="61" t="n">
        <v>3.1</v>
      </c>
      <c r="AB119" s="63" t="n">
        <v>5122</v>
      </c>
      <c r="AC119" s="61" t="n">
        <v>20.1</v>
      </c>
      <c r="AD119" s="61" t="n">
        <v>5.3</v>
      </c>
      <c r="AE119" s="63" t="n">
        <v>21</v>
      </c>
      <c r="AF119" s="61" t="n">
        <v>32.8</v>
      </c>
      <c r="AG119" s="62" t="n">
        <v>3.062</v>
      </c>
      <c r="AH119" s="62" t="n">
        <v>0.093</v>
      </c>
      <c r="AI119" s="61" t="n">
        <v>1.9</v>
      </c>
      <c r="AJ119" s="63" t="n">
        <v>22</v>
      </c>
      <c r="AK119" s="61" t="n">
        <v>267.2</v>
      </c>
      <c r="AL119" s="62" t="n">
        <v>13.945</v>
      </c>
      <c r="AM119" s="62" t="n">
        <v>0.052</v>
      </c>
      <c r="AN119" s="61" t="n">
        <v>21.2</v>
      </c>
      <c r="AO119" s="64" t="n">
        <f aca="false">Table1[[#This Row],[Inside_._time]]/Table1[[#This Row],[Duration]]</f>
        <v>0.109333333333333</v>
      </c>
      <c r="AP119" s="64" t="n">
        <f aca="false">Table1[[#This Row],[Outside_._time]]/Table1[[#This Row],[Duration]]</f>
        <v>0.890666666666667</v>
      </c>
      <c r="AQ119" s="64" t="n">
        <f aca="false">Table1[[#This Row],[Inside_._distance]]/Table1[[#This Row],[Distance]]</f>
        <v>0.180043511495267</v>
      </c>
      <c r="AR119" s="64" t="n">
        <f aca="false">Table1[[#This Row],[Outside_._distance]]/Table1[[#This Row],[Distance]]</f>
        <v>0.819956488504733</v>
      </c>
      <c r="AS119" s="63"/>
      <c r="AT119" s="65"/>
      <c r="AU119" s="65"/>
      <c r="AV119" s="66"/>
      <c r="AW119" s="65"/>
      <c r="AX119" s="65"/>
      <c r="AY119" s="12" t="s">
        <v>64</v>
      </c>
      <c r="AZ119" s="12" t="s">
        <v>76</v>
      </c>
      <c r="BA119" s="63" t="s">
        <v>72</v>
      </c>
      <c r="BB119" s="63" t="n">
        <v>68</v>
      </c>
      <c r="BC119" s="63" t="n">
        <v>2.26666666666667</v>
      </c>
      <c r="BD119" s="63" t="s">
        <v>81</v>
      </c>
      <c r="BE119" s="68" t="n">
        <v>6</v>
      </c>
      <c r="BF119" s="6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</row>
    <row r="120" customFormat="false" ht="12" hidden="false" customHeight="true" outlineLevel="0" collapsed="false">
      <c r="A120" s="12" t="n">
        <v>28</v>
      </c>
      <c r="B120" s="60" t="s">
        <v>137</v>
      </c>
      <c r="C120" s="12" t="s">
        <v>250</v>
      </c>
      <c r="D120" s="12" t="s">
        <v>74</v>
      </c>
      <c r="E120" s="12" t="s">
        <v>251</v>
      </c>
      <c r="F120" s="12" t="s">
        <v>282</v>
      </c>
      <c r="G120" s="12" t="s">
        <v>285</v>
      </c>
      <c r="H120" s="61" t="n">
        <v>300</v>
      </c>
      <c r="I120" s="62" t="n">
        <v>13.608</v>
      </c>
      <c r="J120" s="62" t="n">
        <v>0.045</v>
      </c>
      <c r="K120" s="62" t="n">
        <v>0.241</v>
      </c>
      <c r="L120" s="61" t="n">
        <v>10.3</v>
      </c>
      <c r="M120" s="63" t="n">
        <v>35</v>
      </c>
      <c r="N120" s="61" t="n">
        <v>43.6</v>
      </c>
      <c r="O120" s="62" t="n">
        <v>1.162</v>
      </c>
      <c r="P120" s="62" t="n">
        <v>0.027</v>
      </c>
      <c r="Q120" s="62" t="n">
        <v>0.209</v>
      </c>
      <c r="R120" s="61" t="n">
        <v>16.5</v>
      </c>
      <c r="S120" s="63" t="n">
        <v>3227</v>
      </c>
      <c r="T120" s="61" t="n">
        <v>1.6</v>
      </c>
      <c r="U120" s="61" t="n">
        <v>8.9</v>
      </c>
      <c r="V120" s="63" t="n">
        <v>15</v>
      </c>
      <c r="W120" s="61" t="n">
        <v>20</v>
      </c>
      <c r="X120" s="62" t="n">
        <v>0.815</v>
      </c>
      <c r="Y120" s="62" t="n">
        <v>0.041</v>
      </c>
      <c r="Z120" s="62" t="n">
        <v>0.18</v>
      </c>
      <c r="AA120" s="61" t="n">
        <v>8.3</v>
      </c>
      <c r="AB120" s="63" t="n">
        <v>1784</v>
      </c>
      <c r="AC120" s="61" t="n">
        <v>1.7</v>
      </c>
      <c r="AD120" s="61" t="n">
        <v>12.5</v>
      </c>
      <c r="AE120" s="63" t="n">
        <v>19</v>
      </c>
      <c r="AF120" s="61" t="n">
        <v>38.2</v>
      </c>
      <c r="AG120" s="62" t="n">
        <v>3.233</v>
      </c>
      <c r="AH120" s="62" t="n">
        <v>0.085</v>
      </c>
      <c r="AI120" s="61" t="n">
        <v>0</v>
      </c>
      <c r="AJ120" s="63" t="n">
        <v>20</v>
      </c>
      <c r="AK120" s="61" t="n">
        <v>261.8</v>
      </c>
      <c r="AL120" s="62" t="n">
        <v>10.374</v>
      </c>
      <c r="AM120" s="62" t="n">
        <v>0.04</v>
      </c>
      <c r="AN120" s="61" t="n">
        <v>10.3</v>
      </c>
      <c r="AO120" s="64" t="n">
        <f aca="false">Table1[[#This Row],[Inside_._time]]/Table1[[#This Row],[Duration]]</f>
        <v>0.127333333333333</v>
      </c>
      <c r="AP120" s="64" t="n">
        <f aca="false">Table1[[#This Row],[Outside_._time]]/Table1[[#This Row],[Duration]]</f>
        <v>0.872666666666667</v>
      </c>
      <c r="AQ120" s="64" t="n">
        <f aca="false">Table1[[#This Row],[Inside_._distance]]/Table1[[#This Row],[Distance]]</f>
        <v>0.237580834803057</v>
      </c>
      <c r="AR120" s="64" t="n">
        <f aca="false">Table1[[#This Row],[Outside_._distance]]/Table1[[#This Row],[Distance]]</f>
        <v>0.762345679012346</v>
      </c>
      <c r="AS120" s="63"/>
      <c r="AT120" s="65"/>
      <c r="AU120" s="65"/>
      <c r="AV120" s="66"/>
      <c r="AW120" s="65"/>
      <c r="AX120" s="65"/>
      <c r="AY120" s="12" t="s">
        <v>64</v>
      </c>
      <c r="AZ120" s="12" t="s">
        <v>76</v>
      </c>
      <c r="BA120" s="63" t="s">
        <v>66</v>
      </c>
      <c r="BB120" s="63" t="n">
        <v>68</v>
      </c>
      <c r="BC120" s="63" t="n">
        <v>2.26666666666667</v>
      </c>
      <c r="BD120" s="63" t="s">
        <v>81</v>
      </c>
      <c r="BE120" s="68" t="n">
        <v>8</v>
      </c>
      <c r="BF120" s="6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</row>
    <row r="121" customFormat="false" ht="12" hidden="false" customHeight="true" outlineLevel="0" collapsed="false">
      <c r="A121" s="12" t="n">
        <v>25</v>
      </c>
      <c r="B121" s="60" t="s">
        <v>139</v>
      </c>
      <c r="C121" s="12" t="s">
        <v>250</v>
      </c>
      <c r="D121" s="12" t="s">
        <v>79</v>
      </c>
      <c r="E121" s="12" t="s">
        <v>251</v>
      </c>
      <c r="F121" s="12" t="s">
        <v>282</v>
      </c>
      <c r="G121" s="12" t="s">
        <v>286</v>
      </c>
      <c r="H121" s="61" t="n">
        <v>300</v>
      </c>
      <c r="I121" s="62" t="n">
        <v>13.036</v>
      </c>
      <c r="J121" s="62" t="n">
        <v>0.043</v>
      </c>
      <c r="K121" s="62" t="n">
        <v>1.072</v>
      </c>
      <c r="L121" s="61" t="n">
        <v>18.7</v>
      </c>
      <c r="M121" s="63" t="n">
        <v>14</v>
      </c>
      <c r="N121" s="61" t="n">
        <v>19.7</v>
      </c>
      <c r="O121" s="62" t="n">
        <v>0.806</v>
      </c>
      <c r="P121" s="62" t="n">
        <v>0.041</v>
      </c>
      <c r="Q121" s="62" t="n">
        <v>0.23</v>
      </c>
      <c r="R121" s="61" t="n">
        <v>7.6</v>
      </c>
      <c r="S121" s="63" t="n">
        <v>1529</v>
      </c>
      <c r="T121" s="61" t="n">
        <v>2.5</v>
      </c>
      <c r="U121" s="61" t="n">
        <v>6.8</v>
      </c>
      <c r="V121" s="63" t="n">
        <v>18</v>
      </c>
      <c r="W121" s="61" t="n">
        <v>10.6</v>
      </c>
      <c r="X121" s="62" t="n">
        <v>0.768</v>
      </c>
      <c r="Y121" s="62" t="n">
        <v>0.072</v>
      </c>
      <c r="Z121" s="62" t="n">
        <v>0.24</v>
      </c>
      <c r="AA121" s="61" t="n">
        <v>2.4</v>
      </c>
      <c r="AB121" s="63" t="n">
        <v>1268</v>
      </c>
      <c r="AC121" s="61" t="n">
        <v>0</v>
      </c>
      <c r="AD121" s="61" t="n">
        <v>3.2</v>
      </c>
      <c r="AE121" s="63" t="n">
        <v>18</v>
      </c>
      <c r="AF121" s="61" t="n">
        <v>33.6</v>
      </c>
      <c r="AG121" s="62" t="n">
        <v>2.923</v>
      </c>
      <c r="AH121" s="62" t="n">
        <v>0.087</v>
      </c>
      <c r="AI121" s="61" t="n">
        <v>0</v>
      </c>
      <c r="AJ121" s="63" t="n">
        <v>18</v>
      </c>
      <c r="AK121" s="61" t="n">
        <v>266.4</v>
      </c>
      <c r="AL121" s="62" t="n">
        <v>10.113</v>
      </c>
      <c r="AM121" s="62" t="n">
        <v>0.038</v>
      </c>
      <c r="AN121" s="61" t="n">
        <v>18.7</v>
      </c>
      <c r="AO121" s="64" t="n">
        <f aca="false">Table1[[#This Row],[Inside_._time]]/Table1[[#This Row],[Duration]]</f>
        <v>0.112</v>
      </c>
      <c r="AP121" s="64" t="n">
        <f aca="false">Table1[[#This Row],[Outside_._time]]/Table1[[#This Row],[Duration]]</f>
        <v>0.888</v>
      </c>
      <c r="AQ121" s="64" t="n">
        <f aca="false">Table1[[#This Row],[Inside_._distance]]/Table1[[#This Row],[Distance]]</f>
        <v>0.224225222460878</v>
      </c>
      <c r="AR121" s="64" t="n">
        <f aca="false">Table1[[#This Row],[Outside_._distance]]/Table1[[#This Row],[Distance]]</f>
        <v>0.775774777539122</v>
      </c>
      <c r="AS121" s="63"/>
      <c r="AT121" s="65"/>
      <c r="AU121" s="65"/>
      <c r="AV121" s="66"/>
      <c r="AW121" s="65"/>
      <c r="AX121" s="65"/>
      <c r="AY121" s="12" t="s">
        <v>64</v>
      </c>
      <c r="AZ121" s="12" t="s">
        <v>76</v>
      </c>
      <c r="BA121" s="63" t="s">
        <v>72</v>
      </c>
      <c r="BB121" s="63" t="n">
        <v>68</v>
      </c>
      <c r="BC121" s="63" t="n">
        <v>2.26666666666667</v>
      </c>
      <c r="BD121" s="63" t="s">
        <v>67</v>
      </c>
      <c r="BE121" s="68" t="n">
        <v>5</v>
      </c>
      <c r="BF121" s="63" t="s">
        <v>141</v>
      </c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</row>
    <row r="122" customFormat="false" ht="12" hidden="false" customHeight="true" outlineLevel="0" collapsed="false">
      <c r="A122" s="12" t="n">
        <v>29</v>
      </c>
      <c r="B122" s="60" t="s">
        <v>142</v>
      </c>
      <c r="C122" s="12" t="s">
        <v>250</v>
      </c>
      <c r="D122" s="12" t="s">
        <v>60</v>
      </c>
      <c r="E122" s="12" t="s">
        <v>251</v>
      </c>
      <c r="F122" s="12" t="s">
        <v>287</v>
      </c>
      <c r="G122" s="12" t="s">
        <v>288</v>
      </c>
      <c r="H122" s="61" t="n">
        <v>300</v>
      </c>
      <c r="I122" s="62" t="n">
        <v>10.342</v>
      </c>
      <c r="J122" s="62" t="n">
        <v>0.034</v>
      </c>
      <c r="K122" s="62" t="n">
        <v>0.226</v>
      </c>
      <c r="L122" s="61" t="n">
        <v>27.9</v>
      </c>
      <c r="M122" s="63" t="n">
        <v>15</v>
      </c>
      <c r="N122" s="61" t="n">
        <v>26.4</v>
      </c>
      <c r="O122" s="62" t="n">
        <v>0.654</v>
      </c>
      <c r="P122" s="62" t="n">
        <v>0.025</v>
      </c>
      <c r="Q122" s="62" t="n">
        <v>0.226</v>
      </c>
      <c r="R122" s="61" t="n">
        <v>2</v>
      </c>
      <c r="S122" s="63" t="n">
        <v>1328</v>
      </c>
      <c r="T122" s="61" t="n">
        <v>5.9</v>
      </c>
      <c r="U122" s="61" t="n">
        <v>5.2</v>
      </c>
      <c r="V122" s="63" t="n">
        <v>17</v>
      </c>
      <c r="W122" s="61" t="n">
        <v>16.1</v>
      </c>
      <c r="X122" s="62" t="n">
        <v>0.866</v>
      </c>
      <c r="Y122" s="62" t="n">
        <v>0.054</v>
      </c>
      <c r="Z122" s="62" t="n">
        <v>0.208</v>
      </c>
      <c r="AA122" s="61" t="n">
        <v>5.5</v>
      </c>
      <c r="AB122" s="63" t="n">
        <v>1576</v>
      </c>
      <c r="AC122" s="61" t="n">
        <v>2.3</v>
      </c>
      <c r="AD122" s="61" t="n">
        <v>6.5</v>
      </c>
      <c r="AE122" s="63" t="n">
        <v>18</v>
      </c>
      <c r="AF122" s="61" t="n">
        <v>22</v>
      </c>
      <c r="AG122" s="62" t="n">
        <v>1.89</v>
      </c>
      <c r="AH122" s="62" t="n">
        <v>0.086</v>
      </c>
      <c r="AI122" s="61" t="n">
        <v>0</v>
      </c>
      <c r="AJ122" s="63" t="n">
        <v>19</v>
      </c>
      <c r="AK122" s="61" t="n">
        <v>278</v>
      </c>
      <c r="AL122" s="62" t="n">
        <v>8.452</v>
      </c>
      <c r="AM122" s="62" t="n">
        <v>0.03</v>
      </c>
      <c r="AN122" s="61" t="n">
        <v>27.9</v>
      </c>
      <c r="AO122" s="64" t="n">
        <f aca="false">Table1[[#This Row],[Inside_._time]]/Table1[[#This Row],[Duration]]</f>
        <v>0.0733333333333333</v>
      </c>
      <c r="AP122" s="64" t="n">
        <f aca="false">Table1[[#This Row],[Outside_._time]]/Table1[[#This Row],[Duration]]</f>
        <v>0.926666666666667</v>
      </c>
      <c r="AQ122" s="64" t="n">
        <f aca="false">Table1[[#This Row],[Inside_._distance]]/Table1[[#This Row],[Distance]]</f>
        <v>0.182749951653452</v>
      </c>
      <c r="AR122" s="64" t="n">
        <f aca="false">Table1[[#This Row],[Outside_._distance]]/Table1[[#This Row],[Distance]]</f>
        <v>0.817250048346548</v>
      </c>
      <c r="AS122" s="63"/>
      <c r="AT122" s="65"/>
      <c r="AU122" s="65"/>
      <c r="AV122" s="66"/>
      <c r="AW122" s="65"/>
      <c r="AX122" s="65"/>
      <c r="AY122" s="12" t="s">
        <v>64</v>
      </c>
      <c r="AZ122" s="12" t="s">
        <v>76</v>
      </c>
      <c r="BA122" s="63" t="s">
        <v>66</v>
      </c>
      <c r="BB122" s="63" t="n">
        <v>68</v>
      </c>
      <c r="BC122" s="63" t="n">
        <v>2.26666666666667</v>
      </c>
      <c r="BD122" s="63" t="s">
        <v>67</v>
      </c>
      <c r="BE122" s="68" t="n">
        <v>7</v>
      </c>
      <c r="BF122" s="63"/>
    </row>
    <row r="123" customFormat="false" ht="12" hidden="false" customHeight="true" outlineLevel="0" collapsed="false">
      <c r="A123" s="12" t="n">
        <v>30</v>
      </c>
      <c r="B123" s="60" t="s">
        <v>145</v>
      </c>
      <c r="C123" s="12" t="s">
        <v>250</v>
      </c>
      <c r="D123" s="12" t="s">
        <v>69</v>
      </c>
      <c r="E123" s="12" t="s">
        <v>251</v>
      </c>
      <c r="F123" s="12" t="s">
        <v>287</v>
      </c>
      <c r="G123" s="12" t="s">
        <v>289</v>
      </c>
      <c r="H123" s="61" t="n">
        <v>300</v>
      </c>
      <c r="I123" s="62" t="n">
        <v>19.701</v>
      </c>
      <c r="J123" s="62" t="n">
        <v>0.066</v>
      </c>
      <c r="K123" s="62" t="n">
        <v>0.341</v>
      </c>
      <c r="L123" s="61" t="n">
        <v>3.6</v>
      </c>
      <c r="M123" s="63" t="n">
        <v>28</v>
      </c>
      <c r="N123" s="61" t="n">
        <v>18.3</v>
      </c>
      <c r="O123" s="62" t="n">
        <v>1.772</v>
      </c>
      <c r="P123" s="62" t="n">
        <v>0.097</v>
      </c>
      <c r="Q123" s="62" t="n">
        <v>0.264</v>
      </c>
      <c r="R123" s="61" t="n">
        <v>4.9</v>
      </c>
      <c r="S123" s="63" t="n">
        <v>1592</v>
      </c>
      <c r="T123" s="61" t="n">
        <v>0.1</v>
      </c>
      <c r="U123" s="61" t="n">
        <v>6.8</v>
      </c>
      <c r="V123" s="63" t="n">
        <v>18</v>
      </c>
      <c r="W123" s="61" t="n">
        <v>10.6</v>
      </c>
      <c r="X123" s="62" t="n">
        <v>1.584</v>
      </c>
      <c r="Y123" s="62" t="n">
        <v>0.15</v>
      </c>
      <c r="Z123" s="62" t="n">
        <v>0.26</v>
      </c>
      <c r="AA123" s="61" t="n">
        <v>1.3</v>
      </c>
      <c r="AB123" s="63" t="n">
        <v>983</v>
      </c>
      <c r="AC123" s="61" t="n">
        <v>0</v>
      </c>
      <c r="AD123" s="61" t="n">
        <v>3.7</v>
      </c>
      <c r="AE123" s="63" t="n">
        <v>31</v>
      </c>
      <c r="AF123" s="61" t="n">
        <v>45.3</v>
      </c>
      <c r="AG123" s="62" t="n">
        <v>4.655</v>
      </c>
      <c r="AH123" s="62" t="n">
        <v>0.103</v>
      </c>
      <c r="AI123" s="61" t="n">
        <v>0</v>
      </c>
      <c r="AJ123" s="63" t="n">
        <v>32</v>
      </c>
      <c r="AK123" s="61" t="n">
        <v>254.7</v>
      </c>
      <c r="AL123" s="62" t="n">
        <v>15.046</v>
      </c>
      <c r="AM123" s="62" t="n">
        <v>0.059</v>
      </c>
      <c r="AN123" s="61" t="n">
        <v>3.6</v>
      </c>
      <c r="AO123" s="64" t="n">
        <f aca="false">Table1[[#This Row],[Inside_._time]]/Table1[[#This Row],[Duration]]</f>
        <v>0.151</v>
      </c>
      <c r="AP123" s="64" t="n">
        <f aca="false">Table1[[#This Row],[Outside_._time]]/Table1[[#This Row],[Duration]]</f>
        <v>0.849</v>
      </c>
      <c r="AQ123" s="64" t="n">
        <f aca="false">Table1[[#This Row],[Inside_._distance]]/Table1[[#This Row],[Distance]]</f>
        <v>0.23628242221207</v>
      </c>
      <c r="AR123" s="64" t="n">
        <f aca="false">Table1[[#This Row],[Outside_._distance]]/Table1[[#This Row],[Distance]]</f>
        <v>0.763717577787929</v>
      </c>
      <c r="AS123" s="63"/>
      <c r="AT123" s="65"/>
      <c r="AU123" s="65"/>
      <c r="AV123" s="66"/>
      <c r="AW123" s="65"/>
      <c r="AX123" s="65"/>
      <c r="AY123" s="12" t="s">
        <v>71</v>
      </c>
      <c r="AZ123" s="12" t="s">
        <v>76</v>
      </c>
      <c r="BA123" s="63" t="s">
        <v>72</v>
      </c>
      <c r="BB123" s="63" t="n">
        <v>68</v>
      </c>
      <c r="BC123" s="63" t="n">
        <v>2.26666666666667</v>
      </c>
      <c r="BD123" s="63" t="s">
        <v>81</v>
      </c>
      <c r="BE123" s="68" t="n">
        <v>6</v>
      </c>
      <c r="BF123" s="63"/>
    </row>
    <row r="124" customFormat="false" ht="12" hidden="false" customHeight="true" outlineLevel="0" collapsed="false">
      <c r="A124" s="12" t="n">
        <v>31</v>
      </c>
      <c r="B124" s="60" t="s">
        <v>147</v>
      </c>
      <c r="C124" s="12" t="s">
        <v>250</v>
      </c>
      <c r="D124" s="12" t="s">
        <v>74</v>
      </c>
      <c r="E124" s="12" t="s">
        <v>251</v>
      </c>
      <c r="F124" s="12" t="s">
        <v>287</v>
      </c>
      <c r="G124" s="12" t="s">
        <v>290</v>
      </c>
      <c r="H124" s="61" t="n">
        <v>300</v>
      </c>
      <c r="I124" s="62" t="n">
        <v>16.535</v>
      </c>
      <c r="J124" s="62" t="n">
        <v>0.055</v>
      </c>
      <c r="K124" s="62" t="n">
        <v>0.282</v>
      </c>
      <c r="L124" s="61" t="n">
        <v>4.6</v>
      </c>
      <c r="M124" s="63" t="n">
        <v>21</v>
      </c>
      <c r="N124" s="61" t="n">
        <v>10.9</v>
      </c>
      <c r="O124" s="62" t="n">
        <v>1.306</v>
      </c>
      <c r="P124" s="62" t="n">
        <v>0.12</v>
      </c>
      <c r="Q124" s="62" t="n">
        <v>0.223</v>
      </c>
      <c r="R124" s="61" t="n">
        <v>2</v>
      </c>
      <c r="S124" s="63" t="n">
        <v>1189</v>
      </c>
      <c r="T124" s="61" t="n">
        <v>0</v>
      </c>
      <c r="U124" s="61" t="n">
        <v>2.7</v>
      </c>
      <c r="V124" s="63" t="n">
        <v>44</v>
      </c>
      <c r="W124" s="61" t="n">
        <v>56.4</v>
      </c>
      <c r="X124" s="62" t="n">
        <v>2.129</v>
      </c>
      <c r="Y124" s="62" t="n">
        <v>0.038</v>
      </c>
      <c r="Z124" s="62" t="n">
        <v>0.209</v>
      </c>
      <c r="AA124" s="61" t="n">
        <v>7.5</v>
      </c>
      <c r="AB124" s="63" t="n">
        <v>2910</v>
      </c>
      <c r="AC124" s="61" t="n">
        <v>1.5</v>
      </c>
      <c r="AD124" s="61" t="n">
        <v>24.3</v>
      </c>
      <c r="AE124" s="63" t="n">
        <v>20</v>
      </c>
      <c r="AF124" s="61" t="n">
        <v>40.7</v>
      </c>
      <c r="AG124" s="62" t="n">
        <v>2.95</v>
      </c>
      <c r="AH124" s="62" t="n">
        <v>0.073</v>
      </c>
      <c r="AI124" s="61" t="n">
        <v>1.4</v>
      </c>
      <c r="AJ124" s="63" t="n">
        <v>21</v>
      </c>
      <c r="AK124" s="61" t="n">
        <v>259.3</v>
      </c>
      <c r="AL124" s="62" t="n">
        <v>13.585</v>
      </c>
      <c r="AM124" s="62" t="n">
        <v>0.052</v>
      </c>
      <c r="AN124" s="61" t="n">
        <v>3.2</v>
      </c>
      <c r="AO124" s="64" t="n">
        <f aca="false">Table1[[#This Row],[Inside_._time]]/Table1[[#This Row],[Duration]]</f>
        <v>0.135666666666667</v>
      </c>
      <c r="AP124" s="64" t="n">
        <f aca="false">Table1[[#This Row],[Outside_._time]]/Table1[[#This Row],[Duration]]</f>
        <v>0.864333333333333</v>
      </c>
      <c r="AQ124" s="64" t="n">
        <f aca="false">Table1[[#This Row],[Inside_._distance]]/Table1[[#This Row],[Distance]]</f>
        <v>0.178409434532809</v>
      </c>
      <c r="AR124" s="64" t="n">
        <f aca="false">Table1[[#This Row],[Outside_._distance]]/Table1[[#This Row],[Distance]]</f>
        <v>0.821590565467191</v>
      </c>
      <c r="AS124" s="63"/>
      <c r="AT124" s="65"/>
      <c r="AU124" s="65"/>
      <c r="AV124" s="66"/>
      <c r="AW124" s="65"/>
      <c r="AX124" s="65"/>
      <c r="AY124" s="12" t="s">
        <v>71</v>
      </c>
      <c r="AZ124" s="12" t="s">
        <v>76</v>
      </c>
      <c r="BA124" s="63" t="s">
        <v>66</v>
      </c>
      <c r="BB124" s="63" t="n">
        <v>68</v>
      </c>
      <c r="BC124" s="63" t="n">
        <v>2.26666666666667</v>
      </c>
      <c r="BD124" s="63" t="s">
        <v>81</v>
      </c>
      <c r="BE124" s="63" t="n">
        <v>8</v>
      </c>
      <c r="BF124" s="63"/>
    </row>
    <row r="125" customFormat="false" ht="12" hidden="false" customHeight="true" outlineLevel="0" collapsed="false">
      <c r="A125" s="12" t="n">
        <v>32</v>
      </c>
      <c r="B125" s="60" t="s">
        <v>149</v>
      </c>
      <c r="C125" s="12" t="s">
        <v>250</v>
      </c>
      <c r="D125" s="12" t="s">
        <v>79</v>
      </c>
      <c r="E125" s="12" t="s">
        <v>251</v>
      </c>
      <c r="F125" s="12" t="s">
        <v>287</v>
      </c>
      <c r="G125" s="12" t="s">
        <v>291</v>
      </c>
      <c r="H125" s="61" t="n">
        <v>300</v>
      </c>
      <c r="I125" s="62" t="n">
        <v>14.103</v>
      </c>
      <c r="J125" s="62" t="n">
        <v>0.047</v>
      </c>
      <c r="K125" s="62" t="n">
        <v>0.24</v>
      </c>
      <c r="L125" s="61" t="n">
        <v>30.5</v>
      </c>
      <c r="M125" s="63" t="n">
        <v>27</v>
      </c>
      <c r="N125" s="61" t="n">
        <v>56.8</v>
      </c>
      <c r="O125" s="62" t="n">
        <v>2.01</v>
      </c>
      <c r="P125" s="62" t="n">
        <v>0.035</v>
      </c>
      <c r="Q125" s="62" t="n">
        <v>0.23</v>
      </c>
      <c r="R125" s="61" t="n">
        <v>14.5</v>
      </c>
      <c r="S125" s="63" t="n">
        <v>3888</v>
      </c>
      <c r="T125" s="61" t="n">
        <v>17.9</v>
      </c>
      <c r="U125" s="61" t="n">
        <v>10</v>
      </c>
      <c r="V125" s="63" t="n">
        <v>14</v>
      </c>
      <c r="W125" s="61" t="n">
        <v>11.9</v>
      </c>
      <c r="X125" s="62" t="n">
        <v>0.963</v>
      </c>
      <c r="Y125" s="62" t="n">
        <v>0.081</v>
      </c>
      <c r="Z125" s="62" t="n">
        <v>0.24</v>
      </c>
      <c r="AA125" s="61" t="n">
        <v>3.5</v>
      </c>
      <c r="AB125" s="63" t="n">
        <v>1222</v>
      </c>
      <c r="AC125" s="61" t="n">
        <v>1.1</v>
      </c>
      <c r="AD125" s="61" t="n">
        <v>2</v>
      </c>
      <c r="AE125" s="63" t="n">
        <v>39</v>
      </c>
      <c r="AF125" s="61" t="n">
        <v>55.1</v>
      </c>
      <c r="AG125" s="62" t="n">
        <v>3.486</v>
      </c>
      <c r="AH125" s="62" t="n">
        <v>0.063</v>
      </c>
      <c r="AI125" s="61" t="n">
        <v>4.6</v>
      </c>
      <c r="AJ125" s="63" t="n">
        <v>39</v>
      </c>
      <c r="AK125" s="61" t="n">
        <v>244.9</v>
      </c>
      <c r="AL125" s="62" t="n">
        <v>10.617</v>
      </c>
      <c r="AM125" s="62" t="n">
        <v>0.043</v>
      </c>
      <c r="AN125" s="61" t="n">
        <v>25.9</v>
      </c>
      <c r="AO125" s="64" t="n">
        <f aca="false">Table1[[#This Row],[Inside_._time]]/Table1[[#This Row],[Duration]]</f>
        <v>0.183666666666667</v>
      </c>
      <c r="AP125" s="64" t="n">
        <f aca="false">Table1[[#This Row],[Outside_._time]]/Table1[[#This Row],[Duration]]</f>
        <v>0.816333333333333</v>
      </c>
      <c r="AQ125" s="64" t="n">
        <f aca="false">Table1[[#This Row],[Inside_._distance]]/Table1[[#This Row],[Distance]]</f>
        <v>0.247181450755158</v>
      </c>
      <c r="AR125" s="64" t="n">
        <f aca="false">Table1[[#This Row],[Outside_._distance]]/Table1[[#This Row],[Distance]]</f>
        <v>0.752818549244842</v>
      </c>
      <c r="AS125" s="63"/>
      <c r="AT125" s="65"/>
      <c r="AU125" s="65"/>
      <c r="AV125" s="66"/>
      <c r="AW125" s="65"/>
      <c r="AX125" s="65"/>
      <c r="AY125" s="12" t="s">
        <v>71</v>
      </c>
      <c r="AZ125" s="12" t="s">
        <v>76</v>
      </c>
      <c r="BA125" s="63" t="s">
        <v>66</v>
      </c>
      <c r="BB125" s="63" t="n">
        <v>68</v>
      </c>
      <c r="BC125" s="63" t="n">
        <v>2.26666666666667</v>
      </c>
      <c r="BD125" s="63" t="s">
        <v>67</v>
      </c>
      <c r="BE125" s="63" t="n">
        <v>7</v>
      </c>
      <c r="BF125" s="63"/>
    </row>
    <row r="126" customFormat="false" ht="12" hidden="false" customHeight="true" outlineLevel="0" collapsed="false">
      <c r="A126" s="12" t="n">
        <v>36</v>
      </c>
      <c r="B126" s="60" t="s">
        <v>151</v>
      </c>
      <c r="C126" s="12" t="s">
        <v>250</v>
      </c>
      <c r="D126" s="12" t="s">
        <v>60</v>
      </c>
      <c r="E126" s="12" t="s">
        <v>251</v>
      </c>
      <c r="F126" s="12" t="s">
        <v>292</v>
      </c>
      <c r="G126" s="12" t="s">
        <v>293</v>
      </c>
      <c r="H126" s="61" t="n">
        <v>300</v>
      </c>
      <c r="I126" s="62" t="n">
        <v>12.683</v>
      </c>
      <c r="J126" s="62" t="n">
        <v>0.042</v>
      </c>
      <c r="K126" s="62" t="n">
        <v>0.277</v>
      </c>
      <c r="L126" s="61" t="n">
        <v>17.9</v>
      </c>
      <c r="M126" s="63" t="n">
        <v>15</v>
      </c>
      <c r="N126" s="61" t="n">
        <v>20.5</v>
      </c>
      <c r="O126" s="62" t="n">
        <v>0.619</v>
      </c>
      <c r="P126" s="62" t="n">
        <v>0.03</v>
      </c>
      <c r="Q126" s="62" t="n">
        <v>0.231</v>
      </c>
      <c r="R126" s="61" t="n">
        <v>4.8</v>
      </c>
      <c r="S126" s="63" t="n">
        <v>1726</v>
      </c>
      <c r="T126" s="61" t="n">
        <v>0</v>
      </c>
      <c r="U126" s="61" t="n">
        <v>4.3</v>
      </c>
      <c r="V126" s="63" t="n">
        <v>18</v>
      </c>
      <c r="W126" s="61" t="n">
        <v>11.7</v>
      </c>
      <c r="X126" s="62" t="n">
        <v>0.856</v>
      </c>
      <c r="Y126" s="62" t="n">
        <v>0.073</v>
      </c>
      <c r="Z126" s="62" t="n">
        <v>0.209</v>
      </c>
      <c r="AA126" s="61" t="n">
        <v>3.6</v>
      </c>
      <c r="AB126" s="63" t="n">
        <v>1501</v>
      </c>
      <c r="AC126" s="61" t="n">
        <v>0</v>
      </c>
      <c r="AD126" s="61" t="n">
        <v>4.9</v>
      </c>
      <c r="AE126" s="63" t="n">
        <v>20</v>
      </c>
      <c r="AF126" s="61" t="n">
        <v>19.9</v>
      </c>
      <c r="AG126" s="62" t="n">
        <v>2.087</v>
      </c>
      <c r="AH126" s="62" t="n">
        <v>0.105</v>
      </c>
      <c r="AI126" s="61" t="n">
        <v>0</v>
      </c>
      <c r="AJ126" s="63" t="n">
        <v>21</v>
      </c>
      <c r="AK126" s="61" t="n">
        <v>280.1</v>
      </c>
      <c r="AL126" s="62" t="n">
        <v>10.596</v>
      </c>
      <c r="AM126" s="62" t="n">
        <v>0.038</v>
      </c>
      <c r="AN126" s="61" t="n">
        <v>17.9</v>
      </c>
      <c r="AO126" s="64" t="n">
        <f aca="false">Table1[[#This Row],[Inside_._time]]/Table1[[#This Row],[Duration]]</f>
        <v>0.0663333333333333</v>
      </c>
      <c r="AP126" s="64" t="n">
        <f aca="false">Table1[[#This Row],[Outside_._time]]/Table1[[#This Row],[Duration]]</f>
        <v>0.933666666666667</v>
      </c>
      <c r="AQ126" s="64" t="n">
        <f aca="false">Table1[[#This Row],[Inside_._distance]]/Table1[[#This Row],[Distance]]</f>
        <v>0.164550973744382</v>
      </c>
      <c r="AR126" s="64" t="n">
        <f aca="false">Table1[[#This Row],[Outside_._distance]]/Table1[[#This Row],[Distance]]</f>
        <v>0.835449026255618</v>
      </c>
      <c r="AS126" s="63"/>
      <c r="AT126" s="65"/>
      <c r="AU126" s="65"/>
      <c r="AV126" s="66"/>
      <c r="AW126" s="65"/>
      <c r="AX126" s="65"/>
      <c r="AY126" s="12" t="s">
        <v>71</v>
      </c>
      <c r="AZ126" s="12" t="s">
        <v>76</v>
      </c>
      <c r="BA126" s="63" t="s">
        <v>72</v>
      </c>
      <c r="BB126" s="63" t="n">
        <v>68</v>
      </c>
      <c r="BC126" s="63" t="n">
        <v>2.26666666666667</v>
      </c>
      <c r="BD126" s="63" t="s">
        <v>67</v>
      </c>
      <c r="BE126" s="63" t="n">
        <v>5</v>
      </c>
      <c r="BF126" s="63" t="s">
        <v>154</v>
      </c>
    </row>
    <row r="127" customFormat="false" ht="12" hidden="false" customHeight="true" outlineLevel="0" collapsed="false">
      <c r="A127" s="12" t="n">
        <v>33</v>
      </c>
      <c r="B127" s="60" t="s">
        <v>155</v>
      </c>
      <c r="C127" s="12" t="s">
        <v>250</v>
      </c>
      <c r="D127" s="12" t="s">
        <v>69</v>
      </c>
      <c r="E127" s="12" t="s">
        <v>251</v>
      </c>
      <c r="F127" s="12" t="s">
        <v>292</v>
      </c>
      <c r="G127" s="12" t="s">
        <v>294</v>
      </c>
      <c r="H127" s="61" t="n">
        <v>300</v>
      </c>
      <c r="I127" s="62" t="n">
        <v>20.928</v>
      </c>
      <c r="J127" s="62" t="n">
        <v>0.07</v>
      </c>
      <c r="K127" s="62" t="n">
        <v>0.28</v>
      </c>
      <c r="L127" s="61" t="n">
        <v>2.5</v>
      </c>
      <c r="M127" s="63" t="n">
        <v>27</v>
      </c>
      <c r="N127" s="61" t="n">
        <v>17.8</v>
      </c>
      <c r="O127" s="62" t="n">
        <v>2.072</v>
      </c>
      <c r="P127" s="62" t="n">
        <v>0.116</v>
      </c>
      <c r="Q127" s="62" t="n">
        <v>0.229</v>
      </c>
      <c r="R127" s="61" t="n">
        <v>1.3</v>
      </c>
      <c r="S127" s="63" t="n">
        <v>2276</v>
      </c>
      <c r="T127" s="61" t="n">
        <v>0</v>
      </c>
      <c r="U127" s="61" t="n">
        <v>2.1</v>
      </c>
      <c r="V127" s="63" t="n">
        <v>25</v>
      </c>
      <c r="W127" s="61" t="n">
        <v>18</v>
      </c>
      <c r="X127" s="62" t="n">
        <v>1.794</v>
      </c>
      <c r="Y127" s="62" t="n">
        <v>0.1</v>
      </c>
      <c r="Z127" s="62" t="n">
        <v>0.271</v>
      </c>
      <c r="AA127" s="61" t="n">
        <v>2.7</v>
      </c>
      <c r="AB127" s="63" t="n">
        <v>1772</v>
      </c>
      <c r="AC127" s="61" t="n">
        <v>1.3</v>
      </c>
      <c r="AD127" s="61" t="n">
        <v>3.2</v>
      </c>
      <c r="AE127" s="63" t="n">
        <v>30</v>
      </c>
      <c r="AF127" s="61" t="n">
        <v>52.6</v>
      </c>
      <c r="AG127" s="62" t="n">
        <v>4.759</v>
      </c>
      <c r="AH127" s="62" t="n">
        <v>0.09</v>
      </c>
      <c r="AI127" s="61" t="n">
        <v>1.3</v>
      </c>
      <c r="AJ127" s="63" t="n">
        <v>30</v>
      </c>
      <c r="AK127" s="61" t="n">
        <v>247.4</v>
      </c>
      <c r="AL127" s="62" t="n">
        <v>16.169</v>
      </c>
      <c r="AM127" s="62" t="n">
        <v>0.065</v>
      </c>
      <c r="AN127" s="61" t="n">
        <v>1.3</v>
      </c>
      <c r="AO127" s="64" t="n">
        <f aca="false">Table1[[#This Row],[Inside_._time]]/Table1[[#This Row],[Duration]]</f>
        <v>0.175333333333333</v>
      </c>
      <c r="AP127" s="64" t="n">
        <f aca="false">Table1[[#This Row],[Outside_._time]]/Table1[[#This Row],[Duration]]</f>
        <v>0.824666666666667</v>
      </c>
      <c r="AQ127" s="64" t="n">
        <f aca="false">Table1[[#This Row],[Inside_._distance]]/Table1[[#This Row],[Distance]]</f>
        <v>0.22739870030581</v>
      </c>
      <c r="AR127" s="64" t="n">
        <f aca="false">Table1[[#This Row],[Outside_._distance]]/Table1[[#This Row],[Distance]]</f>
        <v>0.77260129969419</v>
      </c>
      <c r="AS127" s="63"/>
      <c r="AT127" s="65"/>
      <c r="AU127" s="65"/>
      <c r="AV127" s="66"/>
      <c r="AW127" s="65"/>
      <c r="AX127" s="65"/>
      <c r="AY127" s="12" t="s">
        <v>64</v>
      </c>
      <c r="AZ127" s="12" t="s">
        <v>65</v>
      </c>
      <c r="BA127" s="63" t="s">
        <v>72</v>
      </c>
      <c r="BB127" s="63" t="n">
        <v>61</v>
      </c>
      <c r="BC127" s="63" t="n">
        <v>2.03333333333333</v>
      </c>
      <c r="BD127" s="63" t="s">
        <v>67</v>
      </c>
      <c r="BE127" s="63" t="n">
        <v>1</v>
      </c>
      <c r="BF127" s="63" t="s">
        <v>157</v>
      </c>
    </row>
    <row r="128" customFormat="false" ht="12" hidden="false" customHeight="true" outlineLevel="0" collapsed="false">
      <c r="A128" s="12" t="n">
        <v>34</v>
      </c>
      <c r="B128" s="60" t="s">
        <v>158</v>
      </c>
      <c r="C128" s="12" t="s">
        <v>250</v>
      </c>
      <c r="D128" s="12" t="s">
        <v>74</v>
      </c>
      <c r="E128" s="12" t="s">
        <v>251</v>
      </c>
      <c r="F128" s="12" t="s">
        <v>292</v>
      </c>
      <c r="G128" s="12" t="s">
        <v>295</v>
      </c>
      <c r="H128" s="61" t="n">
        <v>300</v>
      </c>
      <c r="I128" s="62" t="n">
        <v>65.501</v>
      </c>
      <c r="J128" s="62" t="n">
        <v>0.218</v>
      </c>
      <c r="K128" s="62" t="n">
        <v>0.484</v>
      </c>
      <c r="L128" s="61" t="n">
        <v>0</v>
      </c>
      <c r="M128" s="63" t="n">
        <v>74</v>
      </c>
      <c r="N128" s="61" t="n">
        <v>26.7</v>
      </c>
      <c r="O128" s="62" t="n">
        <v>7.465</v>
      </c>
      <c r="P128" s="62" t="n">
        <v>0.28</v>
      </c>
      <c r="Q128" s="62" t="n">
        <v>0.428</v>
      </c>
      <c r="R128" s="61" t="n">
        <v>6.2</v>
      </c>
      <c r="S128" s="63" t="n">
        <v>6300</v>
      </c>
      <c r="T128" s="61" t="n">
        <v>0</v>
      </c>
      <c r="U128" s="61" t="n">
        <v>5.8</v>
      </c>
      <c r="V128" s="63" t="n">
        <v>64</v>
      </c>
      <c r="W128" s="61" t="n">
        <v>21</v>
      </c>
      <c r="X128" s="62" t="n">
        <v>6.168</v>
      </c>
      <c r="Y128" s="62" t="n">
        <v>0.293</v>
      </c>
      <c r="Z128" s="62" t="n">
        <v>0.457</v>
      </c>
      <c r="AA128" s="61" t="n">
        <v>3.2</v>
      </c>
      <c r="AB128" s="63" t="n">
        <v>6527</v>
      </c>
      <c r="AC128" s="61" t="n">
        <v>0</v>
      </c>
      <c r="AD128" s="61" t="n">
        <v>4.5</v>
      </c>
      <c r="AE128" s="63" t="n">
        <v>139</v>
      </c>
      <c r="AF128" s="61" t="n">
        <v>78.8</v>
      </c>
      <c r="AG128" s="62" t="n">
        <v>25.369</v>
      </c>
      <c r="AH128" s="62" t="n">
        <v>0.322</v>
      </c>
      <c r="AI128" s="61" t="n">
        <v>0</v>
      </c>
      <c r="AJ128" s="63" t="n">
        <v>139</v>
      </c>
      <c r="AK128" s="61" t="n">
        <v>221.2</v>
      </c>
      <c r="AL128" s="62" t="n">
        <v>40.132</v>
      </c>
      <c r="AM128" s="62" t="n">
        <v>0.181</v>
      </c>
      <c r="AN128" s="61" t="n">
        <v>0</v>
      </c>
      <c r="AO128" s="64" t="n">
        <f aca="false">Table1[[#This Row],[Inside_._time]]/Table1[[#This Row],[Duration]]</f>
        <v>0.262666666666667</v>
      </c>
      <c r="AP128" s="64" t="n">
        <f aca="false">Table1[[#This Row],[Outside_._time]]/Table1[[#This Row],[Duration]]</f>
        <v>0.737333333333333</v>
      </c>
      <c r="AQ128" s="64" t="n">
        <f aca="false">Table1[[#This Row],[Inside_._distance]]/Table1[[#This Row],[Distance]]</f>
        <v>0.38730706401429</v>
      </c>
      <c r="AR128" s="64" t="n">
        <f aca="false">Table1[[#This Row],[Outside_._distance]]/Table1[[#This Row],[Distance]]</f>
        <v>0.61269293598571</v>
      </c>
      <c r="AS128" s="63"/>
      <c r="AT128" s="65"/>
      <c r="AU128" s="65"/>
      <c r="AV128" s="66"/>
      <c r="AW128" s="65"/>
      <c r="AX128" s="65"/>
      <c r="AY128" s="12" t="s">
        <v>64</v>
      </c>
      <c r="AZ128" s="12" t="s">
        <v>65</v>
      </c>
      <c r="BA128" s="63" t="s">
        <v>66</v>
      </c>
      <c r="BB128" s="63" t="n">
        <v>61</v>
      </c>
      <c r="BC128" s="63" t="n">
        <v>2.03333333333333</v>
      </c>
      <c r="BD128" s="63" t="s">
        <v>81</v>
      </c>
      <c r="BE128" s="63" t="n">
        <v>4</v>
      </c>
      <c r="BF128" s="63" t="s">
        <v>160</v>
      </c>
    </row>
    <row r="129" customFormat="false" ht="12" hidden="false" customHeight="true" outlineLevel="0" collapsed="false">
      <c r="A129" s="12" t="n">
        <v>35</v>
      </c>
      <c r="B129" s="60" t="s">
        <v>161</v>
      </c>
      <c r="C129" s="12" t="s">
        <v>250</v>
      </c>
      <c r="D129" s="12" t="s">
        <v>79</v>
      </c>
      <c r="E129" s="12" t="s">
        <v>251</v>
      </c>
      <c r="F129" s="12" t="s">
        <v>292</v>
      </c>
      <c r="G129" s="12" t="s">
        <v>296</v>
      </c>
      <c r="H129" s="61" t="n">
        <v>300</v>
      </c>
      <c r="I129" s="62" t="n">
        <v>31.897</v>
      </c>
      <c r="J129" s="62" t="n">
        <v>0.106</v>
      </c>
      <c r="K129" s="62" t="n">
        <v>0.353</v>
      </c>
      <c r="L129" s="61" t="n">
        <v>2.3</v>
      </c>
      <c r="M129" s="63" t="n">
        <v>31</v>
      </c>
      <c r="N129" s="61" t="n">
        <v>19.5</v>
      </c>
      <c r="O129" s="62" t="n">
        <v>2.354</v>
      </c>
      <c r="P129" s="62" t="n">
        <v>0.12</v>
      </c>
      <c r="Q129" s="62" t="n">
        <v>0.286</v>
      </c>
      <c r="R129" s="61" t="n">
        <v>8.3</v>
      </c>
      <c r="S129" s="63" t="n">
        <v>2374</v>
      </c>
      <c r="T129" s="61" t="n">
        <v>2.3</v>
      </c>
      <c r="U129" s="61" t="n">
        <v>6.4</v>
      </c>
      <c r="V129" s="63" t="n">
        <v>23</v>
      </c>
      <c r="W129" s="61" t="n">
        <v>10.8</v>
      </c>
      <c r="X129" s="62" t="n">
        <v>1.661</v>
      </c>
      <c r="Y129" s="62" t="n">
        <v>0.153</v>
      </c>
      <c r="Z129" s="62" t="n">
        <v>0.341</v>
      </c>
      <c r="AA129" s="61" t="n">
        <v>1.1</v>
      </c>
      <c r="AB129" s="63" t="n">
        <v>1289</v>
      </c>
      <c r="AC129" s="61" t="n">
        <v>0</v>
      </c>
      <c r="AD129" s="61" t="n">
        <v>2.8</v>
      </c>
      <c r="AE129" s="63" t="n">
        <v>31</v>
      </c>
      <c r="AF129" s="61" t="n">
        <v>25.5</v>
      </c>
      <c r="AG129" s="62" t="n">
        <v>4.155</v>
      </c>
      <c r="AH129" s="62" t="n">
        <v>0.163</v>
      </c>
      <c r="AI129" s="61" t="n">
        <v>0</v>
      </c>
      <c r="AJ129" s="63" t="n">
        <v>32</v>
      </c>
      <c r="AK129" s="61" t="n">
        <v>274.5</v>
      </c>
      <c r="AL129" s="62" t="n">
        <v>27.742</v>
      </c>
      <c r="AM129" s="62" t="n">
        <v>0.101</v>
      </c>
      <c r="AN129" s="61" t="n">
        <v>2.3</v>
      </c>
      <c r="AO129" s="64" t="n">
        <f aca="false">Table1[[#This Row],[Inside_._time]]/Table1[[#This Row],[Duration]]</f>
        <v>0.085</v>
      </c>
      <c r="AP129" s="64" t="n">
        <f aca="false">Table1[[#This Row],[Outside_._time]]/Table1[[#This Row],[Duration]]</f>
        <v>0.915</v>
      </c>
      <c r="AQ129" s="64" t="n">
        <f aca="false">Table1[[#This Row],[Inside_._distance]]/Table1[[#This Row],[Distance]]</f>
        <v>0.130263034141142</v>
      </c>
      <c r="AR129" s="64" t="n">
        <f aca="false">Table1[[#This Row],[Outside_._distance]]/Table1[[#This Row],[Distance]]</f>
        <v>0.869736965858858</v>
      </c>
      <c r="AS129" s="63"/>
      <c r="AT129" s="65"/>
      <c r="AU129" s="65"/>
      <c r="AV129" s="66"/>
      <c r="AW129" s="65"/>
      <c r="AX129" s="65"/>
      <c r="AY129" s="12" t="s">
        <v>64</v>
      </c>
      <c r="AZ129" s="12" t="s">
        <v>65</v>
      </c>
      <c r="BA129" s="63" t="s">
        <v>72</v>
      </c>
      <c r="BB129" s="63" t="n">
        <v>61</v>
      </c>
      <c r="BC129" s="63" t="n">
        <v>2.03333333333333</v>
      </c>
      <c r="BD129" s="63" t="s">
        <v>81</v>
      </c>
      <c r="BE129" s="63" t="n">
        <v>2</v>
      </c>
      <c r="BF129" s="63" t="s">
        <v>157</v>
      </c>
    </row>
    <row r="130" customFormat="false" ht="12" hidden="false" customHeight="true" outlineLevel="0" collapsed="false">
      <c r="A130" s="12" t="n">
        <v>37</v>
      </c>
      <c r="B130" s="60" t="s">
        <v>163</v>
      </c>
      <c r="C130" s="12" t="s">
        <v>250</v>
      </c>
      <c r="D130" s="12" t="s">
        <v>60</v>
      </c>
      <c r="E130" s="12" t="s">
        <v>251</v>
      </c>
      <c r="F130" s="12" t="s">
        <v>297</v>
      </c>
      <c r="G130" s="12" t="s">
        <v>298</v>
      </c>
      <c r="H130" s="61" t="n">
        <v>300</v>
      </c>
      <c r="I130" s="62" t="n">
        <v>15.636</v>
      </c>
      <c r="J130" s="62" t="n">
        <v>0.052</v>
      </c>
      <c r="K130" s="62" t="n">
        <v>0.26</v>
      </c>
      <c r="L130" s="61" t="n">
        <v>5.8</v>
      </c>
      <c r="M130" s="63" t="n">
        <v>14</v>
      </c>
      <c r="N130" s="61" t="n">
        <v>15.6</v>
      </c>
      <c r="O130" s="62" t="n">
        <v>1.2</v>
      </c>
      <c r="P130" s="62" t="n">
        <v>0.077</v>
      </c>
      <c r="Q130" s="62" t="n">
        <v>0.243</v>
      </c>
      <c r="R130" s="61" t="n">
        <v>2</v>
      </c>
      <c r="S130" s="63" t="n">
        <v>1379</v>
      </c>
      <c r="T130" s="61" t="n">
        <v>1.1</v>
      </c>
      <c r="U130" s="61" t="n">
        <v>2.3</v>
      </c>
      <c r="V130" s="63" t="n">
        <v>21</v>
      </c>
      <c r="W130" s="61" t="n">
        <v>39.3</v>
      </c>
      <c r="X130" s="62" t="n">
        <v>1.184</v>
      </c>
      <c r="Y130" s="62" t="n">
        <v>0.03</v>
      </c>
      <c r="Z130" s="62" t="n">
        <v>0.26</v>
      </c>
      <c r="AA130" s="61" t="n">
        <v>4.3</v>
      </c>
      <c r="AB130" s="63" t="n">
        <v>3351</v>
      </c>
      <c r="AC130" s="61" t="n">
        <v>4.7</v>
      </c>
      <c r="AD130" s="61" t="n">
        <v>4.5</v>
      </c>
      <c r="AE130" s="63" t="n">
        <v>24</v>
      </c>
      <c r="AF130" s="61" t="n">
        <v>36.7</v>
      </c>
      <c r="AG130" s="62" t="n">
        <v>3.397</v>
      </c>
      <c r="AH130" s="62" t="n">
        <v>0.093</v>
      </c>
      <c r="AI130" s="61" t="n">
        <v>0</v>
      </c>
      <c r="AJ130" s="63" t="n">
        <v>24</v>
      </c>
      <c r="AK130" s="61" t="n">
        <v>263.3</v>
      </c>
      <c r="AL130" s="62" t="n">
        <v>12.239</v>
      </c>
      <c r="AM130" s="62" t="n">
        <v>0.046</v>
      </c>
      <c r="AN130" s="61" t="n">
        <v>5.8</v>
      </c>
      <c r="AO130" s="64" t="n">
        <f aca="false">Table1[[#This Row],[Inside_._time]]/Table1[[#This Row],[Duration]]</f>
        <v>0.122333333333333</v>
      </c>
      <c r="AP130" s="64" t="n">
        <f aca="false">Table1[[#This Row],[Outside_._time]]/Table1[[#This Row],[Duration]]</f>
        <v>0.877666666666667</v>
      </c>
      <c r="AQ130" s="64" t="n">
        <f aca="false">Table1[[#This Row],[Inside_._distance]]/Table1[[#This Row],[Distance]]</f>
        <v>0.21725505244308</v>
      </c>
      <c r="AR130" s="64" t="n">
        <f aca="false">Table1[[#This Row],[Outside_._distance]]/Table1[[#This Row],[Distance]]</f>
        <v>0.78274494755692</v>
      </c>
      <c r="AS130" s="63"/>
      <c r="AT130" s="65"/>
      <c r="AU130" s="65"/>
      <c r="AV130" s="66"/>
      <c r="AW130" s="65"/>
      <c r="AX130" s="65"/>
      <c r="AY130" s="12" t="s">
        <v>64</v>
      </c>
      <c r="AZ130" s="12" t="s">
        <v>65</v>
      </c>
      <c r="BA130" s="63" t="s">
        <v>66</v>
      </c>
      <c r="BB130" s="63" t="n">
        <v>61</v>
      </c>
      <c r="BC130" s="63" t="n">
        <v>2.03333333333333</v>
      </c>
      <c r="BD130" s="63" t="s">
        <v>81</v>
      </c>
      <c r="BE130" s="63" t="n">
        <v>4</v>
      </c>
      <c r="BF130" s="63"/>
    </row>
    <row r="131" customFormat="false" ht="12" hidden="false" customHeight="true" outlineLevel="0" collapsed="false">
      <c r="A131" s="12" t="n">
        <v>39</v>
      </c>
      <c r="B131" s="60" t="s">
        <v>166</v>
      </c>
      <c r="C131" s="12" t="s">
        <v>250</v>
      </c>
      <c r="D131" s="12" t="s">
        <v>69</v>
      </c>
      <c r="E131" s="12" t="s">
        <v>251</v>
      </c>
      <c r="F131" s="12" t="s">
        <v>297</v>
      </c>
      <c r="G131" s="12" t="s">
        <v>299</v>
      </c>
      <c r="H131" s="61" t="n">
        <v>300</v>
      </c>
      <c r="I131" s="62" t="n">
        <v>12.294</v>
      </c>
      <c r="J131" s="62" t="n">
        <v>0.041</v>
      </c>
      <c r="K131" s="62" t="n">
        <v>0.219</v>
      </c>
      <c r="L131" s="61" t="n">
        <v>15.7</v>
      </c>
      <c r="M131" s="63" t="n">
        <v>31</v>
      </c>
      <c r="N131" s="61" t="n">
        <v>27.2</v>
      </c>
      <c r="O131" s="62" t="n">
        <v>1.636</v>
      </c>
      <c r="P131" s="62" t="n">
        <v>0.06</v>
      </c>
      <c r="Q131" s="62" t="n">
        <v>0.219</v>
      </c>
      <c r="R131" s="61" t="n">
        <v>7</v>
      </c>
      <c r="S131" s="63" t="n">
        <v>2363</v>
      </c>
      <c r="T131" s="61" t="n">
        <v>0</v>
      </c>
      <c r="U131" s="61" t="n">
        <v>9.3</v>
      </c>
      <c r="V131" s="63" t="n">
        <v>13</v>
      </c>
      <c r="W131" s="61" t="n">
        <v>11.1</v>
      </c>
      <c r="X131" s="62" t="n">
        <v>1.377</v>
      </c>
      <c r="Y131" s="62" t="n">
        <v>0.124</v>
      </c>
      <c r="Z131" s="62" t="n">
        <v>0.203</v>
      </c>
      <c r="AA131" s="61" t="n">
        <v>3.3</v>
      </c>
      <c r="AB131" s="63" t="n">
        <v>885</v>
      </c>
      <c r="AC131" s="61" t="n">
        <v>0</v>
      </c>
      <c r="AD131" s="61" t="n">
        <v>2</v>
      </c>
      <c r="AE131" s="63" t="n">
        <v>15</v>
      </c>
      <c r="AF131" s="61" t="n">
        <v>18.3</v>
      </c>
      <c r="AG131" s="62" t="n">
        <v>2.157</v>
      </c>
      <c r="AH131" s="62" t="n">
        <v>0.118</v>
      </c>
      <c r="AI131" s="61" t="n">
        <v>0</v>
      </c>
      <c r="AJ131" s="63" t="n">
        <v>15</v>
      </c>
      <c r="AK131" s="61" t="n">
        <v>281.7</v>
      </c>
      <c r="AL131" s="62" t="n">
        <v>10.137</v>
      </c>
      <c r="AM131" s="62" t="n">
        <v>0.036</v>
      </c>
      <c r="AN131" s="61" t="n">
        <v>15.7</v>
      </c>
      <c r="AO131" s="64" t="n">
        <f aca="false">Table1[[#This Row],[Inside_._time]]/Table1[[#This Row],[Duration]]</f>
        <v>0.061</v>
      </c>
      <c r="AP131" s="64" t="n">
        <f aca="false">Table1[[#This Row],[Outside_._time]]/Table1[[#This Row],[Duration]]</f>
        <v>0.939</v>
      </c>
      <c r="AQ131" s="64" t="n">
        <f aca="false">Table1[[#This Row],[Inside_._distance]]/Table1[[#This Row],[Distance]]</f>
        <v>0.175451439726696</v>
      </c>
      <c r="AR131" s="64" t="n">
        <f aca="false">Table1[[#This Row],[Outside_._distance]]/Table1[[#This Row],[Distance]]</f>
        <v>0.824548560273304</v>
      </c>
      <c r="AS131" s="63"/>
      <c r="AT131" s="65"/>
      <c r="AU131" s="65"/>
      <c r="AV131" s="66"/>
      <c r="AW131" s="65"/>
      <c r="AX131" s="65"/>
      <c r="AY131" s="12" t="s">
        <v>64</v>
      </c>
      <c r="AZ131" s="12" t="s">
        <v>65</v>
      </c>
      <c r="BA131" s="63" t="s">
        <v>66</v>
      </c>
      <c r="BB131" s="63" t="n">
        <v>61</v>
      </c>
      <c r="BC131" s="63" t="n">
        <v>2.03333333333333</v>
      </c>
      <c r="BD131" s="63" t="s">
        <v>67</v>
      </c>
      <c r="BE131" s="63" t="n">
        <v>3</v>
      </c>
      <c r="BF131" s="63" t="s">
        <v>168</v>
      </c>
    </row>
    <row r="132" customFormat="false" ht="12" hidden="false" customHeight="true" outlineLevel="0" collapsed="false">
      <c r="A132" s="12" t="n">
        <v>38</v>
      </c>
      <c r="B132" s="60" t="s">
        <v>169</v>
      </c>
      <c r="C132" s="12" t="s">
        <v>250</v>
      </c>
      <c r="D132" s="12" t="s">
        <v>74</v>
      </c>
      <c r="E132" s="12" t="s">
        <v>251</v>
      </c>
      <c r="F132" s="12" t="s">
        <v>297</v>
      </c>
      <c r="G132" s="12" t="s">
        <v>300</v>
      </c>
      <c r="H132" s="61" t="n">
        <v>300</v>
      </c>
      <c r="I132" s="62" t="n">
        <v>18.621</v>
      </c>
      <c r="J132" s="62" t="n">
        <v>0.062</v>
      </c>
      <c r="K132" s="62" t="n">
        <v>0.334</v>
      </c>
      <c r="L132" s="61" t="n">
        <v>15.3</v>
      </c>
      <c r="M132" s="63" t="n">
        <v>37</v>
      </c>
      <c r="N132" s="61" t="n">
        <v>72.2</v>
      </c>
      <c r="O132" s="62" t="n">
        <v>2.524</v>
      </c>
      <c r="P132" s="62" t="n">
        <v>0.035</v>
      </c>
      <c r="Q132" s="62" t="n">
        <v>0.293</v>
      </c>
      <c r="R132" s="61" t="n">
        <v>17.3</v>
      </c>
      <c r="S132" s="63" t="n">
        <v>5331</v>
      </c>
      <c r="T132" s="61" t="n">
        <v>13.4</v>
      </c>
      <c r="U132" s="61" t="n">
        <v>15</v>
      </c>
      <c r="V132" s="63" t="n">
        <v>13</v>
      </c>
      <c r="W132" s="61" t="n">
        <v>10.8</v>
      </c>
      <c r="X132" s="62" t="n">
        <v>1.126</v>
      </c>
      <c r="Y132" s="62" t="n">
        <v>0.104</v>
      </c>
      <c r="Z132" s="62" t="n">
        <v>0.266</v>
      </c>
      <c r="AA132" s="61" t="n">
        <v>3</v>
      </c>
      <c r="AB132" s="63" t="n">
        <v>1126</v>
      </c>
      <c r="AC132" s="61" t="n">
        <v>0</v>
      </c>
      <c r="AD132" s="61" t="n">
        <v>3.7</v>
      </c>
      <c r="AE132" s="63" t="n">
        <v>35</v>
      </c>
      <c r="AF132" s="61" t="n">
        <v>28.7</v>
      </c>
      <c r="AG132" s="62" t="n">
        <v>3.635</v>
      </c>
      <c r="AH132" s="62" t="n">
        <v>0.127</v>
      </c>
      <c r="AI132" s="61" t="n">
        <v>0</v>
      </c>
      <c r="AJ132" s="63" t="n">
        <v>36</v>
      </c>
      <c r="AK132" s="61" t="n">
        <v>271.3</v>
      </c>
      <c r="AL132" s="62" t="n">
        <v>14.987</v>
      </c>
      <c r="AM132" s="62" t="n">
        <v>0.055</v>
      </c>
      <c r="AN132" s="61" t="n">
        <v>15.3</v>
      </c>
      <c r="AO132" s="64" t="n">
        <f aca="false">Table1[[#This Row],[Inside_._time]]/Table1[[#This Row],[Duration]]</f>
        <v>0.0956666666666667</v>
      </c>
      <c r="AP132" s="64" t="n">
        <f aca="false">Table1[[#This Row],[Outside_._time]]/Table1[[#This Row],[Duration]]</f>
        <v>0.904333333333333</v>
      </c>
      <c r="AQ132" s="64" t="n">
        <f aca="false">Table1[[#This Row],[Inside_._distance]]/Table1[[#This Row],[Distance]]</f>
        <v>0.195209709467805</v>
      </c>
      <c r="AR132" s="64" t="n">
        <f aca="false">Table1[[#This Row],[Outside_._distance]]/Table1[[#This Row],[Distance]]</f>
        <v>0.804843993340852</v>
      </c>
      <c r="AS132" s="63"/>
      <c r="AT132" s="65"/>
      <c r="AU132" s="65"/>
      <c r="AV132" s="66"/>
      <c r="AW132" s="65"/>
      <c r="AX132" s="65"/>
      <c r="AY132" s="12" t="s">
        <v>71</v>
      </c>
      <c r="AZ132" s="12" t="s">
        <v>65</v>
      </c>
      <c r="BA132" s="63" t="s">
        <v>72</v>
      </c>
      <c r="BB132" s="63" t="n">
        <v>61</v>
      </c>
      <c r="BC132" s="63" t="n">
        <v>2.03333333333333</v>
      </c>
      <c r="BD132" s="63" t="s">
        <v>67</v>
      </c>
      <c r="BE132" s="63" t="n">
        <v>1</v>
      </c>
      <c r="BF132" s="63" t="s">
        <v>171</v>
      </c>
    </row>
    <row r="133" customFormat="false" ht="12" hidden="false" customHeight="true" outlineLevel="0" collapsed="false">
      <c r="A133" s="12" t="n">
        <v>40</v>
      </c>
      <c r="B133" s="60" t="s">
        <v>172</v>
      </c>
      <c r="C133" s="12" t="s">
        <v>250</v>
      </c>
      <c r="D133" s="12" t="s">
        <v>79</v>
      </c>
      <c r="E133" s="12" t="s">
        <v>251</v>
      </c>
      <c r="F133" s="12" t="s">
        <v>297</v>
      </c>
      <c r="G133" s="12" t="s">
        <v>301</v>
      </c>
      <c r="H133" s="61" t="n">
        <v>300</v>
      </c>
      <c r="I133" s="62" t="n">
        <v>23.558</v>
      </c>
      <c r="J133" s="62" t="n">
        <v>0.079</v>
      </c>
      <c r="K133" s="62" t="n">
        <v>0.293</v>
      </c>
      <c r="L133" s="61" t="n">
        <v>13.3</v>
      </c>
      <c r="M133" s="63" t="n">
        <v>38</v>
      </c>
      <c r="N133" s="61" t="n">
        <v>17.2</v>
      </c>
      <c r="O133" s="62" t="n">
        <v>2.2</v>
      </c>
      <c r="P133" s="62" t="n">
        <v>0.128</v>
      </c>
      <c r="Q133" s="62" t="n">
        <v>0.291</v>
      </c>
      <c r="R133" s="61" t="n">
        <v>4.1</v>
      </c>
      <c r="S133" s="63" t="n">
        <v>2267</v>
      </c>
      <c r="T133" s="61" t="n">
        <v>0</v>
      </c>
      <c r="U133" s="61" t="n">
        <v>4.4</v>
      </c>
      <c r="V133" s="63" t="n">
        <v>58</v>
      </c>
      <c r="W133" s="61" t="n">
        <v>46.8</v>
      </c>
      <c r="X133" s="62" t="n">
        <v>2.874</v>
      </c>
      <c r="Y133" s="62" t="n">
        <v>0.061</v>
      </c>
      <c r="Z133" s="62" t="n">
        <v>0.262</v>
      </c>
      <c r="AA133" s="61" t="n">
        <v>12.2</v>
      </c>
      <c r="AB133" s="63" t="n">
        <v>4014</v>
      </c>
      <c r="AC133" s="61" t="n">
        <v>2.1</v>
      </c>
      <c r="AD133" s="61" t="n">
        <v>19.1</v>
      </c>
      <c r="AE133" s="63" t="n">
        <v>36</v>
      </c>
      <c r="AF133" s="61" t="n">
        <v>110.6</v>
      </c>
      <c r="AG133" s="62" t="n">
        <v>5.678</v>
      </c>
      <c r="AH133" s="62" t="n">
        <v>0.051</v>
      </c>
      <c r="AI133" s="61" t="n">
        <v>12.1</v>
      </c>
      <c r="AJ133" s="63" t="n">
        <v>37</v>
      </c>
      <c r="AK133" s="61" t="n">
        <v>189.4</v>
      </c>
      <c r="AL133" s="62" t="n">
        <v>17.88</v>
      </c>
      <c r="AM133" s="62" t="n">
        <v>0.094</v>
      </c>
      <c r="AN133" s="61" t="n">
        <v>1.2</v>
      </c>
      <c r="AO133" s="64" t="n">
        <f aca="false">Table1[[#This Row],[Inside_._time]]/Table1[[#This Row],[Duration]]</f>
        <v>0.368666666666667</v>
      </c>
      <c r="AP133" s="64" t="n">
        <f aca="false">Table1[[#This Row],[Outside_._time]]/Table1[[#This Row],[Duration]]</f>
        <v>0.631333333333333</v>
      </c>
      <c r="AQ133" s="64" t="n">
        <f aca="false">Table1[[#This Row],[Inside_._distance]]/Table1[[#This Row],[Distance]]</f>
        <v>0.241022158077935</v>
      </c>
      <c r="AR133" s="64" t="n">
        <f aca="false">Table1[[#This Row],[Outside_._distance]]/Table1[[#This Row],[Distance]]</f>
        <v>0.758977841922065</v>
      </c>
      <c r="AS133" s="63"/>
      <c r="AT133" s="65"/>
      <c r="AU133" s="65"/>
      <c r="AV133" s="66"/>
      <c r="AW133" s="65"/>
      <c r="AX133" s="65"/>
      <c r="AY133" s="12" t="s">
        <v>71</v>
      </c>
      <c r="AZ133" s="12" t="s">
        <v>65</v>
      </c>
      <c r="BA133" s="63" t="s">
        <v>66</v>
      </c>
      <c r="BB133" s="63" t="n">
        <v>61</v>
      </c>
      <c r="BC133" s="63" t="n">
        <v>2.03333333333333</v>
      </c>
      <c r="BD133" s="63" t="s">
        <v>81</v>
      </c>
      <c r="BE133" s="63" t="n">
        <v>4</v>
      </c>
      <c r="BF133" s="63"/>
    </row>
    <row r="134" customFormat="false" ht="12" hidden="false" customHeight="true" outlineLevel="0" collapsed="false">
      <c r="A134" s="12" t="n">
        <v>43</v>
      </c>
      <c r="B134" s="60" t="s">
        <v>174</v>
      </c>
      <c r="C134" s="12" t="s">
        <v>250</v>
      </c>
      <c r="D134" s="12" t="s">
        <v>60</v>
      </c>
      <c r="E134" s="12" t="s">
        <v>251</v>
      </c>
      <c r="F134" s="12" t="s">
        <v>302</v>
      </c>
      <c r="G134" s="12" t="s">
        <v>303</v>
      </c>
      <c r="H134" s="61" t="n">
        <v>300</v>
      </c>
      <c r="I134" s="62" t="n">
        <v>11.309</v>
      </c>
      <c r="J134" s="62" t="n">
        <v>0.038</v>
      </c>
      <c r="K134" s="62" t="n">
        <v>0.276</v>
      </c>
      <c r="L134" s="61" t="n">
        <v>44.1</v>
      </c>
      <c r="M134" s="63" t="n">
        <v>14</v>
      </c>
      <c r="N134" s="61" t="n">
        <v>86</v>
      </c>
      <c r="O134" s="62" t="n">
        <v>0.992</v>
      </c>
      <c r="P134" s="62" t="n">
        <v>0.012</v>
      </c>
      <c r="Q134" s="62" t="n">
        <v>0.174</v>
      </c>
      <c r="R134" s="61" t="n">
        <v>7.7</v>
      </c>
      <c r="S134" s="63" t="n">
        <v>5579</v>
      </c>
      <c r="T134" s="61" t="n">
        <v>28.6</v>
      </c>
      <c r="U134" s="61" t="n">
        <v>4.8</v>
      </c>
      <c r="V134" s="63" t="n">
        <v>7</v>
      </c>
      <c r="W134" s="61" t="n">
        <v>12.5</v>
      </c>
      <c r="X134" s="62" t="n">
        <v>0.463</v>
      </c>
      <c r="Y134" s="62" t="n">
        <v>0.037</v>
      </c>
      <c r="Z134" s="62" t="n">
        <v>0.258</v>
      </c>
      <c r="AA134" s="61" t="n">
        <v>1.2</v>
      </c>
      <c r="AB134" s="63" t="n">
        <v>747</v>
      </c>
      <c r="AC134" s="61" t="n">
        <v>1.6</v>
      </c>
      <c r="AD134" s="61" t="n">
        <v>1.7</v>
      </c>
      <c r="AE134" s="63" t="n">
        <v>17</v>
      </c>
      <c r="AF134" s="61" t="n">
        <v>132.4</v>
      </c>
      <c r="AG134" s="62" t="n">
        <v>1.723</v>
      </c>
      <c r="AH134" s="62" t="n">
        <v>0.013</v>
      </c>
      <c r="AI134" s="61" t="n">
        <v>38</v>
      </c>
      <c r="AJ134" s="63" t="n">
        <v>17</v>
      </c>
      <c r="AK134" s="61" t="n">
        <v>167.6</v>
      </c>
      <c r="AL134" s="62" t="n">
        <v>9.586</v>
      </c>
      <c r="AM134" s="62" t="n">
        <v>0.057</v>
      </c>
      <c r="AN134" s="61" t="n">
        <v>6.1</v>
      </c>
      <c r="AO134" s="64" t="n">
        <f aca="false">Table1[[#This Row],[Inside_._time]]/Table1[[#This Row],[Duration]]</f>
        <v>0.441333333333333</v>
      </c>
      <c r="AP134" s="64" t="n">
        <f aca="false">Table1[[#This Row],[Outside_._time]]/Table1[[#This Row],[Duration]]</f>
        <v>0.558666666666667</v>
      </c>
      <c r="AQ134" s="64" t="n">
        <f aca="false">Table1[[#This Row],[Inside_._distance]]/Table1[[#This Row],[Distance]]</f>
        <v>0.152356530197188</v>
      </c>
      <c r="AR134" s="64" t="n">
        <f aca="false">Table1[[#This Row],[Outside_._distance]]/Table1[[#This Row],[Distance]]</f>
        <v>0.847643469802812</v>
      </c>
      <c r="AS134" s="63"/>
      <c r="AT134" s="65"/>
      <c r="AU134" s="65"/>
      <c r="AV134" s="66"/>
      <c r="AW134" s="65"/>
      <c r="AX134" s="65"/>
      <c r="AY134" s="12" t="s">
        <v>71</v>
      </c>
      <c r="AZ134" s="12" t="s">
        <v>65</v>
      </c>
      <c r="BA134" s="63" t="s">
        <v>72</v>
      </c>
      <c r="BB134" s="63" t="n">
        <v>61</v>
      </c>
      <c r="BC134" s="63" t="n">
        <v>2.03333333333333</v>
      </c>
      <c r="BD134" s="63" t="s">
        <v>81</v>
      </c>
      <c r="BE134" s="63" t="n">
        <v>2</v>
      </c>
      <c r="BF134" s="63"/>
    </row>
    <row r="135" customFormat="false" ht="12" hidden="false" customHeight="true" outlineLevel="0" collapsed="false">
      <c r="A135" s="12" t="n">
        <v>44</v>
      </c>
      <c r="B135" s="60" t="s">
        <v>177</v>
      </c>
      <c r="C135" s="12" t="s">
        <v>250</v>
      </c>
      <c r="D135" s="12" t="s">
        <v>69</v>
      </c>
      <c r="E135" s="12" t="s">
        <v>251</v>
      </c>
      <c r="F135" s="12" t="s">
        <v>302</v>
      </c>
      <c r="G135" s="12" t="s">
        <v>304</v>
      </c>
      <c r="H135" s="61" t="n">
        <v>300</v>
      </c>
      <c r="I135" s="62" t="n">
        <v>14.6</v>
      </c>
      <c r="J135" s="62" t="n">
        <v>0.049</v>
      </c>
      <c r="K135" s="62" t="n">
        <v>0.29</v>
      </c>
      <c r="L135" s="61" t="n">
        <v>18.7</v>
      </c>
      <c r="M135" s="63" t="n">
        <v>26</v>
      </c>
      <c r="N135" s="61" t="n">
        <v>19.7</v>
      </c>
      <c r="O135" s="62" t="n">
        <v>1.182</v>
      </c>
      <c r="P135" s="62" t="n">
        <v>0.06</v>
      </c>
      <c r="Q135" s="62" t="n">
        <v>0.256</v>
      </c>
      <c r="R135" s="61" t="n">
        <v>4.7</v>
      </c>
      <c r="S135" s="63" t="n">
        <v>1825</v>
      </c>
      <c r="T135" s="61" t="n">
        <v>3.1</v>
      </c>
      <c r="U135" s="61" t="n">
        <v>9.3</v>
      </c>
      <c r="V135" s="63" t="n">
        <v>36</v>
      </c>
      <c r="W135" s="61" t="n">
        <v>63.1</v>
      </c>
      <c r="X135" s="62" t="n">
        <v>1.981</v>
      </c>
      <c r="Y135" s="62" t="n">
        <v>0.031</v>
      </c>
      <c r="Z135" s="62" t="n">
        <v>0.282</v>
      </c>
      <c r="AA135" s="61" t="n">
        <v>9.3</v>
      </c>
      <c r="AB135" s="63" t="n">
        <v>4723</v>
      </c>
      <c r="AC135" s="61" t="n">
        <v>12</v>
      </c>
      <c r="AD135" s="61" t="n">
        <v>5.7</v>
      </c>
      <c r="AE135" s="63" t="n">
        <v>23</v>
      </c>
      <c r="AF135" s="61" t="n">
        <v>60.9</v>
      </c>
      <c r="AG135" s="62" t="n">
        <v>2.993</v>
      </c>
      <c r="AH135" s="62" t="n">
        <v>0.049</v>
      </c>
      <c r="AI135" s="61" t="n">
        <v>16.3</v>
      </c>
      <c r="AJ135" s="63" t="n">
        <v>24</v>
      </c>
      <c r="AK135" s="61" t="n">
        <v>239.1</v>
      </c>
      <c r="AL135" s="62" t="n">
        <v>11.607</v>
      </c>
      <c r="AM135" s="62" t="n">
        <v>0.049</v>
      </c>
      <c r="AN135" s="61" t="n">
        <v>2.4</v>
      </c>
      <c r="AO135" s="64" t="n">
        <f aca="false">Table1[[#This Row],[Inside_._time]]/Table1[[#This Row],[Duration]]</f>
        <v>0.203</v>
      </c>
      <c r="AP135" s="64" t="n">
        <f aca="false">Table1[[#This Row],[Outside_._time]]/Table1[[#This Row],[Duration]]</f>
        <v>0.797</v>
      </c>
      <c r="AQ135" s="64" t="n">
        <f aca="false">Table1[[#This Row],[Inside_._distance]]/Table1[[#This Row],[Distance]]</f>
        <v>0.205</v>
      </c>
      <c r="AR135" s="64" t="n">
        <f aca="false">Table1[[#This Row],[Outside_._distance]]/Table1[[#This Row],[Distance]]</f>
        <v>0.795</v>
      </c>
      <c r="AS135" s="63"/>
      <c r="AT135" s="65"/>
      <c r="AU135" s="65"/>
      <c r="AV135" s="66"/>
      <c r="AW135" s="65"/>
      <c r="AX135" s="65"/>
      <c r="AY135" s="12" t="s">
        <v>64</v>
      </c>
      <c r="AZ135" s="12" t="s">
        <v>65</v>
      </c>
      <c r="BA135" s="63" t="s">
        <v>72</v>
      </c>
      <c r="BB135" s="63" t="n">
        <v>60</v>
      </c>
      <c r="BC135" s="63" t="n">
        <v>2</v>
      </c>
      <c r="BD135" s="63" t="s">
        <v>67</v>
      </c>
      <c r="BE135" s="63" t="n">
        <v>1</v>
      </c>
      <c r="BF135" s="63" t="s">
        <v>179</v>
      </c>
    </row>
    <row r="136" customFormat="false" ht="12" hidden="false" customHeight="true" outlineLevel="0" collapsed="false">
      <c r="A136" s="12" t="n">
        <v>41</v>
      </c>
      <c r="B136" s="60" t="s">
        <v>180</v>
      </c>
      <c r="C136" s="12" t="s">
        <v>250</v>
      </c>
      <c r="D136" s="12" t="s">
        <v>74</v>
      </c>
      <c r="E136" s="12" t="s">
        <v>251</v>
      </c>
      <c r="F136" s="12" t="s">
        <v>302</v>
      </c>
      <c r="G136" s="12" t="s">
        <v>305</v>
      </c>
      <c r="H136" s="61" t="n">
        <v>300</v>
      </c>
      <c r="I136" s="62" t="n">
        <v>13.294</v>
      </c>
      <c r="J136" s="62" t="n">
        <v>0.044</v>
      </c>
      <c r="K136" s="62" t="n">
        <v>0.27</v>
      </c>
      <c r="L136" s="61" t="n">
        <v>5.3</v>
      </c>
      <c r="M136" s="63" t="n">
        <v>26</v>
      </c>
      <c r="N136" s="61" t="n">
        <v>16.4</v>
      </c>
      <c r="O136" s="62" t="n">
        <v>1.282</v>
      </c>
      <c r="P136" s="62" t="n">
        <v>0.078</v>
      </c>
      <c r="Q136" s="62" t="n">
        <v>0.234</v>
      </c>
      <c r="R136" s="61" t="n">
        <v>1.6</v>
      </c>
      <c r="S136" s="63" t="n">
        <v>1657</v>
      </c>
      <c r="T136" s="61" t="n">
        <v>0</v>
      </c>
      <c r="U136" s="61" t="n">
        <v>1.9</v>
      </c>
      <c r="V136" s="63" t="n">
        <v>17</v>
      </c>
      <c r="W136" s="61" t="n">
        <v>10.5</v>
      </c>
      <c r="X136" s="62" t="n">
        <v>0.478</v>
      </c>
      <c r="Y136" s="62" t="n">
        <v>0.046</v>
      </c>
      <c r="Z136" s="62" t="n">
        <v>0.197</v>
      </c>
      <c r="AA136" s="61" t="n">
        <v>4.5</v>
      </c>
      <c r="AB136" s="63" t="n">
        <v>1347</v>
      </c>
      <c r="AC136" s="61" t="n">
        <v>0</v>
      </c>
      <c r="AD136" s="61" t="n">
        <v>5.9</v>
      </c>
      <c r="AE136" s="63" t="n">
        <v>24</v>
      </c>
      <c r="AF136" s="61" t="n">
        <v>78.7</v>
      </c>
      <c r="AG136" s="62" t="n">
        <v>3.061</v>
      </c>
      <c r="AH136" s="62" t="n">
        <v>0.039</v>
      </c>
      <c r="AI136" s="61" t="n">
        <v>4.2</v>
      </c>
      <c r="AJ136" s="63" t="n">
        <v>24</v>
      </c>
      <c r="AK136" s="61" t="n">
        <v>221.3</v>
      </c>
      <c r="AL136" s="62" t="n">
        <v>10.233</v>
      </c>
      <c r="AM136" s="62" t="n">
        <v>0.046</v>
      </c>
      <c r="AN136" s="61" t="n">
        <v>0.1</v>
      </c>
      <c r="AO136" s="64" t="n">
        <f aca="false">Table1[[#This Row],[Inside_._time]]/Table1[[#This Row],[Duration]]</f>
        <v>0.262333333333333</v>
      </c>
      <c r="AP136" s="64" t="n">
        <f aca="false">Table1[[#This Row],[Outside_._time]]/Table1[[#This Row],[Duration]]</f>
        <v>0.737666666666667</v>
      </c>
      <c r="AQ136" s="64" t="n">
        <f aca="false">Table1[[#This Row],[Inside_._distance]]/Table1[[#This Row],[Distance]]</f>
        <v>0.230254250037611</v>
      </c>
      <c r="AR136" s="64" t="n">
        <f aca="false">Table1[[#This Row],[Outside_._distance]]/Table1[[#This Row],[Distance]]</f>
        <v>0.769745749962389</v>
      </c>
      <c r="AS136" s="63"/>
      <c r="AT136" s="65"/>
      <c r="AU136" s="65"/>
      <c r="AV136" s="66"/>
      <c r="AW136" s="65"/>
      <c r="AX136" s="65"/>
      <c r="AY136" s="12" t="s">
        <v>71</v>
      </c>
      <c r="AZ136" s="12" t="s">
        <v>65</v>
      </c>
      <c r="BA136" s="63" t="s">
        <v>72</v>
      </c>
      <c r="BB136" s="63" t="n">
        <v>53</v>
      </c>
      <c r="BC136" s="63" t="n">
        <v>1.76666666666667</v>
      </c>
      <c r="BD136" s="63" t="s">
        <v>81</v>
      </c>
      <c r="BE136" s="63" t="n">
        <v>2</v>
      </c>
      <c r="BF136" s="63" t="s">
        <v>182</v>
      </c>
    </row>
    <row r="137" customFormat="false" ht="12" hidden="false" customHeight="true" outlineLevel="0" collapsed="false">
      <c r="A137" s="12" t="n">
        <v>42</v>
      </c>
      <c r="B137" s="60" t="s">
        <v>183</v>
      </c>
      <c r="C137" s="12" t="s">
        <v>250</v>
      </c>
      <c r="D137" s="12" t="s">
        <v>79</v>
      </c>
      <c r="E137" s="12" t="s">
        <v>251</v>
      </c>
      <c r="F137" s="12" t="s">
        <v>302</v>
      </c>
      <c r="G137" s="12" t="s">
        <v>306</v>
      </c>
      <c r="H137" s="61" t="n">
        <v>300</v>
      </c>
      <c r="I137" s="62" t="n">
        <v>25.58</v>
      </c>
      <c r="J137" s="62" t="n">
        <v>0.085</v>
      </c>
      <c r="K137" s="62" t="n">
        <v>0.299</v>
      </c>
      <c r="L137" s="61" t="n">
        <v>10.5</v>
      </c>
      <c r="M137" s="63" t="n">
        <v>24</v>
      </c>
      <c r="N137" s="61" t="n">
        <v>12.1</v>
      </c>
      <c r="O137" s="62" t="n">
        <v>2.133</v>
      </c>
      <c r="P137" s="62" t="n">
        <v>0.176</v>
      </c>
      <c r="Q137" s="62" t="n">
        <v>0.253</v>
      </c>
      <c r="R137" s="61" t="n">
        <v>1.6</v>
      </c>
      <c r="S137" s="63" t="n">
        <v>1190</v>
      </c>
      <c r="T137" s="61" t="n">
        <v>0</v>
      </c>
      <c r="U137" s="61" t="n">
        <v>2.3</v>
      </c>
      <c r="V137" s="63" t="n">
        <v>31</v>
      </c>
      <c r="W137" s="61" t="n">
        <v>12.5</v>
      </c>
      <c r="X137" s="62" t="n">
        <v>2.564</v>
      </c>
      <c r="Y137" s="62" t="n">
        <v>0.204</v>
      </c>
      <c r="Z137" s="62" t="n">
        <v>0.261</v>
      </c>
      <c r="AA137" s="61" t="n">
        <v>2.9</v>
      </c>
      <c r="AB137" s="63" t="n">
        <v>1194</v>
      </c>
      <c r="AC137" s="61" t="n">
        <v>0</v>
      </c>
      <c r="AD137" s="61" t="n">
        <v>4.8</v>
      </c>
      <c r="AE137" s="63" t="n">
        <v>23</v>
      </c>
      <c r="AF137" s="61" t="n">
        <v>18.9</v>
      </c>
      <c r="AG137" s="62" t="n">
        <v>3.796</v>
      </c>
      <c r="AH137" s="62" t="n">
        <v>0.201</v>
      </c>
      <c r="AI137" s="61" t="n">
        <v>0</v>
      </c>
      <c r="AJ137" s="63" t="n">
        <v>24</v>
      </c>
      <c r="AK137" s="61" t="n">
        <v>281.1</v>
      </c>
      <c r="AL137" s="62" t="n">
        <v>21.784</v>
      </c>
      <c r="AM137" s="62" t="n">
        <v>0.077</v>
      </c>
      <c r="AN137" s="61" t="n">
        <v>10.5</v>
      </c>
      <c r="AO137" s="64" t="n">
        <f aca="false">Table1[[#This Row],[Inside_._time]]/Table1[[#This Row],[Duration]]</f>
        <v>0.063</v>
      </c>
      <c r="AP137" s="64" t="n">
        <f aca="false">Table1[[#This Row],[Outside_._time]]/Table1[[#This Row],[Duration]]</f>
        <v>0.937</v>
      </c>
      <c r="AQ137" s="64" t="n">
        <f aca="false">Table1[[#This Row],[Inside_._distance]]/Table1[[#This Row],[Distance]]</f>
        <v>0.148397185301016</v>
      </c>
      <c r="AR137" s="64" t="n">
        <f aca="false">Table1[[#This Row],[Outside_._distance]]/Table1[[#This Row],[Distance]]</f>
        <v>0.851602814698984</v>
      </c>
      <c r="AS137" s="63"/>
      <c r="AT137" s="65"/>
      <c r="AU137" s="65"/>
      <c r="AV137" s="66"/>
      <c r="AW137" s="65"/>
      <c r="AX137" s="65"/>
      <c r="AY137" s="12" t="s">
        <v>71</v>
      </c>
      <c r="AZ137" s="12" t="s">
        <v>76</v>
      </c>
      <c r="BA137" s="63" t="s">
        <v>72</v>
      </c>
      <c r="BB137" s="63" t="n">
        <v>42</v>
      </c>
      <c r="BC137" s="63" t="n">
        <v>1.4</v>
      </c>
      <c r="BD137" s="63" t="s">
        <v>67</v>
      </c>
      <c r="BE137" s="63" t="n">
        <v>5</v>
      </c>
      <c r="BF137" s="63"/>
    </row>
    <row r="138" customFormat="false" ht="12" hidden="false" customHeight="true" outlineLevel="0" collapsed="false">
      <c r="A138" s="12" t="n">
        <v>45</v>
      </c>
      <c r="B138" s="60" t="s">
        <v>185</v>
      </c>
      <c r="C138" s="12" t="s">
        <v>250</v>
      </c>
      <c r="D138" s="12" t="s">
        <v>60</v>
      </c>
      <c r="E138" s="12" t="s">
        <v>251</v>
      </c>
      <c r="F138" s="12" t="s">
        <v>307</v>
      </c>
      <c r="G138" s="12" t="s">
        <v>308</v>
      </c>
      <c r="H138" s="61" t="n">
        <v>300</v>
      </c>
      <c r="I138" s="62" t="n">
        <v>16.015</v>
      </c>
      <c r="J138" s="62" t="n">
        <v>0.053</v>
      </c>
      <c r="K138" s="62" t="n">
        <v>0.29</v>
      </c>
      <c r="L138" s="61" t="n">
        <v>9.8</v>
      </c>
      <c r="M138" s="63" t="n">
        <v>17</v>
      </c>
      <c r="N138" s="61" t="n">
        <v>22.6</v>
      </c>
      <c r="O138" s="62" t="n">
        <v>1.324</v>
      </c>
      <c r="P138" s="62" t="n">
        <v>0.059</v>
      </c>
      <c r="Q138" s="62" t="n">
        <v>0.27</v>
      </c>
      <c r="R138" s="61" t="n">
        <v>2.2</v>
      </c>
      <c r="S138" s="63" t="n">
        <v>1937</v>
      </c>
      <c r="T138" s="61" t="n">
        <v>0</v>
      </c>
      <c r="U138" s="61" t="n">
        <v>2.8</v>
      </c>
      <c r="V138" s="63" t="n">
        <v>26</v>
      </c>
      <c r="W138" s="61" t="n">
        <v>17.2</v>
      </c>
      <c r="X138" s="62" t="n">
        <v>1.431</v>
      </c>
      <c r="Y138" s="62" t="n">
        <v>0.083</v>
      </c>
      <c r="Z138" s="62" t="n">
        <v>0.246</v>
      </c>
      <c r="AA138" s="61" t="n">
        <v>4.7</v>
      </c>
      <c r="AB138" s="63" t="n">
        <v>1944</v>
      </c>
      <c r="AC138" s="61" t="n">
        <v>0</v>
      </c>
      <c r="AD138" s="61" t="n">
        <v>7.2</v>
      </c>
      <c r="AE138" s="63" t="n">
        <v>16</v>
      </c>
      <c r="AF138" s="61" t="n">
        <v>20.2</v>
      </c>
      <c r="AG138" s="62" t="n">
        <v>2.479</v>
      </c>
      <c r="AH138" s="62" t="n">
        <v>0.122</v>
      </c>
      <c r="AI138" s="61" t="n">
        <v>0</v>
      </c>
      <c r="AJ138" s="63" t="n">
        <v>17</v>
      </c>
      <c r="AK138" s="61" t="n">
        <v>279.8</v>
      </c>
      <c r="AL138" s="62" t="n">
        <v>13.535</v>
      </c>
      <c r="AM138" s="62" t="n">
        <v>0.048</v>
      </c>
      <c r="AN138" s="61" t="n">
        <v>9.8</v>
      </c>
      <c r="AO138" s="64" t="n">
        <f aca="false">Table1[[#This Row],[Inside_._time]]/Table1[[#This Row],[Duration]]</f>
        <v>0.0673333333333333</v>
      </c>
      <c r="AP138" s="64" t="n">
        <f aca="false">Table1[[#This Row],[Outside_._time]]/Table1[[#This Row],[Duration]]</f>
        <v>0.932666666666667</v>
      </c>
      <c r="AQ138" s="64" t="n">
        <f aca="false">Table1[[#This Row],[Inside_._distance]]/Table1[[#This Row],[Distance]]</f>
        <v>0.154792382141742</v>
      </c>
      <c r="AR138" s="64" t="n">
        <f aca="false">Table1[[#This Row],[Outside_._distance]]/Table1[[#This Row],[Distance]]</f>
        <v>0.845145176397128</v>
      </c>
      <c r="AS138" s="63"/>
      <c r="AT138" s="65"/>
      <c r="AU138" s="65"/>
      <c r="AV138" s="66"/>
      <c r="AW138" s="65"/>
      <c r="AX138" s="65"/>
      <c r="AY138" s="12" t="s">
        <v>71</v>
      </c>
      <c r="AZ138" s="12" t="s">
        <v>76</v>
      </c>
      <c r="BA138" s="63" t="s">
        <v>66</v>
      </c>
      <c r="BB138" s="63" t="n">
        <v>42</v>
      </c>
      <c r="BC138" s="63" t="n">
        <v>1.4</v>
      </c>
      <c r="BD138" s="63" t="s">
        <v>81</v>
      </c>
      <c r="BE138" s="63" t="n">
        <v>8</v>
      </c>
      <c r="BF138" s="63"/>
    </row>
    <row r="139" customFormat="false" ht="12" hidden="false" customHeight="true" outlineLevel="0" collapsed="false">
      <c r="A139" s="12" t="n">
        <v>46</v>
      </c>
      <c r="B139" s="60" t="s">
        <v>188</v>
      </c>
      <c r="C139" s="12" t="s">
        <v>250</v>
      </c>
      <c r="D139" s="12" t="s">
        <v>69</v>
      </c>
      <c r="E139" s="12" t="s">
        <v>251</v>
      </c>
      <c r="F139" s="12" t="s">
        <v>307</v>
      </c>
      <c r="G139" s="12" t="s">
        <v>309</v>
      </c>
      <c r="H139" s="61" t="n">
        <v>300</v>
      </c>
      <c r="I139" s="62" t="n">
        <v>14.86</v>
      </c>
      <c r="J139" s="62" t="n">
        <v>0.05</v>
      </c>
      <c r="K139" s="62" t="n">
        <v>0.253</v>
      </c>
      <c r="L139" s="61" t="n">
        <v>28.4</v>
      </c>
      <c r="M139" s="63" t="n">
        <v>23</v>
      </c>
      <c r="N139" s="61" t="n">
        <v>21.6</v>
      </c>
      <c r="O139" s="62" t="n">
        <v>1.711</v>
      </c>
      <c r="P139" s="62" t="n">
        <v>0.079</v>
      </c>
      <c r="Q139" s="62" t="n">
        <v>0.211</v>
      </c>
      <c r="R139" s="61" t="n">
        <v>6.1</v>
      </c>
      <c r="S139" s="63" t="n">
        <v>2362</v>
      </c>
      <c r="T139" s="61" t="n">
        <v>0</v>
      </c>
      <c r="U139" s="61" t="n">
        <v>7.3</v>
      </c>
      <c r="V139" s="63" t="n">
        <v>13</v>
      </c>
      <c r="W139" s="61" t="n">
        <v>10.2</v>
      </c>
      <c r="X139" s="62" t="n">
        <v>1.153</v>
      </c>
      <c r="Y139" s="62" t="n">
        <v>0.113</v>
      </c>
      <c r="Z139" s="62" t="n">
        <v>0.249</v>
      </c>
      <c r="AA139" s="61" t="n">
        <v>2.3</v>
      </c>
      <c r="AB139" s="63" t="n">
        <v>629</v>
      </c>
      <c r="AC139" s="61" t="n">
        <v>0</v>
      </c>
      <c r="AD139" s="61" t="n">
        <v>4.7</v>
      </c>
      <c r="AE139" s="63" t="n">
        <v>23</v>
      </c>
      <c r="AF139" s="61" t="n">
        <v>27.3</v>
      </c>
      <c r="AG139" s="62" t="n">
        <v>2.814</v>
      </c>
      <c r="AH139" s="62" t="n">
        <v>0.103</v>
      </c>
      <c r="AI139" s="61" t="n">
        <v>0</v>
      </c>
      <c r="AJ139" s="63" t="n">
        <v>24</v>
      </c>
      <c r="AK139" s="61" t="n">
        <v>272.7</v>
      </c>
      <c r="AL139" s="62" t="n">
        <v>12.046</v>
      </c>
      <c r="AM139" s="62" t="n">
        <v>0.044</v>
      </c>
      <c r="AN139" s="61" t="n">
        <v>28.4</v>
      </c>
      <c r="AO139" s="64" t="n">
        <f aca="false">Table1[[#This Row],[Inside_._time]]/Table1[[#This Row],[Duration]]</f>
        <v>0.091</v>
      </c>
      <c r="AP139" s="64" t="n">
        <f aca="false">Table1[[#This Row],[Outside_._time]]/Table1[[#This Row],[Duration]]</f>
        <v>0.909</v>
      </c>
      <c r="AQ139" s="64" t="n">
        <f aca="false">Table1[[#This Row],[Inside_._distance]]/Table1[[#This Row],[Distance]]</f>
        <v>0.189367429340511</v>
      </c>
      <c r="AR139" s="64" t="n">
        <f aca="false">Table1[[#This Row],[Outside_._distance]]/Table1[[#This Row],[Distance]]</f>
        <v>0.810632570659489</v>
      </c>
      <c r="AS139" s="63"/>
      <c r="AT139" s="65"/>
      <c r="AU139" s="65"/>
      <c r="AV139" s="66"/>
      <c r="AW139" s="65"/>
      <c r="AX139" s="65"/>
      <c r="AY139" s="67" t="s">
        <v>71</v>
      </c>
      <c r="AZ139" s="67" t="s">
        <v>76</v>
      </c>
      <c r="BA139" s="63" t="s">
        <v>66</v>
      </c>
      <c r="BB139" s="63" t="n">
        <v>42</v>
      </c>
      <c r="BC139" s="61" t="n">
        <v>1.4</v>
      </c>
      <c r="BD139" s="63" t="s">
        <v>67</v>
      </c>
      <c r="BE139" s="63" t="n">
        <v>7</v>
      </c>
      <c r="BF139" s="6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U130"/>
  <sheetViews>
    <sheetView showFormulas="false" showGridLines="true" showRowColHeaders="true" showZeros="true" rightToLeft="false" tabSelected="false" showOutlineSymbols="true" defaultGridColor="true" view="normal" topLeftCell="AW1" colorId="64" zoomScale="65" zoomScaleNormal="65" zoomScalePageLayoutView="100" workbookViewId="0">
      <selection pane="topLeft" activeCell="BA2" activeCellId="0" sqref="BA2"/>
    </sheetView>
  </sheetViews>
  <sheetFormatPr defaultColWidth="10.6796875" defaultRowHeight="15" zeroHeight="false" outlineLevelRow="0" outlineLevelCol="0"/>
  <cols>
    <col collapsed="false" customWidth="true" hidden="false" outlineLevel="0" max="1" min="1" style="79" width="4.17"/>
    <col collapsed="false" customWidth="true" hidden="false" outlineLevel="0" max="2" min="2" style="79" width="9.33"/>
    <col collapsed="false" customWidth="true" hidden="false" outlineLevel="0" max="3" min="3" style="79" width="23.66"/>
    <col collapsed="false" customWidth="true" hidden="false" outlineLevel="0" max="4" min="4" style="79" width="13.83"/>
    <col collapsed="false" customWidth="true" hidden="false" outlineLevel="0" max="5" min="5" style="79" width="11.84"/>
    <col collapsed="false" customWidth="true" hidden="false" outlineLevel="0" max="6" min="6" style="79" width="7.67"/>
    <col collapsed="false" customWidth="true" hidden="false" outlineLevel="0" max="7" min="7" style="79" width="35.16"/>
    <col collapsed="false" customWidth="false" hidden="false" outlineLevel="0" max="8" min="8" style="80" width="10.66"/>
    <col collapsed="false" customWidth="false" hidden="false" outlineLevel="0" max="9" min="9" style="81" width="10.66"/>
    <col collapsed="false" customWidth="true" hidden="false" outlineLevel="0" max="10" min="10" style="81" width="14.01"/>
    <col collapsed="false" customWidth="true" hidden="false" outlineLevel="0" max="11" min="11" style="81" width="13.01"/>
    <col collapsed="false" customWidth="true" hidden="false" outlineLevel="0" max="12" min="12" style="80" width="15.34"/>
    <col collapsed="false" customWidth="true" hidden="false" outlineLevel="0" max="13" min="13" style="11" width="24.83"/>
    <col collapsed="false" customWidth="true" hidden="false" outlineLevel="0" max="14" min="14" style="80" width="22.33"/>
    <col collapsed="false" customWidth="true" hidden="false" outlineLevel="0" max="15" min="15" style="81" width="20.83"/>
    <col collapsed="false" customWidth="true" hidden="false" outlineLevel="0" max="16" min="16" style="81" width="26"/>
    <col collapsed="false" customWidth="true" hidden="false" outlineLevel="0" max="17" min="17" style="81" width="23.01"/>
    <col collapsed="false" customWidth="true" hidden="false" outlineLevel="0" max="18" min="18" style="80" width="38.83"/>
    <col collapsed="false" customWidth="true" hidden="false" outlineLevel="0" max="19" min="19" style="11" width="36.84"/>
    <col collapsed="false" customWidth="true" hidden="false" outlineLevel="0" max="20" min="20" style="80" width="25.83"/>
    <col collapsed="false" customWidth="true" hidden="false" outlineLevel="0" max="21" min="21" style="80" width="37.83"/>
    <col collapsed="false" customWidth="true" hidden="false" outlineLevel="0" max="22" min="22" style="11" width="24.83"/>
    <col collapsed="false" customWidth="true" hidden="false" outlineLevel="0" max="23" min="23" style="80" width="22.33"/>
    <col collapsed="false" customWidth="true" hidden="false" outlineLevel="0" max="24" min="24" style="81" width="20.83"/>
    <col collapsed="false" customWidth="true" hidden="false" outlineLevel="0" max="25" min="25" style="81" width="26"/>
    <col collapsed="false" customWidth="true" hidden="false" outlineLevel="0" max="26" min="26" style="81" width="23.01"/>
    <col collapsed="false" customWidth="true" hidden="false" outlineLevel="0" max="27" min="27" style="80" width="38.83"/>
    <col collapsed="false" customWidth="true" hidden="false" outlineLevel="0" max="28" min="28" style="11" width="36.84"/>
    <col collapsed="false" customWidth="true" hidden="false" outlineLevel="0" max="29" min="29" style="80" width="25.83"/>
    <col collapsed="false" customWidth="true" hidden="false" outlineLevel="0" max="30" min="30" style="80" width="37.83"/>
    <col collapsed="false" customWidth="true" hidden="false" outlineLevel="0" max="31" min="31" style="11" width="17.83"/>
    <col collapsed="false" customWidth="true" hidden="false" outlineLevel="0" max="32" min="32" style="80" width="14.83"/>
    <col collapsed="false" customWidth="true" hidden="false" outlineLevel="0" max="33" min="33" style="81" width="18.84"/>
    <col collapsed="false" customWidth="true" hidden="false" outlineLevel="0" max="34" min="34" style="81" width="23.83"/>
    <col collapsed="false" customWidth="true" hidden="false" outlineLevel="0" max="35" min="35" style="80" width="23.83"/>
    <col collapsed="false" customWidth="true" hidden="false" outlineLevel="0" max="36" min="36" style="11" width="18.84"/>
    <col collapsed="false" customWidth="true" hidden="false" outlineLevel="0" max="37" min="37" style="80" width="16.16"/>
    <col collapsed="false" customWidth="true" hidden="false" outlineLevel="0" max="38" min="38" style="81" width="19.84"/>
    <col collapsed="false" customWidth="true" hidden="false" outlineLevel="0" max="39" min="39" style="81" width="24.83"/>
    <col collapsed="false" customWidth="true" hidden="false" outlineLevel="0" max="40" min="40" style="80" width="24.83"/>
    <col collapsed="false" customWidth="true" hidden="false" outlineLevel="0" max="41" min="41" style="6" width="21.66"/>
    <col collapsed="false" customWidth="true" hidden="false" outlineLevel="0" max="42" min="42" style="6" width="23.01"/>
    <col collapsed="false" customWidth="true" hidden="false" outlineLevel="0" max="43" min="43" style="6" width="24.49"/>
    <col collapsed="false" customWidth="true" hidden="false" outlineLevel="0" max="44" min="44" style="6" width="25.83"/>
    <col collapsed="false" customWidth="true" hidden="false" outlineLevel="0" max="45" min="45" style="5" width="46.83"/>
    <col collapsed="false" customWidth="true" hidden="false" outlineLevel="0" max="46" min="46" style="0" width="51.83"/>
    <col collapsed="false" customWidth="true" hidden="false" outlineLevel="0" max="47" min="47" style="0" width="46.33"/>
    <col collapsed="false" customWidth="true" hidden="false" outlineLevel="0" max="48" min="48" style="5" width="35.51"/>
    <col collapsed="false" customWidth="true" hidden="false" outlineLevel="0" max="49" min="49" style="1" width="38.33"/>
    <col collapsed="false" customWidth="true" hidden="false" outlineLevel="0" max="50" min="50" style="1" width="82.83"/>
    <col collapsed="false" customWidth="true" hidden="false" outlineLevel="0" max="51" min="51" style="1" width="8.83"/>
    <col collapsed="false" customWidth="true" hidden="false" outlineLevel="0" max="52" min="52" style="5" width="11.5"/>
    <col collapsed="false" customWidth="true" hidden="false" outlineLevel="0" max="53" min="53" style="82" width="18.66"/>
    <col collapsed="false" customWidth="true" hidden="false" outlineLevel="0" max="57" min="54" style="79" width="8.83"/>
    <col collapsed="false" customWidth="true" hidden="false" outlineLevel="0" max="58" min="58" style="79" width="31.5"/>
    <col collapsed="false" customWidth="true" hidden="false" outlineLevel="0" max="59" min="59" style="79" width="11.66"/>
    <col collapsed="false" customWidth="true" hidden="false" outlineLevel="0" max="60" min="60" style="83" width="31.5"/>
    <col collapsed="false" customWidth="false" hidden="false" outlineLevel="0" max="1024" min="61" style="83" width="10.66"/>
  </cols>
  <sheetData>
    <row r="1" customFormat="false" ht="12" hidden="false" customHeight="true" outlineLevel="0" collapsed="false">
      <c r="A1" s="79" t="s">
        <v>0</v>
      </c>
      <c r="B1" s="79" t="s">
        <v>1</v>
      </c>
      <c r="C1" s="79" t="s">
        <v>2</v>
      </c>
      <c r="D1" s="79" t="s">
        <v>3</v>
      </c>
      <c r="E1" s="79" t="s">
        <v>4</v>
      </c>
      <c r="F1" s="79" t="s">
        <v>5</v>
      </c>
      <c r="G1" s="79" t="s">
        <v>6</v>
      </c>
      <c r="H1" s="80" t="s">
        <v>7</v>
      </c>
      <c r="I1" s="84" t="s">
        <v>8</v>
      </c>
      <c r="J1" s="84" t="s">
        <v>9</v>
      </c>
      <c r="K1" s="81" t="s">
        <v>10</v>
      </c>
      <c r="L1" s="80" t="s">
        <v>11</v>
      </c>
      <c r="M1" s="11" t="s">
        <v>12</v>
      </c>
      <c r="N1" s="80" t="s">
        <v>13</v>
      </c>
      <c r="O1" s="81" t="s">
        <v>14</v>
      </c>
      <c r="P1" s="81" t="s">
        <v>15</v>
      </c>
      <c r="Q1" s="81" t="s">
        <v>16</v>
      </c>
      <c r="R1" s="80" t="s">
        <v>17</v>
      </c>
      <c r="S1" s="11" t="s">
        <v>18</v>
      </c>
      <c r="T1" s="80" t="s">
        <v>19</v>
      </c>
      <c r="U1" s="80" t="s">
        <v>20</v>
      </c>
      <c r="V1" s="11" t="s">
        <v>21</v>
      </c>
      <c r="W1" s="80" t="s">
        <v>22</v>
      </c>
      <c r="X1" s="81" t="s">
        <v>23</v>
      </c>
      <c r="Y1" s="81" t="s">
        <v>24</v>
      </c>
      <c r="Z1" s="81" t="s">
        <v>25</v>
      </c>
      <c r="AA1" s="80" t="s">
        <v>26</v>
      </c>
      <c r="AB1" s="11" t="s">
        <v>27</v>
      </c>
      <c r="AC1" s="80" t="s">
        <v>28</v>
      </c>
      <c r="AD1" s="80" t="s">
        <v>29</v>
      </c>
      <c r="AE1" s="11" t="s">
        <v>30</v>
      </c>
      <c r="AF1" s="85" t="s">
        <v>31</v>
      </c>
      <c r="AG1" s="84" t="s">
        <v>32</v>
      </c>
      <c r="AH1" s="84" t="s">
        <v>33</v>
      </c>
      <c r="AI1" s="85" t="s">
        <v>34</v>
      </c>
      <c r="AJ1" s="86" t="s">
        <v>35</v>
      </c>
      <c r="AK1" s="85" t="s">
        <v>36</v>
      </c>
      <c r="AL1" s="84" t="s">
        <v>37</v>
      </c>
      <c r="AM1" s="81" t="s">
        <v>38</v>
      </c>
      <c r="AN1" s="80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11" t="s">
        <v>44</v>
      </c>
      <c r="AT1" s="5" t="s">
        <v>45</v>
      </c>
      <c r="AU1" s="1" t="s">
        <v>46</v>
      </c>
      <c r="AV1" s="1" t="s">
        <v>47</v>
      </c>
      <c r="AW1" s="1" t="s">
        <v>48</v>
      </c>
      <c r="AX1" s="5" t="s">
        <v>49</v>
      </c>
      <c r="AY1" s="5" t="s">
        <v>50</v>
      </c>
      <c r="AZ1" s="79" t="s">
        <v>51</v>
      </c>
      <c r="BA1" s="79" t="s">
        <v>52</v>
      </c>
      <c r="BB1" s="11" t="s">
        <v>53</v>
      </c>
      <c r="BC1" s="80" t="s">
        <v>54</v>
      </c>
      <c r="BD1" s="79" t="s">
        <v>55</v>
      </c>
      <c r="BE1" s="79" t="s">
        <v>56</v>
      </c>
      <c r="BF1" s="67" t="s">
        <v>57</v>
      </c>
      <c r="BG1" s="87"/>
      <c r="BH1" s="87"/>
      <c r="BI1" s="87"/>
      <c r="BJ1" s="87"/>
      <c r="BK1" s="87"/>
      <c r="BL1" s="87"/>
      <c r="BM1" s="87"/>
      <c r="BN1" s="87"/>
      <c r="BO1" s="87"/>
      <c r="BP1" s="87"/>
      <c r="BQ1" s="87"/>
      <c r="BR1" s="87"/>
      <c r="BS1" s="87"/>
      <c r="BT1" s="87"/>
      <c r="BU1" s="87"/>
      <c r="BV1" s="87"/>
      <c r="BW1" s="87"/>
      <c r="BX1" s="87"/>
      <c r="BY1" s="87"/>
      <c r="BZ1" s="87"/>
      <c r="CA1" s="87"/>
      <c r="CB1" s="87"/>
      <c r="CC1" s="87"/>
      <c r="CD1" s="87"/>
      <c r="CE1" s="87"/>
      <c r="CF1" s="87"/>
      <c r="CG1" s="87"/>
      <c r="CH1" s="87"/>
      <c r="CI1" s="87"/>
      <c r="CJ1" s="87"/>
      <c r="CK1" s="87"/>
      <c r="CL1" s="87"/>
      <c r="CM1" s="87"/>
      <c r="CN1" s="87"/>
      <c r="CO1" s="87"/>
      <c r="CP1" s="87"/>
      <c r="CQ1" s="87"/>
      <c r="CR1" s="87"/>
      <c r="CS1" s="87"/>
      <c r="CT1" s="87"/>
    </row>
    <row r="2" s="93" customFormat="true" ht="12" hidden="false" customHeight="true" outlineLevel="0" collapsed="false">
      <c r="A2" s="22" t="n">
        <v>44</v>
      </c>
      <c r="B2" s="22" t="s">
        <v>58</v>
      </c>
      <c r="C2" s="22" t="s">
        <v>59</v>
      </c>
      <c r="D2" s="22" t="s">
        <v>60</v>
      </c>
      <c r="E2" s="22" t="s">
        <v>310</v>
      </c>
      <c r="F2" s="22" t="s">
        <v>311</v>
      </c>
      <c r="G2" s="22" t="s">
        <v>312</v>
      </c>
      <c r="H2" s="88" t="n">
        <v>360</v>
      </c>
      <c r="I2" s="89" t="n">
        <v>12.791</v>
      </c>
      <c r="J2" s="89" t="n">
        <v>0.036</v>
      </c>
      <c r="K2" s="89" t="n">
        <v>0.32</v>
      </c>
      <c r="L2" s="88" t="n">
        <v>48.8</v>
      </c>
      <c r="M2" s="90" t="n">
        <v>36</v>
      </c>
      <c r="N2" s="88" t="n">
        <v>58.1</v>
      </c>
      <c r="O2" s="89" t="n">
        <v>1.377</v>
      </c>
      <c r="P2" s="89" t="n">
        <v>0.024</v>
      </c>
      <c r="Q2" s="89" t="n">
        <v>0.292</v>
      </c>
      <c r="R2" s="88" t="n">
        <v>26.1</v>
      </c>
      <c r="S2" s="90" t="n">
        <v>5069</v>
      </c>
      <c r="T2" s="88" t="n">
        <v>13.4</v>
      </c>
      <c r="U2" s="88" t="n">
        <v>30.6</v>
      </c>
      <c r="V2" s="90" t="n">
        <v>27</v>
      </c>
      <c r="W2" s="88" t="n">
        <v>49.2</v>
      </c>
      <c r="X2" s="89" t="n">
        <v>1.673</v>
      </c>
      <c r="Y2" s="89" t="n">
        <v>0.034</v>
      </c>
      <c r="Z2" s="89" t="n">
        <v>0.32</v>
      </c>
      <c r="AA2" s="88" t="n">
        <v>10.9</v>
      </c>
      <c r="AB2" s="90" t="n">
        <v>4323</v>
      </c>
      <c r="AC2" s="88" t="n">
        <v>1.5</v>
      </c>
      <c r="AD2" s="88" t="n">
        <v>12.6</v>
      </c>
      <c r="AE2" s="90" t="n">
        <v>28</v>
      </c>
      <c r="AF2" s="88" t="n">
        <v>35.6</v>
      </c>
      <c r="AG2" s="89" t="n">
        <v>2.809</v>
      </c>
      <c r="AH2" s="89" t="n">
        <v>0.079</v>
      </c>
      <c r="AI2" s="88" t="n">
        <v>1.2</v>
      </c>
      <c r="AJ2" s="90" t="n">
        <v>28</v>
      </c>
      <c r="AK2" s="88" t="n">
        <v>324.4</v>
      </c>
      <c r="AL2" s="89" t="n">
        <v>9.982</v>
      </c>
      <c r="AM2" s="89" t="n">
        <v>0.031</v>
      </c>
      <c r="AN2" s="88" t="n">
        <v>47.6</v>
      </c>
      <c r="AO2" s="19"/>
      <c r="AP2" s="19"/>
      <c r="AQ2" s="19"/>
      <c r="AR2" s="19"/>
      <c r="AS2" s="18" t="n">
        <f aca="false">Table2[[#This Row],[Object_A_._head_time]]+Table2[[#This Row],[Object_B_._head_time]]</f>
        <v>107.3</v>
      </c>
      <c r="AT2" s="18"/>
      <c r="AU2" s="18"/>
      <c r="AV2" s="16"/>
      <c r="AW2" s="18"/>
      <c r="AX2" s="19" t="n">
        <f aca="false">(Table2[[#This Row],[Object_A_._head_time]]/(Table2[[#This Row],[Object_A_._head_time]]+Table2[[#This Row],[Object_B_._head_time]]))</f>
        <v>0.541472506989748</v>
      </c>
      <c r="AY2" s="22" t="s">
        <v>64</v>
      </c>
      <c r="AZ2" s="22" t="s">
        <v>65</v>
      </c>
      <c r="BA2" s="22" t="s">
        <v>66</v>
      </c>
      <c r="BB2" s="90" t="n">
        <v>182</v>
      </c>
      <c r="BC2" s="88" t="n">
        <v>6.06666666666667</v>
      </c>
      <c r="BD2" s="22" t="s">
        <v>67</v>
      </c>
      <c r="BE2" s="91" t="n">
        <v>3</v>
      </c>
      <c r="BF2" s="22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92"/>
    </row>
    <row r="3" s="93" customFormat="true" ht="12" hidden="false" customHeight="true" outlineLevel="0" collapsed="false">
      <c r="A3" s="22" t="n">
        <v>46</v>
      </c>
      <c r="B3" s="22" t="s">
        <v>68</v>
      </c>
      <c r="C3" s="22" t="s">
        <v>59</v>
      </c>
      <c r="D3" s="22" t="s">
        <v>69</v>
      </c>
      <c r="E3" s="22" t="s">
        <v>310</v>
      </c>
      <c r="F3" s="22" t="s">
        <v>313</v>
      </c>
      <c r="G3" s="22" t="s">
        <v>314</v>
      </c>
      <c r="H3" s="88" t="n">
        <v>360</v>
      </c>
      <c r="I3" s="89" t="n">
        <v>8.523</v>
      </c>
      <c r="J3" s="89" t="n">
        <v>0.024</v>
      </c>
      <c r="K3" s="89" t="n">
        <v>0.269</v>
      </c>
      <c r="L3" s="88" t="n">
        <v>115.9</v>
      </c>
      <c r="M3" s="90" t="n">
        <v>15</v>
      </c>
      <c r="N3" s="88" t="n">
        <v>41.1</v>
      </c>
      <c r="O3" s="89" t="n">
        <v>1.022</v>
      </c>
      <c r="P3" s="89" t="n">
        <v>0.025</v>
      </c>
      <c r="Q3" s="89" t="n">
        <v>0.238</v>
      </c>
      <c r="R3" s="88" t="n">
        <v>8.6</v>
      </c>
      <c r="S3" s="90" t="n">
        <v>3151</v>
      </c>
      <c r="T3" s="88" t="n">
        <v>14.9</v>
      </c>
      <c r="U3" s="88" t="n">
        <v>23.2</v>
      </c>
      <c r="V3" s="90" t="n">
        <v>23</v>
      </c>
      <c r="W3" s="88" t="n">
        <v>33.1</v>
      </c>
      <c r="X3" s="89" t="n">
        <v>1.074</v>
      </c>
      <c r="Y3" s="89" t="n">
        <v>0.032</v>
      </c>
      <c r="Z3" s="89" t="n">
        <v>0.258</v>
      </c>
      <c r="AA3" s="88" t="n">
        <v>13.6</v>
      </c>
      <c r="AB3" s="90" t="n">
        <v>2827</v>
      </c>
      <c r="AC3" s="88" t="n">
        <v>0.4</v>
      </c>
      <c r="AD3" s="88" t="n">
        <v>9.6</v>
      </c>
      <c r="AE3" s="90" t="n">
        <v>13</v>
      </c>
      <c r="AF3" s="88" t="n">
        <v>18.2</v>
      </c>
      <c r="AG3" s="89" t="n">
        <v>1.342</v>
      </c>
      <c r="AH3" s="89" t="n">
        <v>0.074</v>
      </c>
      <c r="AI3" s="88" t="n">
        <v>0</v>
      </c>
      <c r="AJ3" s="90" t="n">
        <v>14</v>
      </c>
      <c r="AK3" s="88" t="n">
        <v>341.8</v>
      </c>
      <c r="AL3" s="89" t="n">
        <v>7.181</v>
      </c>
      <c r="AM3" s="89" t="n">
        <v>0.021</v>
      </c>
      <c r="AN3" s="88" t="n">
        <v>115.9</v>
      </c>
      <c r="AO3" s="19"/>
      <c r="AP3" s="19"/>
      <c r="AQ3" s="19"/>
      <c r="AR3" s="19"/>
      <c r="AS3" s="18" t="n">
        <f aca="false">Table2[[#This Row],[Object_A_._head_time]]+Table2[[#This Row],[Object_B_._head_time]]</f>
        <v>74.2</v>
      </c>
      <c r="AT3" s="18"/>
      <c r="AU3" s="18"/>
      <c r="AV3" s="16"/>
      <c r="AW3" s="18"/>
      <c r="AX3" s="19" t="n">
        <f aca="false">(Table2[[#This Row],[Object_A_._head_time]]/(Table2[[#This Row],[Object_A_._head_time]]+Table2[[#This Row],[Object_B_._head_time]]))</f>
        <v>0.553908355795148</v>
      </c>
      <c r="AY3" s="22" t="s">
        <v>71</v>
      </c>
      <c r="AZ3" s="22" t="s">
        <v>65</v>
      </c>
      <c r="BA3" s="22" t="s">
        <v>72</v>
      </c>
      <c r="BB3" s="90" t="n">
        <v>182</v>
      </c>
      <c r="BC3" s="88" t="n">
        <v>6.06666666666667</v>
      </c>
      <c r="BD3" s="22" t="s">
        <v>67</v>
      </c>
      <c r="BE3" s="91" t="n">
        <v>1</v>
      </c>
      <c r="BF3" s="22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92"/>
    </row>
    <row r="4" s="93" customFormat="true" ht="12" hidden="false" customHeight="true" outlineLevel="0" collapsed="false">
      <c r="A4" s="22" t="n">
        <v>45</v>
      </c>
      <c r="B4" s="22" t="s">
        <v>73</v>
      </c>
      <c r="C4" s="22" t="s">
        <v>59</v>
      </c>
      <c r="D4" s="22" t="s">
        <v>74</v>
      </c>
      <c r="E4" s="22" t="s">
        <v>310</v>
      </c>
      <c r="F4" s="22" t="s">
        <v>313</v>
      </c>
      <c r="G4" s="22" t="s">
        <v>315</v>
      </c>
      <c r="H4" s="88" t="n">
        <v>360</v>
      </c>
      <c r="I4" s="89" t="n">
        <v>11.183</v>
      </c>
      <c r="J4" s="89" t="n">
        <v>0.031</v>
      </c>
      <c r="K4" s="89" t="n">
        <v>0.272</v>
      </c>
      <c r="L4" s="88" t="n">
        <v>112.4</v>
      </c>
      <c r="M4" s="90" t="n">
        <v>27</v>
      </c>
      <c r="N4" s="88" t="n">
        <v>60</v>
      </c>
      <c r="O4" s="89" t="n">
        <v>1.683</v>
      </c>
      <c r="P4" s="89" t="n">
        <v>0.028</v>
      </c>
      <c r="Q4" s="89" t="n">
        <v>0.272</v>
      </c>
      <c r="R4" s="88" t="n">
        <v>8.2</v>
      </c>
      <c r="S4" s="90" t="n">
        <v>3990</v>
      </c>
      <c r="T4" s="88" t="n">
        <v>17.5</v>
      </c>
      <c r="U4" s="88" t="n">
        <v>8.4</v>
      </c>
      <c r="V4" s="90" t="n">
        <v>30</v>
      </c>
      <c r="W4" s="88" t="n">
        <v>51.6</v>
      </c>
      <c r="X4" s="89" t="n">
        <v>2.703</v>
      </c>
      <c r="Y4" s="89" t="n">
        <v>0.052</v>
      </c>
      <c r="Z4" s="89" t="n">
        <v>0.235</v>
      </c>
      <c r="AA4" s="88" t="n">
        <v>12.8</v>
      </c>
      <c r="AB4" s="90" t="n">
        <v>3998</v>
      </c>
      <c r="AC4" s="88" t="n">
        <v>0</v>
      </c>
      <c r="AD4" s="88" t="n">
        <v>7</v>
      </c>
      <c r="AE4" s="90" t="n">
        <v>18</v>
      </c>
      <c r="AF4" s="88" t="n">
        <v>26.7</v>
      </c>
      <c r="AG4" s="89" t="n">
        <v>1.806</v>
      </c>
      <c r="AH4" s="89" t="n">
        <v>0.068</v>
      </c>
      <c r="AI4" s="88" t="n">
        <v>0</v>
      </c>
      <c r="AJ4" s="90" t="n">
        <v>19</v>
      </c>
      <c r="AK4" s="88" t="n">
        <v>333.3</v>
      </c>
      <c r="AL4" s="89" t="n">
        <v>9.377</v>
      </c>
      <c r="AM4" s="89" t="n">
        <v>0.028</v>
      </c>
      <c r="AN4" s="88" t="n">
        <v>112.4</v>
      </c>
      <c r="AO4" s="19"/>
      <c r="AP4" s="19"/>
      <c r="AQ4" s="19"/>
      <c r="AR4" s="19"/>
      <c r="AS4" s="18" t="n">
        <f aca="false">Table2[[#This Row],[Object_A_._head_time]]+Table2[[#This Row],[Object_B_._head_time]]</f>
        <v>111.6</v>
      </c>
      <c r="AT4" s="18"/>
      <c r="AU4" s="18"/>
      <c r="AV4" s="16"/>
      <c r="AW4" s="18"/>
      <c r="AX4" s="19" t="n">
        <f aca="false">(Table2[[#This Row],[Object_A_._head_time]]/(Table2[[#This Row],[Object_A_._head_time]]+Table2[[#This Row],[Object_B_._head_time]]))</f>
        <v>0.537634408602151</v>
      </c>
      <c r="AY4" s="22" t="s">
        <v>64</v>
      </c>
      <c r="AZ4" s="22" t="s">
        <v>76</v>
      </c>
      <c r="BA4" s="22" t="s">
        <v>72</v>
      </c>
      <c r="BB4" s="90" t="n">
        <v>177</v>
      </c>
      <c r="BC4" s="88" t="n">
        <v>5.9</v>
      </c>
      <c r="BD4" s="88" t="s">
        <v>67</v>
      </c>
      <c r="BE4" s="91" t="n">
        <v>5</v>
      </c>
      <c r="BF4" s="22" t="s">
        <v>77</v>
      </c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92"/>
    </row>
    <row r="5" s="93" customFormat="true" ht="12" hidden="false" customHeight="true" outlineLevel="0" collapsed="false">
      <c r="A5" s="22" t="n">
        <v>47</v>
      </c>
      <c r="B5" s="22" t="s">
        <v>78</v>
      </c>
      <c r="C5" s="22" t="s">
        <v>59</v>
      </c>
      <c r="D5" s="22" t="s">
        <v>79</v>
      </c>
      <c r="E5" s="22" t="s">
        <v>310</v>
      </c>
      <c r="F5" s="22" t="s">
        <v>313</v>
      </c>
      <c r="G5" s="22" t="s">
        <v>316</v>
      </c>
      <c r="H5" s="88" t="n">
        <v>360</v>
      </c>
      <c r="I5" s="89" t="n">
        <v>13.508</v>
      </c>
      <c r="J5" s="89" t="n">
        <v>0.038</v>
      </c>
      <c r="K5" s="89" t="n">
        <v>0.333</v>
      </c>
      <c r="L5" s="88" t="n">
        <v>71.5</v>
      </c>
      <c r="M5" s="90" t="n">
        <v>24</v>
      </c>
      <c r="N5" s="88" t="n">
        <v>33.2</v>
      </c>
      <c r="O5" s="89" t="n">
        <v>1.755</v>
      </c>
      <c r="P5" s="89" t="n">
        <v>0.053</v>
      </c>
      <c r="Q5" s="89" t="n">
        <v>0.323</v>
      </c>
      <c r="R5" s="88" t="n">
        <v>7.8</v>
      </c>
      <c r="S5" s="90" t="n">
        <v>3878</v>
      </c>
      <c r="T5" s="88" t="n">
        <v>1.3</v>
      </c>
      <c r="U5" s="88" t="n">
        <v>8.5</v>
      </c>
      <c r="V5" s="90" t="n">
        <v>33</v>
      </c>
      <c r="W5" s="88" t="n">
        <v>46.6</v>
      </c>
      <c r="X5" s="89" t="n">
        <v>1.749</v>
      </c>
      <c r="Y5" s="89" t="n">
        <v>0.038</v>
      </c>
      <c r="Z5" s="89" t="n">
        <v>0.285</v>
      </c>
      <c r="AA5" s="88" t="n">
        <v>22.8</v>
      </c>
      <c r="AB5" s="90" t="n">
        <v>4036</v>
      </c>
      <c r="AC5" s="88" t="n">
        <v>10.5</v>
      </c>
      <c r="AD5" s="88" t="n">
        <v>21.4</v>
      </c>
      <c r="AE5" s="90" t="n">
        <v>20</v>
      </c>
      <c r="AF5" s="88" t="n">
        <v>26.6</v>
      </c>
      <c r="AG5" s="89" t="n">
        <v>2.378</v>
      </c>
      <c r="AH5" s="89" t="n">
        <v>0.089</v>
      </c>
      <c r="AI5" s="88" t="n">
        <v>0</v>
      </c>
      <c r="AJ5" s="90" t="n">
        <v>20</v>
      </c>
      <c r="AK5" s="88" t="n">
        <v>333.4</v>
      </c>
      <c r="AL5" s="89" t="n">
        <v>11.13</v>
      </c>
      <c r="AM5" s="89" t="n">
        <v>0.033</v>
      </c>
      <c r="AN5" s="88" t="n">
        <v>71.5</v>
      </c>
      <c r="AO5" s="19"/>
      <c r="AP5" s="19"/>
      <c r="AQ5" s="19"/>
      <c r="AR5" s="19"/>
      <c r="AS5" s="18" t="n">
        <f aca="false">Table2[[#This Row],[Object_A_._head_time]]+Table2[[#This Row],[Object_B_._head_time]]</f>
        <v>79.8</v>
      </c>
      <c r="AT5" s="18"/>
      <c r="AU5" s="18"/>
      <c r="AV5" s="16"/>
      <c r="AW5" s="18"/>
      <c r="AX5" s="19" t="n">
        <f aca="false">(Table2[[#This Row],[Object_A_._head_time]]/(Table2[[#This Row],[Object_A_._head_time]]+Table2[[#This Row],[Object_B_._head_time]]))</f>
        <v>0.416040100250627</v>
      </c>
      <c r="AY5" s="22" t="s">
        <v>64</v>
      </c>
      <c r="AZ5" s="22" t="s">
        <v>76</v>
      </c>
      <c r="BA5" s="22" t="s">
        <v>66</v>
      </c>
      <c r="BB5" s="90" t="n">
        <v>177</v>
      </c>
      <c r="BC5" s="88" t="n">
        <v>5.9</v>
      </c>
      <c r="BD5" s="88" t="s">
        <v>81</v>
      </c>
      <c r="BE5" s="91" t="n">
        <v>8</v>
      </c>
      <c r="BF5" s="22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92"/>
    </row>
    <row r="6" s="93" customFormat="true" ht="12" hidden="false" customHeight="true" outlineLevel="0" collapsed="false">
      <c r="A6" s="22" t="n">
        <v>50</v>
      </c>
      <c r="B6" s="22" t="s">
        <v>82</v>
      </c>
      <c r="C6" s="22" t="s">
        <v>59</v>
      </c>
      <c r="D6" s="22" t="s">
        <v>60</v>
      </c>
      <c r="E6" s="22" t="s">
        <v>310</v>
      </c>
      <c r="F6" s="22" t="s">
        <v>317</v>
      </c>
      <c r="G6" s="22" t="s">
        <v>318</v>
      </c>
      <c r="H6" s="88" t="n">
        <v>360</v>
      </c>
      <c r="I6" s="89" t="n">
        <v>17.352</v>
      </c>
      <c r="J6" s="89" t="n">
        <v>0.048</v>
      </c>
      <c r="K6" s="89" t="n">
        <v>0.763</v>
      </c>
      <c r="L6" s="88" t="n">
        <v>19.6</v>
      </c>
      <c r="M6" s="90" t="n">
        <v>45</v>
      </c>
      <c r="N6" s="88" t="n">
        <v>56.3</v>
      </c>
      <c r="O6" s="89" t="n">
        <v>2.39</v>
      </c>
      <c r="P6" s="89" t="n">
        <v>0.042</v>
      </c>
      <c r="Q6" s="89" t="n">
        <v>0.31</v>
      </c>
      <c r="R6" s="88" t="n">
        <v>13</v>
      </c>
      <c r="S6" s="90" t="n">
        <v>5010</v>
      </c>
      <c r="T6" s="88" t="n">
        <v>0</v>
      </c>
      <c r="U6" s="88" t="n">
        <v>17.3</v>
      </c>
      <c r="V6" s="90" t="n">
        <v>65</v>
      </c>
      <c r="W6" s="88" t="n">
        <v>66.9</v>
      </c>
      <c r="X6" s="89" t="n">
        <v>2.533</v>
      </c>
      <c r="Y6" s="89" t="n">
        <v>0.038</v>
      </c>
      <c r="Z6" s="89" t="n">
        <v>0.36</v>
      </c>
      <c r="AA6" s="88" t="n">
        <v>11.1</v>
      </c>
      <c r="AB6" s="90" t="n">
        <v>6716</v>
      </c>
      <c r="AC6" s="88" t="n">
        <v>2.9</v>
      </c>
      <c r="AD6" s="88" t="n">
        <v>16.9</v>
      </c>
      <c r="AE6" s="90" t="n">
        <v>35</v>
      </c>
      <c r="AF6" s="88" t="n">
        <v>48.8</v>
      </c>
      <c r="AG6" s="89" t="n">
        <v>4.052</v>
      </c>
      <c r="AH6" s="89" t="n">
        <v>0.083</v>
      </c>
      <c r="AI6" s="88" t="n">
        <v>0</v>
      </c>
      <c r="AJ6" s="90" t="n">
        <v>35</v>
      </c>
      <c r="AK6" s="88" t="n">
        <v>311.2</v>
      </c>
      <c r="AL6" s="89" t="n">
        <v>13.299</v>
      </c>
      <c r="AM6" s="89" t="n">
        <v>0.043</v>
      </c>
      <c r="AN6" s="88" t="n">
        <v>19.6</v>
      </c>
      <c r="AO6" s="19"/>
      <c r="AP6" s="19"/>
      <c r="AQ6" s="19"/>
      <c r="AR6" s="19"/>
      <c r="AS6" s="18" t="n">
        <f aca="false">Table2[[#This Row],[Object_A_._head_time]]+Table2[[#This Row],[Object_B_._head_time]]</f>
        <v>123.2</v>
      </c>
      <c r="AT6" s="18"/>
      <c r="AU6" s="18"/>
      <c r="AV6" s="16"/>
      <c r="AW6" s="18"/>
      <c r="AX6" s="19" t="n">
        <f aca="false">(Table2[[#This Row],[Object_A_._head_time]]/(Table2[[#This Row],[Object_A_._head_time]]+Table2[[#This Row],[Object_B_._head_time]]))</f>
        <v>0.456980519480519</v>
      </c>
      <c r="AY6" s="22" t="s">
        <v>64</v>
      </c>
      <c r="AZ6" s="22" t="s">
        <v>76</v>
      </c>
      <c r="BA6" s="22" t="s">
        <v>66</v>
      </c>
      <c r="BB6" s="90" t="n">
        <v>177</v>
      </c>
      <c r="BC6" s="88" t="n">
        <v>5.9</v>
      </c>
      <c r="BD6" s="88" t="s">
        <v>67</v>
      </c>
      <c r="BE6" s="91" t="n">
        <v>7</v>
      </c>
      <c r="BF6" s="22" t="s">
        <v>77</v>
      </c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92"/>
    </row>
    <row r="7" s="93" customFormat="true" ht="12" hidden="false" customHeight="true" outlineLevel="0" collapsed="false">
      <c r="A7" s="22" t="n">
        <v>48</v>
      </c>
      <c r="B7" s="22" t="s">
        <v>85</v>
      </c>
      <c r="C7" s="22" t="s">
        <v>59</v>
      </c>
      <c r="D7" s="22" t="s">
        <v>69</v>
      </c>
      <c r="E7" s="22" t="s">
        <v>310</v>
      </c>
      <c r="F7" s="22" t="s">
        <v>317</v>
      </c>
      <c r="G7" s="22" t="s">
        <v>319</v>
      </c>
      <c r="H7" s="88" t="n">
        <v>360</v>
      </c>
      <c r="I7" s="89" t="n">
        <v>11.645</v>
      </c>
      <c r="J7" s="89" t="n">
        <v>0.032</v>
      </c>
      <c r="K7" s="89" t="n">
        <v>0.299</v>
      </c>
      <c r="L7" s="88" t="n">
        <v>126</v>
      </c>
      <c r="M7" s="90" t="n">
        <v>26</v>
      </c>
      <c r="N7" s="88" t="n">
        <v>57.8</v>
      </c>
      <c r="O7" s="89" t="n">
        <v>1.387</v>
      </c>
      <c r="P7" s="89" t="n">
        <v>0.024</v>
      </c>
      <c r="Q7" s="89" t="n">
        <v>0.284</v>
      </c>
      <c r="R7" s="88" t="n">
        <v>37.2</v>
      </c>
      <c r="S7" s="90" t="n">
        <v>4008</v>
      </c>
      <c r="T7" s="88" t="n">
        <v>32.1</v>
      </c>
      <c r="U7" s="88" t="n">
        <v>29</v>
      </c>
      <c r="V7" s="90" t="n">
        <v>40</v>
      </c>
      <c r="W7" s="88" t="n">
        <v>36.5</v>
      </c>
      <c r="X7" s="89" t="n">
        <v>1.906</v>
      </c>
      <c r="Y7" s="89" t="n">
        <v>0.052</v>
      </c>
      <c r="Z7" s="89" t="n">
        <v>0.247</v>
      </c>
      <c r="AA7" s="88" t="n">
        <v>8</v>
      </c>
      <c r="AB7" s="90" t="n">
        <v>3469</v>
      </c>
      <c r="AC7" s="88" t="n">
        <v>0.8</v>
      </c>
      <c r="AD7" s="88" t="n">
        <v>8.8</v>
      </c>
      <c r="AE7" s="90" t="n">
        <v>16</v>
      </c>
      <c r="AF7" s="88" t="n">
        <v>24.7</v>
      </c>
      <c r="AG7" s="89" t="n">
        <v>2.451</v>
      </c>
      <c r="AH7" s="89" t="n">
        <v>0.099</v>
      </c>
      <c r="AI7" s="88" t="n">
        <v>0</v>
      </c>
      <c r="AJ7" s="90" t="n">
        <v>16</v>
      </c>
      <c r="AK7" s="88" t="n">
        <v>335.3</v>
      </c>
      <c r="AL7" s="89" t="n">
        <v>9.194</v>
      </c>
      <c r="AM7" s="89" t="n">
        <v>0.027</v>
      </c>
      <c r="AN7" s="88" t="n">
        <v>126</v>
      </c>
      <c r="AO7" s="19"/>
      <c r="AP7" s="19"/>
      <c r="AQ7" s="19"/>
      <c r="AR7" s="19"/>
      <c r="AS7" s="18" t="n">
        <f aca="false">Table2[[#This Row],[Object_A_._head_time]]+Table2[[#This Row],[Object_B_._head_time]]</f>
        <v>94.3</v>
      </c>
      <c r="AT7" s="18"/>
      <c r="AU7" s="18"/>
      <c r="AV7" s="16"/>
      <c r="AW7" s="18"/>
      <c r="AX7" s="19" t="n">
        <f aca="false">(Table2[[#This Row],[Object_A_._head_time]]/(Table2[[#This Row],[Object_A_._head_time]]+Table2[[#This Row],[Object_B_._head_time]]))</f>
        <v>0.612937433722163</v>
      </c>
      <c r="AY7" s="22" t="s">
        <v>71</v>
      </c>
      <c r="AZ7" s="22" t="s">
        <v>76</v>
      </c>
      <c r="BA7" s="22" t="s">
        <v>66</v>
      </c>
      <c r="BB7" s="90" t="n">
        <v>177</v>
      </c>
      <c r="BC7" s="88" t="n">
        <v>5.9</v>
      </c>
      <c r="BD7" s="88" t="s">
        <v>81</v>
      </c>
      <c r="BE7" s="91" t="n">
        <v>8</v>
      </c>
      <c r="BF7" s="22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92"/>
    </row>
    <row r="8" s="93" customFormat="true" ht="12" hidden="false" customHeight="true" outlineLevel="0" collapsed="false">
      <c r="A8" s="22" t="n">
        <v>49</v>
      </c>
      <c r="B8" s="22" t="s">
        <v>87</v>
      </c>
      <c r="C8" s="22" t="s">
        <v>59</v>
      </c>
      <c r="D8" s="22" t="s">
        <v>74</v>
      </c>
      <c r="E8" s="22" t="s">
        <v>310</v>
      </c>
      <c r="F8" s="22" t="s">
        <v>317</v>
      </c>
      <c r="G8" s="22" t="s">
        <v>320</v>
      </c>
      <c r="H8" s="88" t="n">
        <v>360</v>
      </c>
      <c r="I8" s="89" t="n">
        <v>14.447</v>
      </c>
      <c r="J8" s="89" t="n">
        <v>0.04</v>
      </c>
      <c r="K8" s="89" t="n">
        <v>0.284</v>
      </c>
      <c r="L8" s="88" t="n">
        <v>50.6</v>
      </c>
      <c r="M8" s="90" t="n">
        <v>27</v>
      </c>
      <c r="N8" s="88" t="n">
        <v>41.9</v>
      </c>
      <c r="O8" s="89" t="n">
        <v>1.611</v>
      </c>
      <c r="P8" s="89" t="n">
        <v>0.038</v>
      </c>
      <c r="Q8" s="89" t="n">
        <v>0.255</v>
      </c>
      <c r="R8" s="88" t="n">
        <v>17.5</v>
      </c>
      <c r="S8" s="90" t="n">
        <v>2371</v>
      </c>
      <c r="T8" s="88" t="n">
        <v>1.4</v>
      </c>
      <c r="U8" s="88" t="n">
        <v>19.4</v>
      </c>
      <c r="V8" s="90" t="n">
        <v>31</v>
      </c>
      <c r="W8" s="88" t="n">
        <v>38.1</v>
      </c>
      <c r="X8" s="89" t="n">
        <v>2.067</v>
      </c>
      <c r="Y8" s="89" t="n">
        <v>0.054</v>
      </c>
      <c r="Z8" s="89" t="n">
        <v>0.251</v>
      </c>
      <c r="AA8" s="88" t="n">
        <v>7.1</v>
      </c>
      <c r="AB8" s="90" t="n">
        <v>2984</v>
      </c>
      <c r="AC8" s="88" t="n">
        <v>1.1</v>
      </c>
      <c r="AD8" s="88" t="n">
        <v>10.8</v>
      </c>
      <c r="AE8" s="90" t="n">
        <v>22</v>
      </c>
      <c r="AF8" s="88" t="n">
        <v>85.3</v>
      </c>
      <c r="AG8" s="89" t="n">
        <v>3.214</v>
      </c>
      <c r="AH8" s="89" t="n">
        <v>0.038</v>
      </c>
      <c r="AI8" s="88" t="n">
        <v>18.2</v>
      </c>
      <c r="AJ8" s="90" t="n">
        <v>21</v>
      </c>
      <c r="AK8" s="88" t="n">
        <v>274.7</v>
      </c>
      <c r="AL8" s="89" t="n">
        <v>11.233</v>
      </c>
      <c r="AM8" s="89" t="n">
        <v>0.041</v>
      </c>
      <c r="AN8" s="88" t="n">
        <v>32.4</v>
      </c>
      <c r="AO8" s="19"/>
      <c r="AP8" s="19"/>
      <c r="AQ8" s="19"/>
      <c r="AR8" s="19"/>
      <c r="AS8" s="18" t="n">
        <f aca="false">Table2[[#This Row],[Object_A_._head_time]]+Table2[[#This Row],[Object_B_._head_time]]</f>
        <v>80</v>
      </c>
      <c r="AT8" s="18"/>
      <c r="AU8" s="18"/>
      <c r="AV8" s="16"/>
      <c r="AW8" s="18"/>
      <c r="AX8" s="19" t="n">
        <f aca="false">(Table2[[#This Row],[Object_A_._head_time]]/(Table2[[#This Row],[Object_A_._head_time]]+Table2[[#This Row],[Object_B_._head_time]]))</f>
        <v>0.52375</v>
      </c>
      <c r="AY8" s="22" t="s">
        <v>71</v>
      </c>
      <c r="AZ8" s="22" t="s">
        <v>76</v>
      </c>
      <c r="BA8" s="22" t="s">
        <v>72</v>
      </c>
      <c r="BB8" s="90" t="n">
        <v>177</v>
      </c>
      <c r="BC8" s="88" t="n">
        <v>5.9</v>
      </c>
      <c r="BD8" s="88" t="s">
        <v>67</v>
      </c>
      <c r="BE8" s="91" t="n">
        <v>5</v>
      </c>
      <c r="BF8" s="22"/>
      <c r="BG8" s="87"/>
      <c r="BH8" s="87"/>
      <c r="BI8" s="87"/>
      <c r="BJ8" s="87"/>
      <c r="BK8" s="87"/>
      <c r="BL8" s="87"/>
      <c r="BM8" s="87"/>
      <c r="BN8" s="87"/>
      <c r="BO8" s="87"/>
      <c r="BP8" s="87"/>
      <c r="BQ8" s="87"/>
      <c r="BR8" s="87"/>
      <c r="BS8" s="87"/>
      <c r="BT8" s="87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87"/>
      <c r="CF8" s="87"/>
      <c r="CG8" s="87"/>
      <c r="CH8" s="87"/>
      <c r="CI8" s="87"/>
      <c r="CJ8" s="87"/>
      <c r="CK8" s="87"/>
      <c r="CL8" s="87"/>
      <c r="CM8" s="87"/>
      <c r="CN8" s="87"/>
      <c r="CO8" s="87"/>
      <c r="CP8" s="87"/>
      <c r="CQ8" s="87"/>
      <c r="CR8" s="87"/>
      <c r="CS8" s="87"/>
      <c r="CT8" s="87"/>
      <c r="CU8" s="92"/>
    </row>
    <row r="9" s="93" customFormat="true" ht="12" hidden="false" customHeight="true" outlineLevel="0" collapsed="false">
      <c r="A9" s="22" t="n">
        <v>51</v>
      </c>
      <c r="B9" s="22" t="s">
        <v>89</v>
      </c>
      <c r="C9" s="22" t="s">
        <v>59</v>
      </c>
      <c r="D9" s="22" t="s">
        <v>79</v>
      </c>
      <c r="E9" s="22" t="s">
        <v>310</v>
      </c>
      <c r="F9" s="22" t="s">
        <v>321</v>
      </c>
      <c r="G9" s="22" t="s">
        <v>322</v>
      </c>
      <c r="H9" s="88" t="n">
        <v>360</v>
      </c>
      <c r="I9" s="89" t="n">
        <v>14.986</v>
      </c>
      <c r="J9" s="89" t="n">
        <v>0.042</v>
      </c>
      <c r="K9" s="89" t="n">
        <v>0.3</v>
      </c>
      <c r="L9" s="88" t="n">
        <v>33</v>
      </c>
      <c r="M9" s="90" t="n">
        <v>19</v>
      </c>
      <c r="N9" s="88" t="n">
        <v>23.6</v>
      </c>
      <c r="O9" s="89" t="n">
        <v>1.219</v>
      </c>
      <c r="P9" s="89" t="n">
        <v>0.052</v>
      </c>
      <c r="Q9" s="89" t="n">
        <v>0.274</v>
      </c>
      <c r="R9" s="88" t="n">
        <v>4.1</v>
      </c>
      <c r="S9" s="90" t="n">
        <v>2113</v>
      </c>
      <c r="T9" s="88" t="n">
        <v>0</v>
      </c>
      <c r="U9" s="88" t="n">
        <v>4.3</v>
      </c>
      <c r="V9" s="90" t="n">
        <v>31</v>
      </c>
      <c r="W9" s="88" t="n">
        <v>33.3</v>
      </c>
      <c r="X9" s="89" t="n">
        <v>1.746</v>
      </c>
      <c r="Y9" s="89" t="n">
        <v>0.052</v>
      </c>
      <c r="Z9" s="89" t="n">
        <v>0.27</v>
      </c>
      <c r="AA9" s="88" t="n">
        <v>6.1</v>
      </c>
      <c r="AB9" s="90" t="n">
        <v>2810</v>
      </c>
      <c r="AC9" s="88" t="n">
        <v>5</v>
      </c>
      <c r="AD9" s="88" t="n">
        <v>13.2</v>
      </c>
      <c r="AE9" s="90" t="n">
        <v>16</v>
      </c>
      <c r="AF9" s="88" t="n">
        <v>31.1</v>
      </c>
      <c r="AG9" s="89" t="n">
        <v>2.524</v>
      </c>
      <c r="AH9" s="89" t="n">
        <v>0.081</v>
      </c>
      <c r="AI9" s="88" t="n">
        <v>0</v>
      </c>
      <c r="AJ9" s="90" t="n">
        <v>15</v>
      </c>
      <c r="AK9" s="88" t="n">
        <v>328.9</v>
      </c>
      <c r="AL9" s="89" t="n">
        <v>12.463</v>
      </c>
      <c r="AM9" s="89" t="n">
        <v>0.038</v>
      </c>
      <c r="AN9" s="88" t="n">
        <v>33</v>
      </c>
      <c r="AO9" s="19"/>
      <c r="AP9" s="19"/>
      <c r="AQ9" s="19"/>
      <c r="AR9" s="19"/>
      <c r="AS9" s="18" t="n">
        <f aca="false">Table2[[#This Row],[Object_A_._head_time]]+Table2[[#This Row],[Object_B_._head_time]]</f>
        <v>56.9</v>
      </c>
      <c r="AT9" s="18"/>
      <c r="AU9" s="18"/>
      <c r="AV9" s="16"/>
      <c r="AW9" s="18"/>
      <c r="AX9" s="19" t="n">
        <f aca="false">(Table2[[#This Row],[Object_A_._head_time]]/(Table2[[#This Row],[Object_A_._head_time]]+Table2[[#This Row],[Object_B_._head_time]]))</f>
        <v>0.414762741652021</v>
      </c>
      <c r="AY9" s="22" t="s">
        <v>71</v>
      </c>
      <c r="AZ9" s="22" t="s">
        <v>76</v>
      </c>
      <c r="BA9" s="22" t="s">
        <v>66</v>
      </c>
      <c r="BB9" s="90" t="n">
        <v>177</v>
      </c>
      <c r="BC9" s="88" t="n">
        <v>5.9</v>
      </c>
      <c r="BD9" s="88" t="s">
        <v>81</v>
      </c>
      <c r="BE9" s="91" t="n">
        <v>8</v>
      </c>
      <c r="BF9" s="22" t="s">
        <v>91</v>
      </c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Y9" s="87"/>
      <c r="BZ9" s="87"/>
      <c r="CA9" s="87"/>
      <c r="CB9" s="87"/>
      <c r="CC9" s="87"/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92"/>
    </row>
    <row r="10" s="93" customFormat="true" ht="12" hidden="false" customHeight="true" outlineLevel="0" collapsed="false">
      <c r="A10" s="22" t="n">
        <v>54</v>
      </c>
      <c r="B10" s="22" t="s">
        <v>92</v>
      </c>
      <c r="C10" s="22" t="s">
        <v>59</v>
      </c>
      <c r="D10" s="22" t="s">
        <v>60</v>
      </c>
      <c r="E10" s="22" t="s">
        <v>310</v>
      </c>
      <c r="F10" s="22" t="s">
        <v>323</v>
      </c>
      <c r="G10" s="22" t="s">
        <v>324</v>
      </c>
      <c r="H10" s="88" t="n">
        <v>360</v>
      </c>
      <c r="I10" s="89" t="n">
        <v>15.308</v>
      </c>
      <c r="J10" s="89" t="n">
        <v>0.043</v>
      </c>
      <c r="K10" s="89" t="n">
        <v>0.291</v>
      </c>
      <c r="L10" s="88" t="n">
        <v>15.6</v>
      </c>
      <c r="M10" s="90" t="n">
        <v>58</v>
      </c>
      <c r="N10" s="88" t="n">
        <v>71.9</v>
      </c>
      <c r="O10" s="89" t="n">
        <v>2.409</v>
      </c>
      <c r="P10" s="89" t="n">
        <v>0.034</v>
      </c>
      <c r="Q10" s="89" t="n">
        <v>0.217</v>
      </c>
      <c r="R10" s="88" t="n">
        <v>20.8</v>
      </c>
      <c r="S10" s="90" t="n">
        <v>5366</v>
      </c>
      <c r="T10" s="88" t="n">
        <v>3.3</v>
      </c>
      <c r="U10" s="88" t="n">
        <v>36.5</v>
      </c>
      <c r="V10" s="90" t="n">
        <v>50</v>
      </c>
      <c r="W10" s="88" t="n">
        <v>72.8</v>
      </c>
      <c r="X10" s="89" t="n">
        <v>2.729</v>
      </c>
      <c r="Y10" s="89" t="n">
        <v>0.037</v>
      </c>
      <c r="Z10" s="89" t="n">
        <v>0.273</v>
      </c>
      <c r="AA10" s="88" t="n">
        <v>17.8</v>
      </c>
      <c r="AB10" s="90" t="n">
        <v>5504</v>
      </c>
      <c r="AC10" s="88" t="n">
        <v>1.7</v>
      </c>
      <c r="AD10" s="88" t="n">
        <v>17.1</v>
      </c>
      <c r="AE10" s="90" t="n">
        <v>34</v>
      </c>
      <c r="AF10" s="88" t="n">
        <v>52.1</v>
      </c>
      <c r="AG10" s="89" t="n">
        <v>3.279</v>
      </c>
      <c r="AH10" s="89" t="n">
        <v>0.063</v>
      </c>
      <c r="AI10" s="88" t="n">
        <v>1.1</v>
      </c>
      <c r="AJ10" s="90" t="n">
        <v>34</v>
      </c>
      <c r="AK10" s="88" t="n">
        <v>307.9</v>
      </c>
      <c r="AL10" s="89" t="n">
        <v>12.029</v>
      </c>
      <c r="AM10" s="89" t="n">
        <v>0.039</v>
      </c>
      <c r="AN10" s="88" t="n">
        <v>14.6</v>
      </c>
      <c r="AO10" s="19"/>
      <c r="AP10" s="19"/>
      <c r="AQ10" s="19"/>
      <c r="AR10" s="19"/>
      <c r="AS10" s="18" t="n">
        <f aca="false">Table2[[#This Row],[Object_A_._head_time]]+Table2[[#This Row],[Object_B_._head_time]]</f>
        <v>144.7</v>
      </c>
      <c r="AT10" s="18"/>
      <c r="AU10" s="18"/>
      <c r="AV10" s="16"/>
      <c r="AW10" s="18"/>
      <c r="AX10" s="19" t="n">
        <f aca="false">(Table2[[#This Row],[Object_A_._head_time]]/(Table2[[#This Row],[Object_A_._head_time]]+Table2[[#This Row],[Object_B_._head_time]]))</f>
        <v>0.496890117484451</v>
      </c>
      <c r="AY10" s="22" t="s">
        <v>71</v>
      </c>
      <c r="AZ10" s="22" t="s">
        <v>76</v>
      </c>
      <c r="BA10" s="22" t="s">
        <v>66</v>
      </c>
      <c r="BB10" s="90" t="n">
        <v>177</v>
      </c>
      <c r="BC10" s="88" t="n">
        <v>5.9</v>
      </c>
      <c r="BD10" s="88" t="s">
        <v>67</v>
      </c>
      <c r="BE10" s="91" t="n">
        <v>7</v>
      </c>
      <c r="BF10" s="22" t="s">
        <v>95</v>
      </c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92"/>
    </row>
    <row r="11" s="93" customFormat="true" ht="12" hidden="false" customHeight="true" outlineLevel="0" collapsed="false">
      <c r="A11" s="22" t="n">
        <v>52</v>
      </c>
      <c r="B11" s="22" t="s">
        <v>96</v>
      </c>
      <c r="C11" s="22" t="s">
        <v>59</v>
      </c>
      <c r="D11" s="22" t="s">
        <v>69</v>
      </c>
      <c r="E11" s="22" t="s">
        <v>310</v>
      </c>
      <c r="F11" s="22" t="s">
        <v>325</v>
      </c>
      <c r="G11" s="22" t="s">
        <v>326</v>
      </c>
      <c r="H11" s="88" t="n">
        <v>360</v>
      </c>
      <c r="I11" s="89" t="n">
        <v>41.728</v>
      </c>
      <c r="J11" s="89" t="n">
        <v>0.116</v>
      </c>
      <c r="K11" s="89" t="n">
        <v>0.314</v>
      </c>
      <c r="L11" s="88" t="n">
        <v>3.9</v>
      </c>
      <c r="M11" s="90" t="n">
        <v>70</v>
      </c>
      <c r="N11" s="88" t="n">
        <v>42</v>
      </c>
      <c r="O11" s="89" t="n">
        <v>5.304</v>
      </c>
      <c r="P11" s="89" t="n">
        <v>0.126</v>
      </c>
      <c r="Q11" s="89" t="n">
        <v>0.301</v>
      </c>
      <c r="R11" s="88" t="n">
        <v>8.6</v>
      </c>
      <c r="S11" s="90" t="n">
        <v>7808</v>
      </c>
      <c r="T11" s="88" t="n">
        <v>0</v>
      </c>
      <c r="U11" s="88" t="n">
        <v>8.4</v>
      </c>
      <c r="V11" s="90" t="n">
        <v>61</v>
      </c>
      <c r="W11" s="88" t="n">
        <v>40.1</v>
      </c>
      <c r="X11" s="89" t="n">
        <v>4.369</v>
      </c>
      <c r="Y11" s="89" t="n">
        <v>0.109</v>
      </c>
      <c r="Z11" s="89" t="n">
        <v>0.291</v>
      </c>
      <c r="AA11" s="88" t="n">
        <v>9.3</v>
      </c>
      <c r="AB11" s="90" t="n">
        <v>6510</v>
      </c>
      <c r="AC11" s="88" t="n">
        <v>0</v>
      </c>
      <c r="AD11" s="88" t="n">
        <v>5.9</v>
      </c>
      <c r="AE11" s="90" t="n">
        <v>62</v>
      </c>
      <c r="AF11" s="88" t="n">
        <v>65.5</v>
      </c>
      <c r="AG11" s="89" t="n">
        <v>8.603</v>
      </c>
      <c r="AH11" s="89" t="n">
        <v>0.131</v>
      </c>
      <c r="AI11" s="88" t="n">
        <v>3.9</v>
      </c>
      <c r="AJ11" s="90" t="n">
        <v>63</v>
      </c>
      <c r="AK11" s="88" t="n">
        <v>294.5</v>
      </c>
      <c r="AL11" s="89" t="n">
        <v>33.125</v>
      </c>
      <c r="AM11" s="89" t="n">
        <v>0.112</v>
      </c>
      <c r="AN11" s="88" t="n">
        <v>0</v>
      </c>
      <c r="AO11" s="19"/>
      <c r="AP11" s="19"/>
      <c r="AQ11" s="19"/>
      <c r="AR11" s="19"/>
      <c r="AS11" s="18" t="n">
        <f aca="false">Table2[[#This Row],[Object_A_._head_time]]+Table2[[#This Row],[Object_B_._head_time]]</f>
        <v>82.1</v>
      </c>
      <c r="AT11" s="18"/>
      <c r="AU11" s="18"/>
      <c r="AV11" s="16"/>
      <c r="AW11" s="18"/>
      <c r="AX11" s="19" t="n">
        <f aca="false">(Table2[[#This Row],[Object_A_._head_time]]/(Table2[[#This Row],[Object_A_._head_time]]+Table2[[#This Row],[Object_B_._head_time]]))</f>
        <v>0.511571254567601</v>
      </c>
      <c r="AY11" s="22" t="s">
        <v>71</v>
      </c>
      <c r="AZ11" s="22" t="s">
        <v>76</v>
      </c>
      <c r="BA11" s="22" t="s">
        <v>72</v>
      </c>
      <c r="BB11" s="90" t="n">
        <v>177</v>
      </c>
      <c r="BC11" s="88" t="n">
        <v>5.9</v>
      </c>
      <c r="BD11" s="88" t="s">
        <v>81</v>
      </c>
      <c r="BE11" s="91" t="n">
        <v>6</v>
      </c>
      <c r="BF11" s="22" t="s">
        <v>98</v>
      </c>
      <c r="BG11" s="87"/>
      <c r="BH11" s="87"/>
      <c r="BI11" s="87"/>
      <c r="BJ11" s="87"/>
      <c r="BK11" s="87"/>
      <c r="BL11" s="87"/>
      <c r="BM11" s="87"/>
      <c r="BN11" s="87"/>
      <c r="BO11" s="87"/>
      <c r="BP11" s="87"/>
      <c r="BQ11" s="87"/>
      <c r="BR11" s="87"/>
      <c r="BS11" s="87"/>
      <c r="BT11" s="87"/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87"/>
      <c r="CF11" s="87"/>
      <c r="CG11" s="87"/>
      <c r="CH11" s="87"/>
      <c r="CI11" s="87"/>
      <c r="CJ11" s="87"/>
      <c r="CK11" s="87"/>
      <c r="CL11" s="87"/>
      <c r="CM11" s="87"/>
      <c r="CN11" s="87"/>
      <c r="CO11" s="87"/>
      <c r="CP11" s="87"/>
      <c r="CQ11" s="87"/>
      <c r="CR11" s="87"/>
      <c r="CS11" s="87"/>
      <c r="CT11" s="87"/>
      <c r="CU11" s="92"/>
    </row>
    <row r="12" s="93" customFormat="true" ht="12" hidden="false" customHeight="true" outlineLevel="0" collapsed="false">
      <c r="A12" s="22" t="n">
        <v>53</v>
      </c>
      <c r="B12" s="22" t="s">
        <v>99</v>
      </c>
      <c r="C12" s="22" t="s">
        <v>59</v>
      </c>
      <c r="D12" s="22" t="s">
        <v>74</v>
      </c>
      <c r="E12" s="22" t="s">
        <v>310</v>
      </c>
      <c r="F12" s="22" t="s">
        <v>323</v>
      </c>
      <c r="G12" s="22" t="s">
        <v>327</v>
      </c>
      <c r="H12" s="88" t="n">
        <v>360</v>
      </c>
      <c r="I12" s="89" t="n">
        <v>17.649</v>
      </c>
      <c r="J12" s="89" t="n">
        <v>0.049</v>
      </c>
      <c r="K12" s="89" t="n">
        <v>0.246</v>
      </c>
      <c r="L12" s="88" t="n">
        <v>23.1</v>
      </c>
      <c r="M12" s="90" t="n">
        <v>38</v>
      </c>
      <c r="N12" s="88" t="n">
        <v>50.6</v>
      </c>
      <c r="O12" s="89" t="n">
        <v>2.634</v>
      </c>
      <c r="P12" s="89" t="n">
        <v>0.052</v>
      </c>
      <c r="Q12" s="89" t="n">
        <v>0.199</v>
      </c>
      <c r="R12" s="88" t="n">
        <v>12.4</v>
      </c>
      <c r="S12" s="90" t="n">
        <v>3882</v>
      </c>
      <c r="T12" s="88" t="n">
        <v>0.1</v>
      </c>
      <c r="U12" s="88" t="n">
        <v>9.4</v>
      </c>
      <c r="V12" s="90" t="n">
        <v>28</v>
      </c>
      <c r="W12" s="88" t="n">
        <v>33.8</v>
      </c>
      <c r="X12" s="89" t="n">
        <v>1.646</v>
      </c>
      <c r="Y12" s="89" t="n">
        <v>0.049</v>
      </c>
      <c r="Z12" s="89" t="n">
        <v>0.197</v>
      </c>
      <c r="AA12" s="88" t="n">
        <v>14.4</v>
      </c>
      <c r="AB12" s="90" t="n">
        <v>2658</v>
      </c>
      <c r="AC12" s="88" t="n">
        <v>0</v>
      </c>
      <c r="AD12" s="88" t="n">
        <v>8.8</v>
      </c>
      <c r="AE12" s="90" t="n">
        <v>19</v>
      </c>
      <c r="AF12" s="88" t="n">
        <v>32.3</v>
      </c>
      <c r="AG12" s="89" t="n">
        <v>2.677</v>
      </c>
      <c r="AH12" s="89" t="n">
        <v>0.083</v>
      </c>
      <c r="AI12" s="88" t="n">
        <v>0</v>
      </c>
      <c r="AJ12" s="90" t="n">
        <v>20</v>
      </c>
      <c r="AK12" s="88" t="n">
        <v>327.7</v>
      </c>
      <c r="AL12" s="89" t="n">
        <v>14.972</v>
      </c>
      <c r="AM12" s="89" t="n">
        <v>0.046</v>
      </c>
      <c r="AN12" s="88" t="n">
        <v>23.1</v>
      </c>
      <c r="AO12" s="19"/>
      <c r="AP12" s="19"/>
      <c r="AQ12" s="19"/>
      <c r="AR12" s="19"/>
      <c r="AS12" s="18" t="n">
        <f aca="false">Table2[[#This Row],[Object_A_._head_time]]+Table2[[#This Row],[Object_B_._head_time]]</f>
        <v>84.4</v>
      </c>
      <c r="AT12" s="18"/>
      <c r="AU12" s="18"/>
      <c r="AV12" s="16"/>
      <c r="AW12" s="18"/>
      <c r="AX12" s="19" t="n">
        <f aca="false">(Table2[[#This Row],[Object_A_._head_time]]/(Table2[[#This Row],[Object_A_._head_time]]+Table2[[#This Row],[Object_B_._head_time]]))</f>
        <v>0.599526066350711</v>
      </c>
      <c r="AY12" s="22" t="s">
        <v>71</v>
      </c>
      <c r="AZ12" s="22" t="s">
        <v>76</v>
      </c>
      <c r="BA12" s="22" t="s">
        <v>72</v>
      </c>
      <c r="BB12" s="90" t="n">
        <v>177</v>
      </c>
      <c r="BC12" s="88" t="n">
        <v>5.9</v>
      </c>
      <c r="BD12" s="88" t="s">
        <v>67</v>
      </c>
      <c r="BE12" s="91" t="n">
        <v>5</v>
      </c>
      <c r="BF12" s="22" t="s">
        <v>101</v>
      </c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87"/>
      <c r="CF12" s="87"/>
      <c r="CG12" s="87"/>
      <c r="CH12" s="87"/>
      <c r="CI12" s="87"/>
      <c r="CJ12" s="87"/>
      <c r="CK12" s="87"/>
      <c r="CL12" s="87"/>
      <c r="CM12" s="87"/>
      <c r="CN12" s="87"/>
      <c r="CO12" s="87"/>
      <c r="CP12" s="87"/>
      <c r="CQ12" s="87"/>
      <c r="CR12" s="87"/>
      <c r="CS12" s="87"/>
      <c r="CT12" s="87"/>
      <c r="CU12" s="92"/>
    </row>
    <row r="13" s="93" customFormat="true" ht="12" hidden="false" customHeight="true" outlineLevel="0" collapsed="false">
      <c r="A13" s="22" t="n">
        <v>55</v>
      </c>
      <c r="B13" s="22" t="s">
        <v>102</v>
      </c>
      <c r="C13" s="22" t="s">
        <v>59</v>
      </c>
      <c r="D13" s="22" t="s">
        <v>79</v>
      </c>
      <c r="E13" s="22" t="s">
        <v>310</v>
      </c>
      <c r="F13" s="22" t="s">
        <v>323</v>
      </c>
      <c r="G13" s="22" t="s">
        <v>328</v>
      </c>
      <c r="H13" s="88" t="n">
        <v>360</v>
      </c>
      <c r="I13" s="89" t="n">
        <v>7.629</v>
      </c>
      <c r="J13" s="89" t="n">
        <v>0.021</v>
      </c>
      <c r="K13" s="89" t="n">
        <v>0.261</v>
      </c>
      <c r="L13" s="88" t="n">
        <v>143.8</v>
      </c>
      <c r="M13" s="90" t="n">
        <v>61</v>
      </c>
      <c r="N13" s="88" t="n">
        <v>168.3</v>
      </c>
      <c r="O13" s="89" t="n">
        <v>1.029</v>
      </c>
      <c r="P13" s="89" t="n">
        <v>0.006</v>
      </c>
      <c r="Q13" s="89" t="n">
        <v>0.233</v>
      </c>
      <c r="R13" s="88" t="n">
        <v>89.7</v>
      </c>
      <c r="S13" s="90" t="n">
        <v>7445</v>
      </c>
      <c r="T13" s="88" t="n">
        <v>111.5</v>
      </c>
      <c r="U13" s="88" t="n">
        <v>154.2</v>
      </c>
      <c r="V13" s="90" t="n">
        <v>12</v>
      </c>
      <c r="W13" s="88" t="n">
        <v>16.5</v>
      </c>
      <c r="X13" s="89" t="n">
        <v>1.029</v>
      </c>
      <c r="Y13" s="89" t="n">
        <v>0.062</v>
      </c>
      <c r="Z13" s="89" t="n">
        <v>0.254</v>
      </c>
      <c r="AA13" s="88" t="n">
        <v>3.2</v>
      </c>
      <c r="AB13" s="90" t="n">
        <v>1130</v>
      </c>
      <c r="AC13" s="88" t="n">
        <v>0</v>
      </c>
      <c r="AD13" s="88" t="n">
        <v>4.2</v>
      </c>
      <c r="AE13" s="90" t="n">
        <v>9</v>
      </c>
      <c r="AF13" s="88" t="n">
        <v>12.1</v>
      </c>
      <c r="AG13" s="89" t="n">
        <v>1.026</v>
      </c>
      <c r="AH13" s="89" t="n">
        <v>0.085</v>
      </c>
      <c r="AI13" s="88" t="n">
        <v>0</v>
      </c>
      <c r="AJ13" s="90" t="n">
        <v>10</v>
      </c>
      <c r="AK13" s="88" t="n">
        <v>347.9</v>
      </c>
      <c r="AL13" s="89" t="n">
        <v>6.602</v>
      </c>
      <c r="AM13" s="89" t="n">
        <v>0.019</v>
      </c>
      <c r="AN13" s="88" t="n">
        <v>143.8</v>
      </c>
      <c r="AO13" s="19"/>
      <c r="AP13" s="19"/>
      <c r="AQ13" s="19"/>
      <c r="AR13" s="19"/>
      <c r="AS13" s="18" t="n">
        <f aca="false">Table2[[#This Row],[Object_A_._head_time]]+Table2[[#This Row],[Object_B_._head_time]]</f>
        <v>184.8</v>
      </c>
      <c r="AT13" s="18"/>
      <c r="AU13" s="18"/>
      <c r="AV13" s="16"/>
      <c r="AW13" s="18"/>
      <c r="AX13" s="26" t="n">
        <f aca="false">(Table2[[#This Row],[Object_A_._head_time]]/(Table2[[#This Row],[Object_A_._head_time]]+Table2[[#This Row],[Object_B_._head_time]]))</f>
        <v>0.910714285714286</v>
      </c>
      <c r="AY13" s="22" t="s">
        <v>71</v>
      </c>
      <c r="AZ13" s="22" t="s">
        <v>76</v>
      </c>
      <c r="BA13" s="22" t="s">
        <v>72</v>
      </c>
      <c r="BB13" s="90" t="n">
        <v>177</v>
      </c>
      <c r="BC13" s="88" t="n">
        <v>5.9</v>
      </c>
      <c r="BD13" s="88" t="s">
        <v>81</v>
      </c>
      <c r="BE13" s="91" t="n">
        <v>6</v>
      </c>
      <c r="BF13" s="22"/>
      <c r="BG13" s="87"/>
      <c r="BH13" s="87"/>
      <c r="BI13" s="87"/>
      <c r="BJ13" s="87"/>
      <c r="BK13" s="87"/>
      <c r="BL13" s="87"/>
      <c r="BM13" s="87"/>
      <c r="BN13" s="87"/>
      <c r="BO13" s="87"/>
      <c r="BP13" s="87"/>
      <c r="BQ13" s="87"/>
      <c r="BR13" s="87"/>
      <c r="BS13" s="87"/>
      <c r="BT13" s="87"/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87"/>
      <c r="CF13" s="87"/>
      <c r="CG13" s="87"/>
      <c r="CH13" s="87"/>
      <c r="CI13" s="87"/>
      <c r="CJ13" s="87"/>
      <c r="CK13" s="87"/>
      <c r="CL13" s="87"/>
      <c r="CM13" s="87"/>
      <c r="CN13" s="87"/>
      <c r="CO13" s="87"/>
      <c r="CP13" s="87"/>
      <c r="CQ13" s="87"/>
      <c r="CR13" s="87"/>
      <c r="CS13" s="87"/>
      <c r="CT13" s="87"/>
      <c r="CU13" s="92"/>
    </row>
    <row r="14" s="93" customFormat="true" ht="12" hidden="false" customHeight="true" outlineLevel="0" collapsed="false">
      <c r="A14" s="22" t="n">
        <v>59</v>
      </c>
      <c r="B14" s="22" t="s">
        <v>107</v>
      </c>
      <c r="C14" s="22" t="s">
        <v>59</v>
      </c>
      <c r="D14" s="22" t="s">
        <v>60</v>
      </c>
      <c r="E14" s="22" t="s">
        <v>310</v>
      </c>
      <c r="F14" s="22" t="s">
        <v>329</v>
      </c>
      <c r="G14" s="22" t="s">
        <v>330</v>
      </c>
      <c r="H14" s="88" t="n">
        <v>360</v>
      </c>
      <c r="I14" s="89" t="n">
        <v>33.621</v>
      </c>
      <c r="J14" s="89" t="n">
        <v>0.093</v>
      </c>
      <c r="K14" s="89" t="n">
        <v>0.372</v>
      </c>
      <c r="L14" s="88" t="n">
        <v>0</v>
      </c>
      <c r="M14" s="90" t="n">
        <v>62</v>
      </c>
      <c r="N14" s="88" t="n">
        <v>56.7</v>
      </c>
      <c r="O14" s="89" t="n">
        <v>4.718</v>
      </c>
      <c r="P14" s="89" t="n">
        <v>0.083</v>
      </c>
      <c r="Q14" s="89" t="n">
        <v>0.301</v>
      </c>
      <c r="R14" s="88" t="n">
        <v>14.3</v>
      </c>
      <c r="S14" s="90" t="n">
        <v>6115</v>
      </c>
      <c r="T14" s="88" t="n">
        <v>0</v>
      </c>
      <c r="U14" s="88" t="n">
        <v>11.8</v>
      </c>
      <c r="V14" s="90" t="n">
        <v>52</v>
      </c>
      <c r="W14" s="88" t="n">
        <v>40.8</v>
      </c>
      <c r="X14" s="89" t="n">
        <v>4.082</v>
      </c>
      <c r="Y14" s="89" t="n">
        <v>0.1</v>
      </c>
      <c r="Z14" s="89" t="n">
        <v>0.312</v>
      </c>
      <c r="AA14" s="88" t="n">
        <v>11.3</v>
      </c>
      <c r="AB14" s="90" t="n">
        <v>4322</v>
      </c>
      <c r="AC14" s="88" t="n">
        <v>0</v>
      </c>
      <c r="AD14" s="88" t="n">
        <v>14.9</v>
      </c>
      <c r="AE14" s="90" t="n">
        <v>42</v>
      </c>
      <c r="AF14" s="88" t="n">
        <v>55.5</v>
      </c>
      <c r="AG14" s="89" t="n">
        <v>6.109</v>
      </c>
      <c r="AH14" s="89" t="n">
        <v>0.11</v>
      </c>
      <c r="AI14" s="88" t="n">
        <v>0</v>
      </c>
      <c r="AJ14" s="90" t="n">
        <v>42</v>
      </c>
      <c r="AK14" s="88" t="n">
        <v>304.5</v>
      </c>
      <c r="AL14" s="89" t="n">
        <v>27.513</v>
      </c>
      <c r="AM14" s="89" t="n">
        <v>0.09</v>
      </c>
      <c r="AN14" s="88" t="n">
        <v>0</v>
      </c>
      <c r="AO14" s="19"/>
      <c r="AP14" s="19"/>
      <c r="AQ14" s="19"/>
      <c r="AR14" s="19"/>
      <c r="AS14" s="18" t="n">
        <f aca="false">Table2[[#This Row],[Object_A_._head_time]]+Table2[[#This Row],[Object_B_._head_time]]</f>
        <v>97.5</v>
      </c>
      <c r="AT14" s="18"/>
      <c r="AU14" s="18"/>
      <c r="AV14" s="16"/>
      <c r="AW14" s="18"/>
      <c r="AX14" s="19" t="n">
        <f aca="false">(Table2[[#This Row],[Object_A_._head_time]]/(Table2[[#This Row],[Object_A_._head_time]]+Table2[[#This Row],[Object_B_._head_time]]))</f>
        <v>0.581538461538462</v>
      </c>
      <c r="AY14" s="22" t="s">
        <v>64</v>
      </c>
      <c r="AZ14" s="22" t="s">
        <v>65</v>
      </c>
      <c r="BA14" s="22" t="s">
        <v>66</v>
      </c>
      <c r="BB14" s="90" t="n">
        <v>169</v>
      </c>
      <c r="BC14" s="88" t="n">
        <v>5.63333333333333</v>
      </c>
      <c r="BD14" s="22" t="s">
        <v>81</v>
      </c>
      <c r="BE14" s="91" t="n">
        <v>4</v>
      </c>
      <c r="BF14" s="22" t="s">
        <v>109</v>
      </c>
      <c r="BG14" s="87"/>
      <c r="BH14" s="87"/>
      <c r="BI14" s="87"/>
      <c r="BJ14" s="87"/>
      <c r="BK14" s="87"/>
      <c r="BL14" s="87"/>
      <c r="BM14" s="87"/>
      <c r="BN14" s="87"/>
      <c r="BO14" s="87"/>
      <c r="BP14" s="87"/>
      <c r="BQ14" s="87"/>
      <c r="BR14" s="87"/>
      <c r="BS14" s="87"/>
      <c r="BT14" s="87"/>
      <c r="BU14" s="87"/>
      <c r="BV14" s="87"/>
      <c r="BW14" s="87"/>
      <c r="BX14" s="87"/>
      <c r="BY14" s="87"/>
      <c r="BZ14" s="87"/>
      <c r="CA14" s="87"/>
      <c r="CB14" s="87"/>
      <c r="CC14" s="87"/>
      <c r="CD14" s="87"/>
      <c r="CE14" s="87"/>
      <c r="CF14" s="87"/>
      <c r="CG14" s="87"/>
      <c r="CH14" s="87"/>
      <c r="CI14" s="87"/>
      <c r="CJ14" s="87"/>
      <c r="CK14" s="87"/>
      <c r="CL14" s="87"/>
      <c r="CM14" s="87"/>
      <c r="CN14" s="87"/>
      <c r="CO14" s="87"/>
      <c r="CP14" s="87"/>
      <c r="CQ14" s="87"/>
      <c r="CR14" s="87"/>
      <c r="CS14" s="87"/>
      <c r="CT14" s="87"/>
      <c r="CU14" s="92"/>
    </row>
    <row r="15" s="93" customFormat="true" ht="12" hidden="false" customHeight="true" outlineLevel="0" collapsed="false">
      <c r="A15" s="22" t="n">
        <v>57</v>
      </c>
      <c r="B15" s="22" t="s">
        <v>110</v>
      </c>
      <c r="C15" s="22" t="s">
        <v>59</v>
      </c>
      <c r="D15" s="22" t="s">
        <v>69</v>
      </c>
      <c r="E15" s="22" t="s">
        <v>310</v>
      </c>
      <c r="F15" s="22" t="s">
        <v>331</v>
      </c>
      <c r="G15" s="22" t="s">
        <v>332</v>
      </c>
      <c r="H15" s="88" t="n">
        <v>360</v>
      </c>
      <c r="I15" s="89" t="n">
        <v>11.64</v>
      </c>
      <c r="J15" s="89" t="n">
        <v>0.032</v>
      </c>
      <c r="K15" s="89" t="n">
        <v>0.233</v>
      </c>
      <c r="L15" s="88" t="n">
        <v>56.4</v>
      </c>
      <c r="M15" s="90" t="n">
        <v>23</v>
      </c>
      <c r="N15" s="88" t="n">
        <v>51.5</v>
      </c>
      <c r="O15" s="89" t="n">
        <v>1.713</v>
      </c>
      <c r="P15" s="89" t="n">
        <v>0.033</v>
      </c>
      <c r="Q15" s="89" t="n">
        <v>0.201</v>
      </c>
      <c r="R15" s="88" t="n">
        <v>23.3</v>
      </c>
      <c r="S15" s="90" t="n">
        <v>2548</v>
      </c>
      <c r="T15" s="88" t="n">
        <v>7.1</v>
      </c>
      <c r="U15" s="88" t="n">
        <v>28.8</v>
      </c>
      <c r="V15" s="90" t="n">
        <v>36</v>
      </c>
      <c r="W15" s="88" t="n">
        <v>58.4</v>
      </c>
      <c r="X15" s="89" t="n">
        <v>2.501</v>
      </c>
      <c r="Y15" s="89" t="n">
        <v>0.043</v>
      </c>
      <c r="Z15" s="89" t="n">
        <v>0.193</v>
      </c>
      <c r="AA15" s="88" t="n">
        <v>11.7</v>
      </c>
      <c r="AB15" s="90" t="n">
        <v>4323</v>
      </c>
      <c r="AC15" s="88" t="n">
        <v>1.9</v>
      </c>
      <c r="AD15" s="88" t="n">
        <v>7.9</v>
      </c>
      <c r="AE15" s="90" t="n">
        <v>17</v>
      </c>
      <c r="AF15" s="88" t="n">
        <v>23</v>
      </c>
      <c r="AG15" s="89" t="n">
        <v>1.603</v>
      </c>
      <c r="AH15" s="89" t="n">
        <v>0.07</v>
      </c>
      <c r="AI15" s="88" t="n">
        <v>0</v>
      </c>
      <c r="AJ15" s="90" t="n">
        <v>19</v>
      </c>
      <c r="AK15" s="88" t="n">
        <v>336.9</v>
      </c>
      <c r="AL15" s="89" t="n">
        <v>10.038</v>
      </c>
      <c r="AM15" s="89" t="n">
        <v>0.03</v>
      </c>
      <c r="AN15" s="88" t="n">
        <v>56.4</v>
      </c>
      <c r="AO15" s="19"/>
      <c r="AP15" s="19"/>
      <c r="AQ15" s="19"/>
      <c r="AR15" s="19"/>
      <c r="AS15" s="18" t="n">
        <f aca="false">Table2[[#This Row],[Object_A_._head_time]]+Table2[[#This Row],[Object_B_._head_time]]</f>
        <v>109.9</v>
      </c>
      <c r="AT15" s="18"/>
      <c r="AU15" s="18"/>
      <c r="AV15" s="16"/>
      <c r="AW15" s="18"/>
      <c r="AX15" s="19" t="n">
        <f aca="false">(Table2[[#This Row],[Object_A_._head_time]]/(Table2[[#This Row],[Object_A_._head_time]]+Table2[[#This Row],[Object_B_._head_time]]))</f>
        <v>0.468607825295723</v>
      </c>
      <c r="AY15" s="22" t="s">
        <v>71</v>
      </c>
      <c r="AZ15" s="22" t="s">
        <v>65</v>
      </c>
      <c r="BA15" s="22" t="s">
        <v>72</v>
      </c>
      <c r="BB15" s="90" t="n">
        <v>169</v>
      </c>
      <c r="BC15" s="88" t="n">
        <v>5.63333333333333</v>
      </c>
      <c r="BD15" s="22" t="s">
        <v>67</v>
      </c>
      <c r="BE15" s="91" t="n">
        <v>1</v>
      </c>
      <c r="BF15" s="22"/>
      <c r="BG15" s="87"/>
      <c r="BH15" s="87"/>
      <c r="BI15" s="87"/>
      <c r="BJ15" s="87"/>
      <c r="BK15" s="87"/>
      <c r="BL15" s="87"/>
      <c r="BM15" s="87"/>
      <c r="BN15" s="87"/>
      <c r="BO15" s="87"/>
      <c r="BP15" s="87"/>
      <c r="BQ15" s="87"/>
      <c r="BR15" s="87"/>
      <c r="BS15" s="87"/>
      <c r="BT15" s="87"/>
      <c r="BU15" s="87"/>
      <c r="BV15" s="87"/>
      <c r="BW15" s="87"/>
      <c r="BX15" s="87"/>
      <c r="BY15" s="87"/>
      <c r="BZ15" s="87"/>
      <c r="CA15" s="87"/>
      <c r="CB15" s="87"/>
      <c r="CC15" s="87"/>
      <c r="CD15" s="87"/>
      <c r="CE15" s="87"/>
      <c r="CF15" s="87"/>
      <c r="CG15" s="87"/>
      <c r="CH15" s="87"/>
      <c r="CI15" s="87"/>
      <c r="CJ15" s="87"/>
      <c r="CK15" s="87"/>
      <c r="CL15" s="87"/>
      <c r="CM15" s="87"/>
      <c r="CN15" s="87"/>
      <c r="CO15" s="87"/>
      <c r="CP15" s="87"/>
      <c r="CQ15" s="87"/>
      <c r="CR15" s="87"/>
      <c r="CS15" s="87"/>
      <c r="CT15" s="87"/>
      <c r="CU15" s="92"/>
    </row>
    <row r="16" s="93" customFormat="true" ht="12" hidden="false" customHeight="true" outlineLevel="0" collapsed="false">
      <c r="A16" s="22" t="n">
        <v>56</v>
      </c>
      <c r="B16" s="22" t="s">
        <v>112</v>
      </c>
      <c r="C16" s="22" t="s">
        <v>59</v>
      </c>
      <c r="D16" s="22" t="s">
        <v>74</v>
      </c>
      <c r="E16" s="22" t="s">
        <v>310</v>
      </c>
      <c r="F16" s="22" t="s">
        <v>331</v>
      </c>
      <c r="G16" s="22" t="s">
        <v>333</v>
      </c>
      <c r="H16" s="88" t="n">
        <v>360</v>
      </c>
      <c r="I16" s="89" t="n">
        <v>39.436</v>
      </c>
      <c r="J16" s="89" t="n">
        <v>0.11</v>
      </c>
      <c r="K16" s="89" t="n">
        <v>0.393</v>
      </c>
      <c r="L16" s="88" t="n">
        <v>3.7</v>
      </c>
      <c r="M16" s="90" t="n">
        <v>68</v>
      </c>
      <c r="N16" s="88" t="n">
        <v>39.5</v>
      </c>
      <c r="O16" s="89" t="n">
        <v>4.197</v>
      </c>
      <c r="P16" s="89" t="n">
        <v>0.106</v>
      </c>
      <c r="Q16" s="89" t="n">
        <v>0.304</v>
      </c>
      <c r="R16" s="88" t="n">
        <v>11.3</v>
      </c>
      <c r="S16" s="90" t="n">
        <v>3881</v>
      </c>
      <c r="T16" s="88" t="n">
        <v>0</v>
      </c>
      <c r="U16" s="88" t="n">
        <v>16.3</v>
      </c>
      <c r="V16" s="90" t="n">
        <v>57</v>
      </c>
      <c r="W16" s="88" t="n">
        <v>41.1</v>
      </c>
      <c r="X16" s="89" t="n">
        <v>3.904</v>
      </c>
      <c r="Y16" s="89" t="n">
        <v>0.095</v>
      </c>
      <c r="Z16" s="89" t="n">
        <v>0.291</v>
      </c>
      <c r="AA16" s="88" t="n">
        <v>14.3</v>
      </c>
      <c r="AB16" s="90" t="n">
        <v>3596</v>
      </c>
      <c r="AC16" s="88" t="n">
        <v>0</v>
      </c>
      <c r="AD16" s="88" t="n">
        <v>19</v>
      </c>
      <c r="AE16" s="90" t="n">
        <v>45</v>
      </c>
      <c r="AF16" s="88" t="n">
        <v>40.2</v>
      </c>
      <c r="AG16" s="89" t="n">
        <v>6.083</v>
      </c>
      <c r="AH16" s="89" t="n">
        <v>0.151</v>
      </c>
      <c r="AI16" s="88" t="n">
        <v>0</v>
      </c>
      <c r="AJ16" s="90" t="n">
        <v>46</v>
      </c>
      <c r="AK16" s="88" t="n">
        <v>319.8</v>
      </c>
      <c r="AL16" s="89" t="n">
        <v>33.352</v>
      </c>
      <c r="AM16" s="89" t="n">
        <v>0.104</v>
      </c>
      <c r="AN16" s="88" t="n">
        <v>3.7</v>
      </c>
      <c r="AO16" s="19"/>
      <c r="AP16" s="19"/>
      <c r="AQ16" s="19"/>
      <c r="AR16" s="19"/>
      <c r="AS16" s="18" t="n">
        <f aca="false">Table2[[#This Row],[Object_A_._head_time]]+Table2[[#This Row],[Object_B_._head_time]]</f>
        <v>80.6</v>
      </c>
      <c r="AT16" s="18"/>
      <c r="AU16" s="18"/>
      <c r="AV16" s="16"/>
      <c r="AW16" s="18"/>
      <c r="AX16" s="19" t="n">
        <f aca="false">(Table2[[#This Row],[Object_A_._head_time]]/(Table2[[#This Row],[Object_A_._head_time]]+Table2[[#This Row],[Object_B_._head_time]]))</f>
        <v>0.490074441687345</v>
      </c>
      <c r="AY16" s="22" t="s">
        <v>71</v>
      </c>
      <c r="AZ16" s="22" t="s">
        <v>76</v>
      </c>
      <c r="BA16" s="22" t="s">
        <v>66</v>
      </c>
      <c r="BB16" s="90" t="n">
        <v>169</v>
      </c>
      <c r="BC16" s="88" t="n">
        <v>5.63333333333333</v>
      </c>
      <c r="BD16" s="22" t="s">
        <v>67</v>
      </c>
      <c r="BE16" s="91" t="n">
        <v>7</v>
      </c>
      <c r="BF16" s="22"/>
      <c r="BG16" s="87"/>
      <c r="BH16" s="87"/>
      <c r="BI16" s="87"/>
      <c r="BJ16" s="87"/>
      <c r="BK16" s="87"/>
      <c r="BL16" s="87"/>
      <c r="BM16" s="87"/>
      <c r="BN16" s="87"/>
      <c r="BO16" s="87"/>
      <c r="BP16" s="87"/>
      <c r="BQ16" s="87"/>
      <c r="BR16" s="87"/>
      <c r="BS16" s="87"/>
      <c r="BT16" s="87"/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87"/>
      <c r="CF16" s="87"/>
      <c r="CG16" s="87"/>
      <c r="CH16" s="87"/>
      <c r="CI16" s="87"/>
      <c r="CJ16" s="87"/>
      <c r="CK16" s="87"/>
      <c r="CL16" s="87"/>
      <c r="CM16" s="87"/>
      <c r="CN16" s="87"/>
      <c r="CO16" s="87"/>
      <c r="CP16" s="87"/>
      <c r="CQ16" s="87"/>
      <c r="CR16" s="87"/>
      <c r="CS16" s="87"/>
      <c r="CT16" s="87"/>
      <c r="CU16" s="92"/>
    </row>
    <row r="17" s="93" customFormat="true" ht="12" hidden="false" customHeight="true" outlineLevel="0" collapsed="false">
      <c r="A17" s="22" t="n">
        <v>58</v>
      </c>
      <c r="B17" s="22" t="s">
        <v>114</v>
      </c>
      <c r="C17" s="22" t="s">
        <v>59</v>
      </c>
      <c r="D17" s="22" t="s">
        <v>79</v>
      </c>
      <c r="E17" s="22" t="s">
        <v>310</v>
      </c>
      <c r="F17" s="22" t="s">
        <v>331</v>
      </c>
      <c r="G17" s="22" t="s">
        <v>334</v>
      </c>
      <c r="H17" s="88" t="n">
        <v>360</v>
      </c>
      <c r="I17" s="89" t="n">
        <v>5.077</v>
      </c>
      <c r="J17" s="89" t="n">
        <v>0.014</v>
      </c>
      <c r="K17" s="89" t="n">
        <v>0.218</v>
      </c>
      <c r="L17" s="88" t="n">
        <v>143.3</v>
      </c>
      <c r="M17" s="90" t="n">
        <v>6</v>
      </c>
      <c r="N17" s="88" t="n">
        <v>3.9</v>
      </c>
      <c r="O17" s="89" t="n">
        <v>0.112</v>
      </c>
      <c r="P17" s="89" t="n">
        <v>0.028</v>
      </c>
      <c r="Q17" s="89" t="n">
        <v>0.189</v>
      </c>
      <c r="R17" s="88" t="n">
        <v>2.3</v>
      </c>
      <c r="S17" s="90" t="n">
        <v>289</v>
      </c>
      <c r="T17" s="88" t="n">
        <v>0</v>
      </c>
      <c r="U17" s="88" t="n">
        <v>2.3</v>
      </c>
      <c r="V17" s="90" t="n">
        <v>14</v>
      </c>
      <c r="W17" s="88" t="n">
        <v>11.4</v>
      </c>
      <c r="X17" s="89" t="n">
        <v>0.161</v>
      </c>
      <c r="Y17" s="89" t="n">
        <v>0.014</v>
      </c>
      <c r="Z17" s="89" t="n">
        <v>0.216</v>
      </c>
      <c r="AA17" s="88" t="n">
        <v>6.3</v>
      </c>
      <c r="AB17" s="90" t="n">
        <v>826</v>
      </c>
      <c r="AC17" s="88" t="n">
        <v>0</v>
      </c>
      <c r="AD17" s="88" t="n">
        <v>11.4</v>
      </c>
      <c r="AE17" s="90" t="n">
        <v>1</v>
      </c>
      <c r="AF17" s="88" t="n">
        <v>0.9</v>
      </c>
      <c r="AG17" s="89" t="n">
        <v>0.027</v>
      </c>
      <c r="AH17" s="89" t="n">
        <v>0.032</v>
      </c>
      <c r="AI17" s="88" t="n">
        <v>0</v>
      </c>
      <c r="AJ17" s="90" t="n">
        <v>1</v>
      </c>
      <c r="AK17" s="88" t="n">
        <v>359.1</v>
      </c>
      <c r="AL17" s="89" t="n">
        <v>5.049</v>
      </c>
      <c r="AM17" s="89" t="n">
        <v>0.014</v>
      </c>
      <c r="AN17" s="88" t="n">
        <v>143.3</v>
      </c>
      <c r="AO17" s="19"/>
      <c r="AP17" s="19"/>
      <c r="AQ17" s="19"/>
      <c r="AR17" s="19"/>
      <c r="AS17" s="18" t="n">
        <f aca="false">Table2[[#This Row],[Object_A_._head_time]]+Table2[[#This Row],[Object_B_._head_time]]</f>
        <v>15.3</v>
      </c>
      <c r="AT17" s="18"/>
      <c r="AU17" s="18"/>
      <c r="AV17" s="16"/>
      <c r="AW17" s="18"/>
      <c r="AX17" s="19" t="n">
        <f aca="false">(Table2[[#This Row],[Object_A_._head_time]]/(Table2[[#This Row],[Object_A_._head_time]]+Table2[[#This Row],[Object_B_._head_time]]))</f>
        <v>0.254901960784314</v>
      </c>
      <c r="AY17" s="22" t="s">
        <v>71</v>
      </c>
      <c r="AZ17" s="22" t="s">
        <v>65</v>
      </c>
      <c r="BA17" s="22" t="s">
        <v>66</v>
      </c>
      <c r="BB17" s="90" t="n">
        <v>169</v>
      </c>
      <c r="BC17" s="88" t="n">
        <v>5.63333333333333</v>
      </c>
      <c r="BD17" s="22" t="s">
        <v>67</v>
      </c>
      <c r="BE17" s="91" t="n">
        <v>3</v>
      </c>
      <c r="BF17" s="22"/>
      <c r="BG17" s="87"/>
      <c r="BH17" s="87"/>
      <c r="BI17" s="87"/>
      <c r="BJ17" s="87"/>
      <c r="BK17" s="87"/>
      <c r="BL17" s="87"/>
      <c r="BM17" s="87"/>
      <c r="BN17" s="87"/>
      <c r="BO17" s="87"/>
      <c r="BP17" s="87"/>
      <c r="BQ17" s="87"/>
      <c r="BR17" s="87"/>
      <c r="BS17" s="87"/>
      <c r="BT17" s="87"/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87"/>
      <c r="CF17" s="87"/>
      <c r="CG17" s="87"/>
      <c r="CH17" s="87"/>
      <c r="CI17" s="87"/>
      <c r="CJ17" s="87"/>
      <c r="CK17" s="87"/>
      <c r="CL17" s="87"/>
      <c r="CM17" s="87"/>
      <c r="CN17" s="87"/>
      <c r="CO17" s="87"/>
      <c r="CP17" s="87"/>
      <c r="CQ17" s="87"/>
      <c r="CR17" s="87"/>
      <c r="CS17" s="87"/>
      <c r="CT17" s="87"/>
      <c r="CU17" s="92"/>
    </row>
    <row r="18" s="93" customFormat="true" ht="12" hidden="false" customHeight="true" outlineLevel="0" collapsed="false">
      <c r="A18" s="22" t="n">
        <v>63</v>
      </c>
      <c r="B18" s="22" t="s">
        <v>117</v>
      </c>
      <c r="C18" s="22" t="s">
        <v>59</v>
      </c>
      <c r="D18" s="22" t="s">
        <v>60</v>
      </c>
      <c r="E18" s="22" t="s">
        <v>310</v>
      </c>
      <c r="F18" s="22" t="s">
        <v>335</v>
      </c>
      <c r="G18" s="22" t="s">
        <v>336</v>
      </c>
      <c r="H18" s="88" t="n">
        <v>360</v>
      </c>
      <c r="I18" s="89" t="n">
        <v>8.354</v>
      </c>
      <c r="J18" s="89" t="n">
        <v>0.023</v>
      </c>
      <c r="K18" s="89" t="n">
        <v>0.309</v>
      </c>
      <c r="L18" s="88" t="n">
        <v>158.5</v>
      </c>
      <c r="M18" s="90" t="n">
        <v>48</v>
      </c>
      <c r="N18" s="88" t="n">
        <v>123.7</v>
      </c>
      <c r="O18" s="89" t="n">
        <v>1.515</v>
      </c>
      <c r="P18" s="89" t="n">
        <v>0.012</v>
      </c>
      <c r="Q18" s="89" t="n">
        <v>0.309</v>
      </c>
      <c r="R18" s="88" t="n">
        <v>34.1</v>
      </c>
      <c r="S18" s="90" t="n">
        <v>9177</v>
      </c>
      <c r="T18" s="88" t="n">
        <v>63.5</v>
      </c>
      <c r="U18" s="88" t="n">
        <v>66.8</v>
      </c>
      <c r="V18" s="90" t="n">
        <v>52</v>
      </c>
      <c r="W18" s="88" t="n">
        <v>74.6</v>
      </c>
      <c r="X18" s="89" t="n">
        <v>0.659</v>
      </c>
      <c r="Y18" s="89" t="n">
        <v>0.009</v>
      </c>
      <c r="Z18" s="89" t="n">
        <v>0.292</v>
      </c>
      <c r="AA18" s="88" t="n">
        <v>23.2</v>
      </c>
      <c r="AB18" s="90" t="n">
        <v>3105</v>
      </c>
      <c r="AC18" s="88" t="n">
        <v>49.3</v>
      </c>
      <c r="AD18" s="88" t="n">
        <v>58.7</v>
      </c>
      <c r="AE18" s="90" t="n">
        <v>17</v>
      </c>
      <c r="AF18" s="88" t="n">
        <v>19.8</v>
      </c>
      <c r="AG18" s="89" t="n">
        <v>1.465</v>
      </c>
      <c r="AH18" s="89" t="n">
        <v>0.074</v>
      </c>
      <c r="AI18" s="88" t="n">
        <v>1.1</v>
      </c>
      <c r="AJ18" s="90" t="n">
        <v>17</v>
      </c>
      <c r="AK18" s="88" t="n">
        <v>340.2</v>
      </c>
      <c r="AL18" s="89" t="n">
        <v>6.888</v>
      </c>
      <c r="AM18" s="89" t="n">
        <v>0.02</v>
      </c>
      <c r="AN18" s="88" t="n">
        <v>157.4</v>
      </c>
      <c r="AO18" s="19"/>
      <c r="AP18" s="19"/>
      <c r="AQ18" s="19"/>
      <c r="AR18" s="19"/>
      <c r="AS18" s="18" t="n">
        <f aca="false">Table2[[#This Row],[Object_A_._head_time]]+Table2[[#This Row],[Object_B_._head_time]]</f>
        <v>198.3</v>
      </c>
      <c r="AT18" s="18"/>
      <c r="AU18" s="18"/>
      <c r="AV18" s="16"/>
      <c r="AW18" s="18"/>
      <c r="AX18" s="19" t="n">
        <f aca="false">(Table2[[#This Row],[Object_A_._head_time]]/(Table2[[#This Row],[Object_A_._head_time]]+Table2[[#This Row],[Object_B_._head_time]]))</f>
        <v>0.6238023197176</v>
      </c>
      <c r="AY18" s="22" t="s">
        <v>64</v>
      </c>
      <c r="AZ18" s="22" t="s">
        <v>65</v>
      </c>
      <c r="BA18" s="22" t="s">
        <v>66</v>
      </c>
      <c r="BB18" s="90" t="n">
        <v>159</v>
      </c>
      <c r="BC18" s="88" t="n">
        <v>5.3</v>
      </c>
      <c r="BD18" s="22" t="s">
        <v>67</v>
      </c>
      <c r="BE18" s="91" t="n">
        <v>3</v>
      </c>
      <c r="BF18" s="22"/>
      <c r="BG18" s="87"/>
      <c r="BH18" s="87"/>
      <c r="BI18" s="87"/>
      <c r="BJ18" s="87"/>
      <c r="BK18" s="87"/>
      <c r="BL18" s="87"/>
      <c r="BM18" s="87"/>
      <c r="BN18" s="87"/>
      <c r="BO18" s="87"/>
      <c r="BP18" s="87"/>
      <c r="BQ18" s="87"/>
      <c r="BR18" s="87"/>
      <c r="BS18" s="87"/>
      <c r="BT18" s="87"/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87"/>
      <c r="CF18" s="87"/>
      <c r="CG18" s="87"/>
      <c r="CH18" s="87"/>
      <c r="CI18" s="87"/>
      <c r="CJ18" s="87"/>
      <c r="CK18" s="87"/>
      <c r="CL18" s="87"/>
      <c r="CM18" s="87"/>
      <c r="CN18" s="87"/>
      <c r="CO18" s="87"/>
      <c r="CP18" s="87"/>
      <c r="CQ18" s="87"/>
      <c r="CR18" s="87"/>
      <c r="CS18" s="87"/>
      <c r="CT18" s="87"/>
      <c r="CU18" s="92"/>
    </row>
    <row r="19" s="93" customFormat="true" ht="12" hidden="false" customHeight="true" outlineLevel="0" collapsed="false">
      <c r="A19" s="22" t="n">
        <v>62</v>
      </c>
      <c r="B19" s="22" t="s">
        <v>119</v>
      </c>
      <c r="C19" s="22" t="s">
        <v>59</v>
      </c>
      <c r="D19" s="22" t="s">
        <v>69</v>
      </c>
      <c r="E19" s="22" t="s">
        <v>310</v>
      </c>
      <c r="F19" s="22" t="s">
        <v>335</v>
      </c>
      <c r="G19" s="22" t="s">
        <v>337</v>
      </c>
      <c r="H19" s="88" t="n">
        <v>360</v>
      </c>
      <c r="I19" s="89" t="n">
        <v>13.321</v>
      </c>
      <c r="J19" s="89" t="n">
        <v>0.037</v>
      </c>
      <c r="K19" s="89" t="n">
        <v>0.239</v>
      </c>
      <c r="L19" s="88" t="n">
        <v>65</v>
      </c>
      <c r="M19" s="90" t="n">
        <v>31</v>
      </c>
      <c r="N19" s="88" t="n">
        <v>48</v>
      </c>
      <c r="O19" s="89" t="n">
        <v>1.905</v>
      </c>
      <c r="P19" s="89" t="n">
        <v>0.04</v>
      </c>
      <c r="Q19" s="89" t="n">
        <v>0.216</v>
      </c>
      <c r="R19" s="88" t="n">
        <v>9.5</v>
      </c>
      <c r="S19" s="90" t="n">
        <v>4387</v>
      </c>
      <c r="T19" s="88" t="n">
        <v>4.5</v>
      </c>
      <c r="U19" s="88" t="n">
        <v>7.3</v>
      </c>
      <c r="V19" s="90" t="n">
        <v>41</v>
      </c>
      <c r="W19" s="88" t="n">
        <v>37.9</v>
      </c>
      <c r="X19" s="89" t="n">
        <v>2.498</v>
      </c>
      <c r="Y19" s="89" t="n">
        <v>0.066</v>
      </c>
      <c r="Z19" s="89" t="n">
        <v>0.239</v>
      </c>
      <c r="AA19" s="88" t="n">
        <v>8</v>
      </c>
      <c r="AB19" s="90" t="n">
        <v>4037</v>
      </c>
      <c r="AC19" s="88" t="n">
        <v>0.1</v>
      </c>
      <c r="AD19" s="88" t="n">
        <v>10.2</v>
      </c>
      <c r="AE19" s="90" t="n">
        <v>20</v>
      </c>
      <c r="AF19" s="88" t="n">
        <v>94</v>
      </c>
      <c r="AG19" s="89" t="n">
        <v>3.787</v>
      </c>
      <c r="AH19" s="89" t="n">
        <v>0.04</v>
      </c>
      <c r="AI19" s="88" t="n">
        <v>7.2</v>
      </c>
      <c r="AJ19" s="90" t="n">
        <v>19</v>
      </c>
      <c r="AK19" s="88" t="n">
        <v>266</v>
      </c>
      <c r="AL19" s="89" t="n">
        <v>9.534</v>
      </c>
      <c r="AM19" s="89" t="n">
        <v>0.036</v>
      </c>
      <c r="AN19" s="88" t="n">
        <v>57.8</v>
      </c>
      <c r="AO19" s="19"/>
      <c r="AP19" s="19"/>
      <c r="AQ19" s="19"/>
      <c r="AR19" s="19"/>
      <c r="AS19" s="18" t="n">
        <f aca="false">Table2[[#This Row],[Object_A_._head_time]]+Table2[[#This Row],[Object_B_._head_time]]</f>
        <v>85.9</v>
      </c>
      <c r="AT19" s="18"/>
      <c r="AU19" s="18"/>
      <c r="AV19" s="16"/>
      <c r="AW19" s="18"/>
      <c r="AX19" s="19" t="n">
        <f aca="false">(Table2[[#This Row],[Object_A_._head_time]]/(Table2[[#This Row],[Object_A_._head_time]]+Table2[[#This Row],[Object_B_._head_time]]))</f>
        <v>0.558789289871944</v>
      </c>
      <c r="AY19" s="22" t="s">
        <v>64</v>
      </c>
      <c r="AZ19" s="22" t="s">
        <v>76</v>
      </c>
      <c r="BA19" s="22" t="s">
        <v>66</v>
      </c>
      <c r="BB19" s="90" t="n">
        <v>159</v>
      </c>
      <c r="BC19" s="88" t="n">
        <v>5.3</v>
      </c>
      <c r="BD19" s="22" t="s">
        <v>81</v>
      </c>
      <c r="BE19" s="91" t="n">
        <v>8</v>
      </c>
      <c r="BF19" s="22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7"/>
      <c r="BY19" s="87"/>
      <c r="BZ19" s="87"/>
      <c r="CA19" s="87"/>
      <c r="CB19" s="87"/>
      <c r="CC19" s="87"/>
      <c r="CD19" s="87"/>
      <c r="CE19" s="87"/>
      <c r="CF19" s="87"/>
      <c r="CG19" s="87"/>
      <c r="CH19" s="87"/>
      <c r="CI19" s="87"/>
      <c r="CJ19" s="87"/>
      <c r="CK19" s="87"/>
      <c r="CL19" s="87"/>
      <c r="CM19" s="87"/>
      <c r="CN19" s="87"/>
      <c r="CO19" s="87"/>
      <c r="CP19" s="87"/>
      <c r="CQ19" s="87"/>
      <c r="CR19" s="87"/>
      <c r="CS19" s="87"/>
      <c r="CT19" s="87"/>
      <c r="CU19" s="92"/>
    </row>
    <row r="20" s="93" customFormat="true" ht="12" hidden="false" customHeight="true" outlineLevel="0" collapsed="false">
      <c r="A20" s="22" t="n">
        <v>61</v>
      </c>
      <c r="B20" s="22" t="s">
        <v>121</v>
      </c>
      <c r="C20" s="22" t="s">
        <v>59</v>
      </c>
      <c r="D20" s="22" t="s">
        <v>74</v>
      </c>
      <c r="E20" s="22" t="s">
        <v>310</v>
      </c>
      <c r="F20" s="22" t="s">
        <v>335</v>
      </c>
      <c r="G20" s="22" t="s">
        <v>338</v>
      </c>
      <c r="H20" s="88" t="n">
        <v>360</v>
      </c>
      <c r="I20" s="89" t="n">
        <v>6.751</v>
      </c>
      <c r="J20" s="89" t="n">
        <v>0.019</v>
      </c>
      <c r="K20" s="89" t="n">
        <v>0.277</v>
      </c>
      <c r="L20" s="88" t="n">
        <v>197.9</v>
      </c>
      <c r="M20" s="90" t="n">
        <v>13</v>
      </c>
      <c r="N20" s="88" t="n">
        <v>9.5</v>
      </c>
      <c r="O20" s="89" t="n">
        <v>0.32</v>
      </c>
      <c r="P20" s="89" t="n">
        <v>0.034</v>
      </c>
      <c r="Q20" s="89" t="n">
        <v>0.2</v>
      </c>
      <c r="R20" s="88" t="n">
        <v>5</v>
      </c>
      <c r="S20" s="90" t="n">
        <v>702</v>
      </c>
      <c r="T20" s="88" t="n">
        <v>0</v>
      </c>
      <c r="U20" s="88" t="n">
        <v>7.4</v>
      </c>
      <c r="V20" s="90" t="n">
        <v>9</v>
      </c>
      <c r="W20" s="88" t="n">
        <v>5.1</v>
      </c>
      <c r="X20" s="89" t="n">
        <v>0.226</v>
      </c>
      <c r="Y20" s="89" t="n">
        <v>0.044</v>
      </c>
      <c r="Z20" s="89" t="n">
        <v>0.206</v>
      </c>
      <c r="AA20" s="88" t="n">
        <v>1.3</v>
      </c>
      <c r="AB20" s="90" t="n">
        <v>472</v>
      </c>
      <c r="AC20" s="88" t="n">
        <v>0</v>
      </c>
      <c r="AD20" s="88" t="n">
        <v>3.5</v>
      </c>
      <c r="AE20" s="90" t="n">
        <v>5</v>
      </c>
      <c r="AF20" s="88" t="n">
        <v>8.8</v>
      </c>
      <c r="AG20" s="89" t="n">
        <v>0.583</v>
      </c>
      <c r="AH20" s="89" t="n">
        <v>0.066</v>
      </c>
      <c r="AI20" s="88" t="n">
        <v>0</v>
      </c>
      <c r="AJ20" s="90" t="n">
        <v>5</v>
      </c>
      <c r="AK20" s="88" t="n">
        <v>351.2</v>
      </c>
      <c r="AL20" s="89" t="n">
        <v>6.168</v>
      </c>
      <c r="AM20" s="89" t="n">
        <v>0.018</v>
      </c>
      <c r="AN20" s="88" t="n">
        <v>197.9</v>
      </c>
      <c r="AO20" s="19"/>
      <c r="AP20" s="19"/>
      <c r="AQ20" s="19"/>
      <c r="AR20" s="19"/>
      <c r="AS20" s="18" t="n">
        <f aca="false">Table2[[#This Row],[Object_A_._head_time]]+Table2[[#This Row],[Object_B_._head_time]]</f>
        <v>14.6</v>
      </c>
      <c r="AT20" s="18"/>
      <c r="AU20" s="18"/>
      <c r="AV20" s="16"/>
      <c r="AW20" s="18"/>
      <c r="AX20" s="19" t="n">
        <f aca="false">(Table2[[#This Row],[Object_A_._head_time]]/(Table2[[#This Row],[Object_A_._head_time]]+Table2[[#This Row],[Object_B_._head_time]]))</f>
        <v>0.650684931506849</v>
      </c>
      <c r="AY20" s="22" t="s">
        <v>71</v>
      </c>
      <c r="AZ20" s="22" t="s">
        <v>65</v>
      </c>
      <c r="BA20" s="22" t="s">
        <v>66</v>
      </c>
      <c r="BB20" s="90" t="n">
        <v>159</v>
      </c>
      <c r="BC20" s="88" t="n">
        <v>5.3</v>
      </c>
      <c r="BD20" s="22" t="s">
        <v>67</v>
      </c>
      <c r="BE20" s="91" t="n">
        <v>3</v>
      </c>
      <c r="BF20" s="22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7"/>
      <c r="BY20" s="87"/>
      <c r="BZ20" s="87"/>
      <c r="CA20" s="87"/>
      <c r="CB20" s="87"/>
      <c r="CC20" s="87"/>
      <c r="CD20" s="87"/>
      <c r="CE20" s="87"/>
      <c r="CF20" s="87"/>
      <c r="CG20" s="87"/>
      <c r="CH20" s="87"/>
      <c r="CI20" s="87"/>
      <c r="CJ20" s="87"/>
      <c r="CK20" s="87"/>
      <c r="CL20" s="87"/>
      <c r="CM20" s="87"/>
      <c r="CN20" s="87"/>
      <c r="CO20" s="87"/>
      <c r="CP20" s="87"/>
      <c r="CQ20" s="87"/>
      <c r="CR20" s="87"/>
      <c r="CS20" s="87"/>
      <c r="CT20" s="87"/>
      <c r="CU20" s="92"/>
    </row>
    <row r="21" s="93" customFormat="true" ht="12" hidden="false" customHeight="true" outlineLevel="0" collapsed="false">
      <c r="A21" s="22" t="n">
        <v>60</v>
      </c>
      <c r="B21" s="22" t="s">
        <v>123</v>
      </c>
      <c r="C21" s="22" t="s">
        <v>59</v>
      </c>
      <c r="D21" s="22" t="s">
        <v>79</v>
      </c>
      <c r="E21" s="22" t="s">
        <v>310</v>
      </c>
      <c r="F21" s="22" t="s">
        <v>339</v>
      </c>
      <c r="G21" s="22" t="s">
        <v>340</v>
      </c>
      <c r="H21" s="88" t="n">
        <v>360</v>
      </c>
      <c r="I21" s="89" t="n">
        <v>9.194</v>
      </c>
      <c r="J21" s="89" t="n">
        <v>0.026</v>
      </c>
      <c r="K21" s="89" t="n">
        <v>0.298</v>
      </c>
      <c r="L21" s="88" t="n">
        <v>143</v>
      </c>
      <c r="M21" s="90" t="n">
        <v>16</v>
      </c>
      <c r="N21" s="88" t="n">
        <v>14</v>
      </c>
      <c r="O21" s="89" t="n">
        <v>0.695</v>
      </c>
      <c r="P21" s="89" t="n">
        <v>0.05</v>
      </c>
      <c r="Q21" s="89" t="n">
        <v>0.232</v>
      </c>
      <c r="R21" s="88" t="n">
        <v>7.8</v>
      </c>
      <c r="S21" s="90" t="n">
        <v>1217</v>
      </c>
      <c r="T21" s="88" t="n">
        <v>0</v>
      </c>
      <c r="U21" s="88" t="n">
        <v>10.9</v>
      </c>
      <c r="V21" s="90" t="n">
        <v>17</v>
      </c>
      <c r="W21" s="88" t="n">
        <v>14.9</v>
      </c>
      <c r="X21" s="89" t="n">
        <v>0.655</v>
      </c>
      <c r="Y21" s="89" t="n">
        <v>0.044</v>
      </c>
      <c r="Z21" s="89" t="n">
        <v>0.191</v>
      </c>
      <c r="AA21" s="88" t="n">
        <v>9.3</v>
      </c>
      <c r="AB21" s="90" t="n">
        <v>1409</v>
      </c>
      <c r="AC21" s="88" t="n">
        <v>0</v>
      </c>
      <c r="AD21" s="88" t="n">
        <v>11.5</v>
      </c>
      <c r="AE21" s="90" t="n">
        <v>8</v>
      </c>
      <c r="AF21" s="88" t="n">
        <v>15</v>
      </c>
      <c r="AG21" s="89" t="n">
        <v>1.371</v>
      </c>
      <c r="AH21" s="89" t="n">
        <v>0.091</v>
      </c>
      <c r="AI21" s="88" t="n">
        <v>0</v>
      </c>
      <c r="AJ21" s="90" t="n">
        <v>9</v>
      </c>
      <c r="AK21" s="88" t="n">
        <v>345</v>
      </c>
      <c r="AL21" s="89" t="n">
        <v>7.823</v>
      </c>
      <c r="AM21" s="89" t="n">
        <v>0.023</v>
      </c>
      <c r="AN21" s="88" t="n">
        <v>143</v>
      </c>
      <c r="AO21" s="19"/>
      <c r="AP21" s="19"/>
      <c r="AQ21" s="19"/>
      <c r="AR21" s="19"/>
      <c r="AS21" s="18" t="n">
        <f aca="false">Table2[[#This Row],[Object_A_._head_time]]+Table2[[#This Row],[Object_B_._head_time]]</f>
        <v>28.9</v>
      </c>
      <c r="AT21" s="18"/>
      <c r="AU21" s="18"/>
      <c r="AV21" s="16"/>
      <c r="AW21" s="18"/>
      <c r="AX21" s="19" t="n">
        <f aca="false">(Table2[[#This Row],[Object_A_._head_time]]/(Table2[[#This Row],[Object_A_._head_time]]+Table2[[#This Row],[Object_B_._head_time]]))</f>
        <v>0.484429065743945</v>
      </c>
      <c r="AY21" s="22" t="s">
        <v>71</v>
      </c>
      <c r="AZ21" s="22" t="s">
        <v>76</v>
      </c>
      <c r="BA21" s="22" t="s">
        <v>72</v>
      </c>
      <c r="BB21" s="90" t="n">
        <v>159</v>
      </c>
      <c r="BC21" s="88" t="n">
        <v>5.3</v>
      </c>
      <c r="BD21" s="22" t="s">
        <v>67</v>
      </c>
      <c r="BE21" s="91" t="n">
        <v>5</v>
      </c>
      <c r="BF21" s="22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7"/>
      <c r="BR21" s="87"/>
      <c r="BS21" s="87"/>
      <c r="BT21" s="87"/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87"/>
      <c r="CF21" s="87"/>
      <c r="CG21" s="87"/>
      <c r="CH21" s="87"/>
      <c r="CI21" s="87"/>
      <c r="CJ21" s="87"/>
      <c r="CK21" s="87"/>
      <c r="CL21" s="87"/>
      <c r="CM21" s="87"/>
      <c r="CN21" s="87"/>
      <c r="CO21" s="87"/>
      <c r="CP21" s="87"/>
      <c r="CQ21" s="87"/>
      <c r="CR21" s="87"/>
      <c r="CS21" s="87"/>
      <c r="CT21" s="87"/>
      <c r="CU21" s="92"/>
    </row>
    <row r="22" s="93" customFormat="true" ht="12" hidden="false" customHeight="true" outlineLevel="0" collapsed="false">
      <c r="A22" s="22" t="n">
        <v>65</v>
      </c>
      <c r="B22" s="22" t="s">
        <v>128</v>
      </c>
      <c r="C22" s="22" t="s">
        <v>59</v>
      </c>
      <c r="D22" s="22" t="s">
        <v>60</v>
      </c>
      <c r="E22" s="22" t="s">
        <v>310</v>
      </c>
      <c r="F22" s="22" t="s">
        <v>341</v>
      </c>
      <c r="G22" s="22" t="s">
        <v>342</v>
      </c>
      <c r="H22" s="88" t="n">
        <v>360</v>
      </c>
      <c r="I22" s="89" t="n">
        <v>6.823</v>
      </c>
      <c r="J22" s="89" t="n">
        <v>0.019</v>
      </c>
      <c r="K22" s="89" t="n">
        <v>0.218</v>
      </c>
      <c r="L22" s="88" t="n">
        <v>140</v>
      </c>
      <c r="M22" s="90" t="n">
        <v>36</v>
      </c>
      <c r="N22" s="88" t="n">
        <v>75.2</v>
      </c>
      <c r="O22" s="89" t="n">
        <v>1.293</v>
      </c>
      <c r="P22" s="89" t="n">
        <v>0.017</v>
      </c>
      <c r="Q22" s="89" t="n">
        <v>0.218</v>
      </c>
      <c r="R22" s="88" t="n">
        <v>24.7</v>
      </c>
      <c r="S22" s="90" t="n">
        <v>6193</v>
      </c>
      <c r="T22" s="88" t="n">
        <v>17.4</v>
      </c>
      <c r="U22" s="88" t="n">
        <v>29</v>
      </c>
      <c r="V22" s="90" t="n">
        <v>15</v>
      </c>
      <c r="W22" s="88" t="n">
        <v>17.2</v>
      </c>
      <c r="X22" s="89" t="n">
        <v>0.558</v>
      </c>
      <c r="Y22" s="89" t="n">
        <v>0.032</v>
      </c>
      <c r="Z22" s="89" t="n">
        <v>0.197</v>
      </c>
      <c r="AA22" s="88" t="n">
        <v>6</v>
      </c>
      <c r="AB22" s="90" t="n">
        <v>1436</v>
      </c>
      <c r="AC22" s="88" t="n">
        <v>0</v>
      </c>
      <c r="AD22" s="88" t="n">
        <v>5.3</v>
      </c>
      <c r="AE22" s="90" t="n">
        <v>44</v>
      </c>
      <c r="AF22" s="88" t="n">
        <v>82.6</v>
      </c>
      <c r="AG22" s="89" t="n">
        <v>2.602</v>
      </c>
      <c r="AH22" s="89" t="n">
        <v>0.032</v>
      </c>
      <c r="AI22" s="88" t="n">
        <v>25.6</v>
      </c>
      <c r="AJ22" s="90" t="n">
        <v>43</v>
      </c>
      <c r="AK22" s="88" t="n">
        <v>277.4</v>
      </c>
      <c r="AL22" s="89" t="n">
        <v>4.221</v>
      </c>
      <c r="AM22" s="89" t="n">
        <v>0.015</v>
      </c>
      <c r="AN22" s="88" t="n">
        <v>114.4</v>
      </c>
      <c r="AO22" s="19"/>
      <c r="AP22" s="19"/>
      <c r="AQ22" s="19"/>
      <c r="AR22" s="19"/>
      <c r="AS22" s="18" t="n">
        <f aca="false">Table2[[#This Row],[Object_A_._head_time]]+Table2[[#This Row],[Object_B_._head_time]]</f>
        <v>92.4</v>
      </c>
      <c r="AT22" s="18"/>
      <c r="AU22" s="18"/>
      <c r="AV22" s="16"/>
      <c r="AW22" s="18"/>
      <c r="AX22" s="26" t="n">
        <f aca="false">(Table2[[#This Row],[Object_A_._head_time]]/(Table2[[#This Row],[Object_A_._head_time]]+Table2[[#This Row],[Object_B_._head_time]]))</f>
        <v>0.813852813852814</v>
      </c>
      <c r="AY22" s="22" t="s">
        <v>64</v>
      </c>
      <c r="AZ22" s="22" t="s">
        <v>76</v>
      </c>
      <c r="BA22" s="22" t="s">
        <v>72</v>
      </c>
      <c r="BB22" s="90" t="n">
        <v>151</v>
      </c>
      <c r="BC22" s="88" t="n">
        <v>5.03333333333333</v>
      </c>
      <c r="BD22" s="22" t="s">
        <v>81</v>
      </c>
      <c r="BE22" s="91" t="n">
        <v>6</v>
      </c>
      <c r="BF22" s="22"/>
      <c r="BG22" s="87"/>
      <c r="BH22" s="87"/>
      <c r="BI22" s="87"/>
      <c r="BJ22" s="87"/>
      <c r="BK22" s="87"/>
      <c r="BL22" s="87"/>
      <c r="BM22" s="87"/>
      <c r="BN22" s="87"/>
      <c r="BO22" s="87"/>
      <c r="BP22" s="87"/>
      <c r="BQ22" s="87"/>
      <c r="BR22" s="87"/>
      <c r="BS22" s="87"/>
      <c r="BT22" s="87"/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87"/>
      <c r="CF22" s="87"/>
      <c r="CG22" s="87"/>
      <c r="CH22" s="87"/>
      <c r="CI22" s="87"/>
      <c r="CJ22" s="87"/>
      <c r="CK22" s="87"/>
      <c r="CL22" s="87"/>
      <c r="CM22" s="87"/>
      <c r="CN22" s="87"/>
      <c r="CO22" s="87"/>
      <c r="CP22" s="87"/>
      <c r="CQ22" s="87"/>
      <c r="CR22" s="87"/>
      <c r="CS22" s="87"/>
      <c r="CT22" s="87"/>
      <c r="CU22" s="92"/>
    </row>
    <row r="23" s="93" customFormat="true" ht="12" hidden="false" customHeight="true" outlineLevel="0" collapsed="false">
      <c r="A23" s="22" t="n">
        <v>64</v>
      </c>
      <c r="B23" s="22" t="s">
        <v>130</v>
      </c>
      <c r="C23" s="22" t="s">
        <v>59</v>
      </c>
      <c r="D23" s="22" t="s">
        <v>69</v>
      </c>
      <c r="E23" s="22" t="s">
        <v>310</v>
      </c>
      <c r="F23" s="22" t="s">
        <v>341</v>
      </c>
      <c r="G23" s="22" t="s">
        <v>343</v>
      </c>
      <c r="H23" s="88" t="n">
        <v>360</v>
      </c>
      <c r="I23" s="89" t="n">
        <v>9.058</v>
      </c>
      <c r="J23" s="89" t="n">
        <v>0.025</v>
      </c>
      <c r="K23" s="89" t="n">
        <v>0.233</v>
      </c>
      <c r="L23" s="88" t="n">
        <v>182</v>
      </c>
      <c r="M23" s="90" t="n">
        <v>26</v>
      </c>
      <c r="N23" s="88" t="n">
        <v>175.7</v>
      </c>
      <c r="O23" s="89" t="n">
        <v>2.056</v>
      </c>
      <c r="P23" s="89" t="n">
        <v>0.012</v>
      </c>
      <c r="Q23" s="89" t="n">
        <v>0.218</v>
      </c>
      <c r="R23" s="88" t="n">
        <v>137.4</v>
      </c>
      <c r="S23" s="90" t="n">
        <v>8652</v>
      </c>
      <c r="T23" s="88" t="n">
        <v>133.2</v>
      </c>
      <c r="U23" s="88" t="n">
        <v>138.4</v>
      </c>
      <c r="V23" s="90" t="n">
        <v>16</v>
      </c>
      <c r="W23" s="88" t="n">
        <v>24.1</v>
      </c>
      <c r="X23" s="89" t="n">
        <v>1.411</v>
      </c>
      <c r="Y23" s="89" t="n">
        <v>0.058</v>
      </c>
      <c r="Z23" s="89" t="n">
        <v>0.207</v>
      </c>
      <c r="AA23" s="88" t="n">
        <v>7.7</v>
      </c>
      <c r="AB23" s="90" t="n">
        <v>2480</v>
      </c>
      <c r="AC23" s="88" t="n">
        <v>0</v>
      </c>
      <c r="AD23" s="88" t="n">
        <v>5.2</v>
      </c>
      <c r="AE23" s="90" t="n">
        <v>18</v>
      </c>
      <c r="AF23" s="88" t="n">
        <v>43</v>
      </c>
      <c r="AG23" s="89" t="n">
        <v>2.729</v>
      </c>
      <c r="AH23" s="89" t="n">
        <v>0.064</v>
      </c>
      <c r="AI23" s="88" t="n">
        <v>0</v>
      </c>
      <c r="AJ23" s="90" t="n">
        <v>18</v>
      </c>
      <c r="AK23" s="88" t="n">
        <v>317</v>
      </c>
      <c r="AL23" s="89" t="n">
        <v>6.329</v>
      </c>
      <c r="AM23" s="89" t="n">
        <v>0.02</v>
      </c>
      <c r="AN23" s="88" t="n">
        <v>182</v>
      </c>
      <c r="AO23" s="19"/>
      <c r="AP23" s="19"/>
      <c r="AQ23" s="19"/>
      <c r="AR23" s="19"/>
      <c r="AS23" s="18" t="n">
        <f aca="false">Table2[[#This Row],[Object_A_._head_time]]+Table2[[#This Row],[Object_B_._head_time]]</f>
        <v>199.8</v>
      </c>
      <c r="AT23" s="18"/>
      <c r="AU23" s="18"/>
      <c r="AV23" s="16"/>
      <c r="AW23" s="18"/>
      <c r="AX23" s="26" t="n">
        <f aca="false">(Table2[[#This Row],[Object_A_._head_time]]/(Table2[[#This Row],[Object_A_._head_time]]+Table2[[#This Row],[Object_B_._head_time]]))</f>
        <v>0.879379379379379</v>
      </c>
      <c r="AY23" s="22" t="s">
        <v>64</v>
      </c>
      <c r="AZ23" s="22" t="s">
        <v>76</v>
      </c>
      <c r="BA23" s="22" t="s">
        <v>72</v>
      </c>
      <c r="BB23" s="90" t="n">
        <v>151</v>
      </c>
      <c r="BC23" s="88" t="n">
        <v>5.03333333333333</v>
      </c>
      <c r="BD23" s="22" t="s">
        <v>67</v>
      </c>
      <c r="BE23" s="91" t="n">
        <v>5</v>
      </c>
      <c r="BF23" s="22"/>
      <c r="BG23" s="87"/>
      <c r="BH23" s="87"/>
      <c r="BI23" s="87"/>
      <c r="BJ23" s="87"/>
      <c r="BK23" s="87"/>
      <c r="BL23" s="87"/>
      <c r="BM23" s="87"/>
      <c r="BN23" s="87"/>
      <c r="BO23" s="87"/>
      <c r="BP23" s="87"/>
      <c r="BQ23" s="87"/>
      <c r="BR23" s="87"/>
      <c r="BS23" s="87"/>
      <c r="BT23" s="87"/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87"/>
      <c r="CF23" s="87"/>
      <c r="CG23" s="87"/>
      <c r="CH23" s="87"/>
      <c r="CI23" s="87"/>
      <c r="CJ23" s="87"/>
      <c r="CK23" s="87"/>
      <c r="CL23" s="87"/>
      <c r="CM23" s="87"/>
      <c r="CN23" s="87"/>
      <c r="CO23" s="87"/>
      <c r="CP23" s="87"/>
      <c r="CQ23" s="87"/>
      <c r="CR23" s="87"/>
      <c r="CS23" s="87"/>
      <c r="CT23" s="87"/>
      <c r="CU23" s="92"/>
    </row>
    <row r="24" s="93" customFormat="true" ht="12" hidden="false" customHeight="true" outlineLevel="0" collapsed="false">
      <c r="A24" s="22" t="n">
        <v>66</v>
      </c>
      <c r="B24" s="22" t="s">
        <v>135</v>
      </c>
      <c r="C24" s="22" t="s">
        <v>59</v>
      </c>
      <c r="D24" s="22" t="s">
        <v>74</v>
      </c>
      <c r="E24" s="22" t="s">
        <v>310</v>
      </c>
      <c r="F24" s="22" t="s">
        <v>341</v>
      </c>
      <c r="G24" s="22" t="s">
        <v>344</v>
      </c>
      <c r="H24" s="88" t="n">
        <v>360</v>
      </c>
      <c r="I24" s="89" t="n">
        <v>10.79</v>
      </c>
      <c r="J24" s="89" t="n">
        <v>0.03</v>
      </c>
      <c r="K24" s="89" t="n">
        <v>0.297</v>
      </c>
      <c r="L24" s="88" t="n">
        <v>94.3</v>
      </c>
      <c r="M24" s="90" t="n">
        <v>27</v>
      </c>
      <c r="N24" s="88" t="n">
        <v>46.6</v>
      </c>
      <c r="O24" s="89" t="n">
        <v>2.241</v>
      </c>
      <c r="P24" s="89" t="n">
        <v>0.048</v>
      </c>
      <c r="Q24" s="89" t="n">
        <v>0.277</v>
      </c>
      <c r="R24" s="88" t="n">
        <v>10.2</v>
      </c>
      <c r="S24" s="90" t="n">
        <v>4396</v>
      </c>
      <c r="T24" s="88" t="n">
        <v>2.4</v>
      </c>
      <c r="U24" s="88" t="n">
        <v>8.5</v>
      </c>
      <c r="V24" s="90" t="n">
        <v>16</v>
      </c>
      <c r="W24" s="88" t="n">
        <v>31.8</v>
      </c>
      <c r="X24" s="89" t="n">
        <v>1.083</v>
      </c>
      <c r="Y24" s="89" t="n">
        <v>0.034</v>
      </c>
      <c r="Z24" s="89" t="n">
        <v>0.261</v>
      </c>
      <c r="AA24" s="88" t="n">
        <v>7.1</v>
      </c>
      <c r="AB24" s="90" t="n">
        <v>2232</v>
      </c>
      <c r="AC24" s="88" t="n">
        <v>5.5</v>
      </c>
      <c r="AD24" s="88" t="n">
        <v>4</v>
      </c>
      <c r="AE24" s="90" t="n">
        <v>13</v>
      </c>
      <c r="AF24" s="88" t="n">
        <v>61.7</v>
      </c>
      <c r="AG24" s="89" t="n">
        <v>2.8</v>
      </c>
      <c r="AH24" s="89" t="n">
        <v>0.045</v>
      </c>
      <c r="AI24" s="88" t="n">
        <v>8</v>
      </c>
      <c r="AJ24" s="90" t="n">
        <v>14</v>
      </c>
      <c r="AK24" s="88" t="n">
        <v>298.3</v>
      </c>
      <c r="AL24" s="89" t="n">
        <v>7.99</v>
      </c>
      <c r="AM24" s="89" t="n">
        <v>0.027</v>
      </c>
      <c r="AN24" s="88" t="n">
        <v>86.3</v>
      </c>
      <c r="AO24" s="19"/>
      <c r="AP24" s="19"/>
      <c r="AQ24" s="19"/>
      <c r="AR24" s="19"/>
      <c r="AS24" s="18" t="n">
        <f aca="false">Table2[[#This Row],[Object_A_._head_time]]+Table2[[#This Row],[Object_B_._head_time]]</f>
        <v>78.4</v>
      </c>
      <c r="AT24" s="18"/>
      <c r="AU24" s="18"/>
      <c r="AV24" s="16"/>
      <c r="AW24" s="18"/>
      <c r="AX24" s="19" t="n">
        <f aca="false">(Table2[[#This Row],[Object_A_._head_time]]/(Table2[[#This Row],[Object_A_._head_time]]+Table2[[#This Row],[Object_B_._head_time]]))</f>
        <v>0.594387755102041</v>
      </c>
      <c r="AY24" s="22" t="s">
        <v>64</v>
      </c>
      <c r="AZ24" s="22" t="s">
        <v>76</v>
      </c>
      <c r="BA24" s="22" t="s">
        <v>72</v>
      </c>
      <c r="BB24" s="90" t="n">
        <v>151</v>
      </c>
      <c r="BC24" s="88" t="n">
        <v>5.03333333333333</v>
      </c>
      <c r="BD24" s="22" t="s">
        <v>81</v>
      </c>
      <c r="BE24" s="91" t="n">
        <v>6</v>
      </c>
      <c r="BF24" s="22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92"/>
    </row>
    <row r="25" s="93" customFormat="true" ht="12" hidden="false" customHeight="true" outlineLevel="0" collapsed="false">
      <c r="A25" s="22" t="n">
        <v>67</v>
      </c>
      <c r="B25" s="22" t="s">
        <v>137</v>
      </c>
      <c r="C25" s="22" t="s">
        <v>59</v>
      </c>
      <c r="D25" s="22" t="s">
        <v>79</v>
      </c>
      <c r="E25" s="22" t="s">
        <v>310</v>
      </c>
      <c r="F25" s="22" t="s">
        <v>341</v>
      </c>
      <c r="G25" s="22" t="s">
        <v>345</v>
      </c>
      <c r="H25" s="88" t="n">
        <v>360</v>
      </c>
      <c r="I25" s="89" t="n">
        <v>11.959</v>
      </c>
      <c r="J25" s="89" t="n">
        <v>0.033</v>
      </c>
      <c r="K25" s="89" t="n">
        <v>0.293</v>
      </c>
      <c r="L25" s="88" t="n">
        <v>83.5</v>
      </c>
      <c r="M25" s="90" t="n">
        <v>38</v>
      </c>
      <c r="N25" s="88" t="n">
        <v>40.6</v>
      </c>
      <c r="O25" s="89" t="n">
        <v>1.709</v>
      </c>
      <c r="P25" s="89" t="n">
        <v>0.042</v>
      </c>
      <c r="Q25" s="89" t="n">
        <v>0.243</v>
      </c>
      <c r="R25" s="88" t="n">
        <v>9.5</v>
      </c>
      <c r="S25" s="90" t="n">
        <v>4266</v>
      </c>
      <c r="T25" s="88" t="n">
        <v>1.6</v>
      </c>
      <c r="U25" s="88" t="n">
        <v>18.6</v>
      </c>
      <c r="V25" s="90" t="n">
        <v>27</v>
      </c>
      <c r="W25" s="88" t="n">
        <v>30</v>
      </c>
      <c r="X25" s="89" t="n">
        <v>1.452</v>
      </c>
      <c r="Y25" s="89" t="n">
        <v>0.048</v>
      </c>
      <c r="Z25" s="89" t="n">
        <v>0.255</v>
      </c>
      <c r="AA25" s="88" t="n">
        <v>8.6</v>
      </c>
      <c r="AB25" s="90" t="n">
        <v>2811</v>
      </c>
      <c r="AC25" s="88" t="n">
        <v>0</v>
      </c>
      <c r="AD25" s="88" t="n">
        <v>9.1</v>
      </c>
      <c r="AE25" s="90" t="n">
        <v>18</v>
      </c>
      <c r="AF25" s="88" t="n">
        <v>34.8</v>
      </c>
      <c r="AG25" s="89" t="n">
        <v>2.437</v>
      </c>
      <c r="AH25" s="89" t="n">
        <v>0.07</v>
      </c>
      <c r="AI25" s="88" t="n">
        <v>0</v>
      </c>
      <c r="AJ25" s="90" t="n">
        <v>18</v>
      </c>
      <c r="AK25" s="88" t="n">
        <v>325.2</v>
      </c>
      <c r="AL25" s="89" t="n">
        <v>9.522</v>
      </c>
      <c r="AM25" s="89" t="n">
        <v>0.029</v>
      </c>
      <c r="AN25" s="88" t="n">
        <v>83.5</v>
      </c>
      <c r="AO25" s="19"/>
      <c r="AP25" s="19"/>
      <c r="AQ25" s="19"/>
      <c r="AR25" s="19"/>
      <c r="AS25" s="18" t="n">
        <f aca="false">Table2[[#This Row],[Object_A_._head_time]]+Table2[[#This Row],[Object_B_._head_time]]</f>
        <v>70.6</v>
      </c>
      <c r="AT25" s="18"/>
      <c r="AU25" s="18"/>
      <c r="AV25" s="16"/>
      <c r="AW25" s="18"/>
      <c r="AX25" s="19" t="n">
        <f aca="false">(Table2[[#This Row],[Object_A_._head_time]]/(Table2[[#This Row],[Object_A_._head_time]]+Table2[[#This Row],[Object_B_._head_time]]))</f>
        <v>0.575070821529745</v>
      </c>
      <c r="AY25" s="22" t="s">
        <v>64</v>
      </c>
      <c r="AZ25" s="22" t="s">
        <v>76</v>
      </c>
      <c r="BA25" s="22" t="s">
        <v>66</v>
      </c>
      <c r="BB25" s="90" t="n">
        <v>151</v>
      </c>
      <c r="BC25" s="88" t="n">
        <v>5.03333333333333</v>
      </c>
      <c r="BD25" s="22" t="s">
        <v>81</v>
      </c>
      <c r="BE25" s="91" t="n">
        <v>8</v>
      </c>
      <c r="BF25" s="22"/>
      <c r="BG25" s="87"/>
      <c r="BH25" s="87"/>
      <c r="BI25" s="87"/>
      <c r="BJ25" s="87"/>
      <c r="BK25" s="87"/>
      <c r="BL25" s="87"/>
      <c r="BM25" s="87"/>
      <c r="BN25" s="87"/>
      <c r="BO25" s="87"/>
      <c r="BP25" s="87"/>
      <c r="BQ25" s="87"/>
      <c r="BR25" s="87"/>
      <c r="BS25" s="87"/>
      <c r="BT25" s="87"/>
      <c r="BU25" s="87"/>
      <c r="BV25" s="87"/>
      <c r="BW25" s="87"/>
      <c r="BX25" s="87"/>
      <c r="BY25" s="87"/>
      <c r="BZ25" s="87"/>
      <c r="CA25" s="87"/>
      <c r="CB25" s="87"/>
      <c r="CC25" s="87"/>
      <c r="CD25" s="87"/>
      <c r="CE25" s="87"/>
      <c r="CF25" s="87"/>
      <c r="CG25" s="87"/>
      <c r="CH25" s="87"/>
      <c r="CI25" s="87"/>
      <c r="CJ25" s="87"/>
      <c r="CK25" s="87"/>
      <c r="CL25" s="87"/>
      <c r="CM25" s="87"/>
      <c r="CN25" s="87"/>
      <c r="CO25" s="87"/>
      <c r="CP25" s="87"/>
      <c r="CQ25" s="87"/>
      <c r="CR25" s="87"/>
      <c r="CS25" s="87"/>
      <c r="CT25" s="87"/>
      <c r="CU25" s="92"/>
    </row>
    <row r="26" s="93" customFormat="true" ht="12" hidden="false" customHeight="true" outlineLevel="0" collapsed="false">
      <c r="A26" s="22" t="n">
        <v>71</v>
      </c>
      <c r="B26" s="22" t="s">
        <v>139</v>
      </c>
      <c r="C26" s="22" t="s">
        <v>59</v>
      </c>
      <c r="D26" s="22" t="s">
        <v>60</v>
      </c>
      <c r="E26" s="22" t="s">
        <v>310</v>
      </c>
      <c r="F26" s="22" t="s">
        <v>346</v>
      </c>
      <c r="G26" s="22" t="s">
        <v>347</v>
      </c>
      <c r="H26" s="88" t="n">
        <v>360</v>
      </c>
      <c r="I26" s="89" t="n">
        <v>6.768</v>
      </c>
      <c r="J26" s="89" t="n">
        <v>0.019</v>
      </c>
      <c r="K26" s="89" t="n">
        <v>0.262</v>
      </c>
      <c r="L26" s="88" t="n">
        <v>129.3</v>
      </c>
      <c r="M26" s="90" t="n">
        <v>13</v>
      </c>
      <c r="N26" s="88" t="n">
        <v>13.6</v>
      </c>
      <c r="O26" s="89" t="n">
        <v>0.59</v>
      </c>
      <c r="P26" s="89" t="n">
        <v>0.043</v>
      </c>
      <c r="Q26" s="89" t="n">
        <v>0.206</v>
      </c>
      <c r="R26" s="88" t="n">
        <v>7.1</v>
      </c>
      <c r="S26" s="90" t="n">
        <v>948</v>
      </c>
      <c r="T26" s="88" t="n">
        <v>0</v>
      </c>
      <c r="U26" s="88" t="n">
        <v>7.8</v>
      </c>
      <c r="V26" s="90" t="n">
        <v>17</v>
      </c>
      <c r="W26" s="88" t="n">
        <v>26.3</v>
      </c>
      <c r="X26" s="89" t="n">
        <v>0.765</v>
      </c>
      <c r="Y26" s="89" t="n">
        <v>0.029</v>
      </c>
      <c r="Z26" s="89" t="n">
        <v>0.179</v>
      </c>
      <c r="AA26" s="88" t="n">
        <v>9.2</v>
      </c>
      <c r="AB26" s="90" t="n">
        <v>1756</v>
      </c>
      <c r="AC26" s="88" t="n">
        <v>0</v>
      </c>
      <c r="AD26" s="88" t="n">
        <v>9.4</v>
      </c>
      <c r="AE26" s="90" t="n">
        <v>7</v>
      </c>
      <c r="AF26" s="88" t="n">
        <v>12.3</v>
      </c>
      <c r="AG26" s="89" t="n">
        <v>1.059</v>
      </c>
      <c r="AH26" s="89" t="n">
        <v>0.086</v>
      </c>
      <c r="AI26" s="88" t="n">
        <v>0</v>
      </c>
      <c r="AJ26" s="90" t="n">
        <v>8</v>
      </c>
      <c r="AK26" s="88" t="n">
        <v>347.7</v>
      </c>
      <c r="AL26" s="89" t="n">
        <v>5.709</v>
      </c>
      <c r="AM26" s="89" t="n">
        <v>0.016</v>
      </c>
      <c r="AN26" s="88" t="n">
        <v>129.3</v>
      </c>
      <c r="AO26" s="19"/>
      <c r="AP26" s="19"/>
      <c r="AQ26" s="19"/>
      <c r="AR26" s="19"/>
      <c r="AS26" s="18" t="n">
        <f aca="false">Table2[[#This Row],[Object_A_._head_time]]+Table2[[#This Row],[Object_B_._head_time]]</f>
        <v>39.9</v>
      </c>
      <c r="AT26" s="18"/>
      <c r="AU26" s="18"/>
      <c r="AV26" s="16"/>
      <c r="AW26" s="18"/>
      <c r="AX26" s="19" t="n">
        <f aca="false">(Table2[[#This Row],[Object_A_._head_time]]/(Table2[[#This Row],[Object_A_._head_time]]+Table2[[#This Row],[Object_B_._head_time]]))</f>
        <v>0.340852130325815</v>
      </c>
      <c r="AY26" s="22" t="s">
        <v>64</v>
      </c>
      <c r="AZ26" s="22" t="s">
        <v>76</v>
      </c>
      <c r="BA26" s="22" t="s">
        <v>72</v>
      </c>
      <c r="BB26" s="90" t="n">
        <v>151</v>
      </c>
      <c r="BC26" s="88" t="n">
        <v>5.03333333333333</v>
      </c>
      <c r="BD26" s="22" t="s">
        <v>67</v>
      </c>
      <c r="BE26" s="91" t="n">
        <v>5</v>
      </c>
      <c r="BF26" s="22" t="s">
        <v>141</v>
      </c>
      <c r="BG26" s="87"/>
      <c r="BH26" s="87"/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92"/>
    </row>
    <row r="27" s="93" customFormat="true" ht="12" hidden="false" customHeight="true" outlineLevel="0" collapsed="false">
      <c r="A27" s="22" t="n">
        <v>70</v>
      </c>
      <c r="B27" s="22" t="s">
        <v>142</v>
      </c>
      <c r="C27" s="22" t="s">
        <v>59</v>
      </c>
      <c r="D27" s="22" t="s">
        <v>69</v>
      </c>
      <c r="E27" s="22" t="s">
        <v>310</v>
      </c>
      <c r="F27" s="22" t="s">
        <v>346</v>
      </c>
      <c r="G27" s="22" t="s">
        <v>348</v>
      </c>
      <c r="H27" s="88" t="n">
        <v>360</v>
      </c>
      <c r="I27" s="89" t="n">
        <v>10.457</v>
      </c>
      <c r="J27" s="89" t="n">
        <v>0.029</v>
      </c>
      <c r="K27" s="89" t="n">
        <v>0.248</v>
      </c>
      <c r="L27" s="88" t="n">
        <v>67.3</v>
      </c>
      <c r="M27" s="90" t="n">
        <v>43</v>
      </c>
      <c r="N27" s="88" t="n">
        <v>75.4</v>
      </c>
      <c r="O27" s="89" t="n">
        <v>2.048</v>
      </c>
      <c r="P27" s="89" t="n">
        <v>0.027</v>
      </c>
      <c r="Q27" s="89" t="n">
        <v>0.223</v>
      </c>
      <c r="R27" s="88" t="n">
        <v>23.9</v>
      </c>
      <c r="S27" s="90" t="n">
        <v>4292</v>
      </c>
      <c r="T27" s="88" t="n">
        <v>16.9</v>
      </c>
      <c r="U27" s="88" t="n">
        <v>35.9</v>
      </c>
      <c r="V27" s="90" t="n">
        <v>20</v>
      </c>
      <c r="W27" s="88" t="n">
        <v>25</v>
      </c>
      <c r="X27" s="89" t="n">
        <v>1.255</v>
      </c>
      <c r="Y27" s="89" t="n">
        <v>0.05</v>
      </c>
      <c r="Z27" s="89" t="n">
        <v>0.248</v>
      </c>
      <c r="AA27" s="88" t="n">
        <v>5.6</v>
      </c>
      <c r="AB27" s="90" t="n">
        <v>2308</v>
      </c>
      <c r="AC27" s="88" t="n">
        <v>0</v>
      </c>
      <c r="AD27" s="88" t="n">
        <v>3.7</v>
      </c>
      <c r="AE27" s="90" t="n">
        <v>17</v>
      </c>
      <c r="AF27" s="88" t="n">
        <v>43.7</v>
      </c>
      <c r="AG27" s="89" t="n">
        <v>2.07</v>
      </c>
      <c r="AH27" s="89" t="n">
        <v>0.047</v>
      </c>
      <c r="AI27" s="88" t="n">
        <v>10.3</v>
      </c>
      <c r="AJ27" s="90" t="n">
        <v>17</v>
      </c>
      <c r="AK27" s="88" t="n">
        <v>316.3</v>
      </c>
      <c r="AL27" s="89" t="n">
        <v>8.386</v>
      </c>
      <c r="AM27" s="89" t="n">
        <v>0.027</v>
      </c>
      <c r="AN27" s="88" t="n">
        <v>57</v>
      </c>
      <c r="AO27" s="19"/>
      <c r="AP27" s="19"/>
      <c r="AQ27" s="19"/>
      <c r="AR27" s="19"/>
      <c r="AS27" s="18" t="n">
        <f aca="false">Table2[[#This Row],[Object_A_._head_time]]+Table2[[#This Row],[Object_B_._head_time]]</f>
        <v>100.4</v>
      </c>
      <c r="AT27" s="18"/>
      <c r="AU27" s="18"/>
      <c r="AV27" s="16"/>
      <c r="AW27" s="18"/>
      <c r="AX27" s="19" t="n">
        <f aca="false">(Table2[[#This Row],[Object_A_._head_time]]/(Table2[[#This Row],[Object_A_._head_time]]+Table2[[#This Row],[Object_B_._head_time]]))</f>
        <v>0.750996015936255</v>
      </c>
      <c r="AY27" s="22" t="s">
        <v>64</v>
      </c>
      <c r="AZ27" s="22" t="s">
        <v>76</v>
      </c>
      <c r="BA27" s="22" t="s">
        <v>66</v>
      </c>
      <c r="BB27" s="90" t="n">
        <v>151</v>
      </c>
      <c r="BC27" s="88" t="n">
        <v>5.03333333333333</v>
      </c>
      <c r="BD27" s="22" t="s">
        <v>67</v>
      </c>
      <c r="BE27" s="91" t="n">
        <v>7</v>
      </c>
      <c r="BF27" s="22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/>
      <c r="CI27" s="87"/>
      <c r="CJ27" s="87"/>
      <c r="CK27" s="87"/>
      <c r="CL27" s="87"/>
      <c r="CM27" s="87"/>
      <c r="CN27" s="87"/>
      <c r="CO27" s="87"/>
      <c r="CP27" s="87"/>
      <c r="CQ27" s="87"/>
      <c r="CR27" s="87"/>
      <c r="CS27" s="87"/>
      <c r="CT27" s="87"/>
      <c r="CU27" s="92"/>
    </row>
    <row r="28" s="93" customFormat="true" ht="12" hidden="false" customHeight="true" outlineLevel="0" collapsed="false">
      <c r="A28" s="22" t="n">
        <v>68</v>
      </c>
      <c r="B28" s="22" t="s">
        <v>145</v>
      </c>
      <c r="C28" s="22" t="s">
        <v>59</v>
      </c>
      <c r="D28" s="22" t="s">
        <v>74</v>
      </c>
      <c r="E28" s="22" t="s">
        <v>310</v>
      </c>
      <c r="F28" s="22" t="s">
        <v>93</v>
      </c>
      <c r="G28" s="22" t="s">
        <v>349</v>
      </c>
      <c r="H28" s="88" t="n">
        <v>360</v>
      </c>
      <c r="I28" s="89" t="n">
        <v>8.588</v>
      </c>
      <c r="J28" s="89" t="n">
        <v>0.024</v>
      </c>
      <c r="K28" s="89" t="n">
        <v>0.213</v>
      </c>
      <c r="L28" s="88" t="n">
        <v>76.4</v>
      </c>
      <c r="M28" s="90" t="n">
        <v>38</v>
      </c>
      <c r="N28" s="88" t="n">
        <v>66.5</v>
      </c>
      <c r="O28" s="89" t="n">
        <v>1.47</v>
      </c>
      <c r="P28" s="89" t="n">
        <v>0.022</v>
      </c>
      <c r="Q28" s="89" t="n">
        <v>0.193</v>
      </c>
      <c r="R28" s="88" t="n">
        <v>15.6</v>
      </c>
      <c r="S28" s="90" t="n">
        <v>3745</v>
      </c>
      <c r="T28" s="88" t="n">
        <v>10.8</v>
      </c>
      <c r="U28" s="88" t="n">
        <v>11.6</v>
      </c>
      <c r="V28" s="90" t="n">
        <v>22</v>
      </c>
      <c r="W28" s="88" t="n">
        <v>46.4</v>
      </c>
      <c r="X28" s="89" t="n">
        <v>1.671</v>
      </c>
      <c r="Y28" s="89" t="n">
        <v>0.036</v>
      </c>
      <c r="Z28" s="89" t="n">
        <v>0.208</v>
      </c>
      <c r="AA28" s="88" t="n">
        <v>12.3</v>
      </c>
      <c r="AB28" s="90" t="n">
        <v>3113</v>
      </c>
      <c r="AC28" s="88" t="n">
        <v>3.4</v>
      </c>
      <c r="AD28" s="88" t="n">
        <v>7.1</v>
      </c>
      <c r="AE28" s="90" t="n">
        <v>14</v>
      </c>
      <c r="AF28" s="88" t="n">
        <v>40.5</v>
      </c>
      <c r="AG28" s="89" t="n">
        <v>2.146</v>
      </c>
      <c r="AH28" s="89" t="n">
        <v>0.053</v>
      </c>
      <c r="AI28" s="88" t="n">
        <v>6.3</v>
      </c>
      <c r="AJ28" s="90" t="n">
        <v>15</v>
      </c>
      <c r="AK28" s="88" t="n">
        <v>319.5</v>
      </c>
      <c r="AL28" s="89" t="n">
        <v>6.442</v>
      </c>
      <c r="AM28" s="89" t="n">
        <v>0.02</v>
      </c>
      <c r="AN28" s="88" t="n">
        <v>70.1</v>
      </c>
      <c r="AO28" s="19"/>
      <c r="AP28" s="19"/>
      <c r="AQ28" s="19"/>
      <c r="AR28" s="19"/>
      <c r="AS28" s="18" t="n">
        <f aca="false">Table2[[#This Row],[Object_A_._head_time]]+Table2[[#This Row],[Object_B_._head_time]]</f>
        <v>112.9</v>
      </c>
      <c r="AT28" s="18"/>
      <c r="AU28" s="18"/>
      <c r="AV28" s="16"/>
      <c r="AW28" s="18"/>
      <c r="AX28" s="19" t="n">
        <f aca="false">(Table2[[#This Row],[Object_A_._head_time]]/(Table2[[#This Row],[Object_A_._head_time]]+Table2[[#This Row],[Object_B_._head_time]]))</f>
        <v>0.589016829052259</v>
      </c>
      <c r="AY28" s="22" t="s">
        <v>71</v>
      </c>
      <c r="AZ28" s="22" t="s">
        <v>76</v>
      </c>
      <c r="BA28" s="22" t="s">
        <v>72</v>
      </c>
      <c r="BB28" s="90" t="n">
        <v>151</v>
      </c>
      <c r="BC28" s="88" t="n">
        <v>5.03333333333333</v>
      </c>
      <c r="BD28" s="22" t="s">
        <v>81</v>
      </c>
      <c r="BE28" s="91" t="n">
        <v>6</v>
      </c>
      <c r="BF28" s="22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/>
      <c r="CI28" s="87"/>
      <c r="CJ28" s="87"/>
      <c r="CK28" s="87"/>
      <c r="CL28" s="87"/>
      <c r="CM28" s="87"/>
      <c r="CN28" s="87"/>
      <c r="CO28" s="87"/>
      <c r="CP28" s="87"/>
      <c r="CQ28" s="87"/>
      <c r="CR28" s="87"/>
      <c r="CS28" s="87"/>
      <c r="CT28" s="87"/>
      <c r="CU28" s="92"/>
    </row>
    <row r="29" s="93" customFormat="true" ht="12" hidden="false" customHeight="true" outlineLevel="0" collapsed="false">
      <c r="A29" s="22" t="n">
        <v>69</v>
      </c>
      <c r="B29" s="22" t="s">
        <v>147</v>
      </c>
      <c r="C29" s="22" t="s">
        <v>59</v>
      </c>
      <c r="D29" s="22" t="s">
        <v>79</v>
      </c>
      <c r="E29" s="22" t="s">
        <v>310</v>
      </c>
      <c r="F29" s="22" t="s">
        <v>346</v>
      </c>
      <c r="G29" s="22" t="s">
        <v>350</v>
      </c>
      <c r="H29" s="88" t="n">
        <v>360</v>
      </c>
      <c r="I29" s="89" t="n">
        <v>18.653</v>
      </c>
      <c r="J29" s="89" t="n">
        <v>0.052</v>
      </c>
      <c r="K29" s="89" t="n">
        <v>0.327</v>
      </c>
      <c r="L29" s="88" t="n">
        <v>7.7</v>
      </c>
      <c r="M29" s="90" t="n">
        <v>65</v>
      </c>
      <c r="N29" s="88" t="n">
        <v>67</v>
      </c>
      <c r="O29" s="89" t="n">
        <v>4.435</v>
      </c>
      <c r="P29" s="89" t="n">
        <v>0.066</v>
      </c>
      <c r="Q29" s="89" t="n">
        <v>0.314</v>
      </c>
      <c r="R29" s="88" t="n">
        <v>12.1</v>
      </c>
      <c r="S29" s="90" t="n">
        <v>6482</v>
      </c>
      <c r="T29" s="88" t="n">
        <v>0</v>
      </c>
      <c r="U29" s="88" t="n">
        <v>8.2</v>
      </c>
      <c r="V29" s="90" t="n">
        <v>23</v>
      </c>
      <c r="W29" s="88" t="n">
        <v>34.8</v>
      </c>
      <c r="X29" s="89" t="n">
        <v>1.864</v>
      </c>
      <c r="Y29" s="89" t="n">
        <v>0.054</v>
      </c>
      <c r="Z29" s="89" t="n">
        <v>0.237</v>
      </c>
      <c r="AA29" s="88" t="n">
        <v>8.5</v>
      </c>
      <c r="AB29" s="90" t="n">
        <v>2821</v>
      </c>
      <c r="AC29" s="88" t="n">
        <v>3.4</v>
      </c>
      <c r="AD29" s="88" t="n">
        <v>7.1</v>
      </c>
      <c r="AE29" s="90" t="n">
        <v>38</v>
      </c>
      <c r="AF29" s="88" t="n">
        <v>78.4</v>
      </c>
      <c r="AG29" s="89" t="n">
        <v>4.145</v>
      </c>
      <c r="AH29" s="89" t="n">
        <v>0.053</v>
      </c>
      <c r="AI29" s="88" t="n">
        <v>2.7</v>
      </c>
      <c r="AJ29" s="90" t="n">
        <v>37</v>
      </c>
      <c r="AK29" s="88" t="n">
        <v>281.6</v>
      </c>
      <c r="AL29" s="89" t="n">
        <v>14.508</v>
      </c>
      <c r="AM29" s="89" t="n">
        <v>0.052</v>
      </c>
      <c r="AN29" s="88" t="n">
        <v>4.9</v>
      </c>
      <c r="AO29" s="19"/>
      <c r="AP29" s="19"/>
      <c r="AQ29" s="19"/>
      <c r="AR29" s="19"/>
      <c r="AS29" s="18" t="n">
        <f aca="false">Table2[[#This Row],[Object_A_._head_time]]+Table2[[#This Row],[Object_B_._head_time]]</f>
        <v>101.8</v>
      </c>
      <c r="AT29" s="18"/>
      <c r="AU29" s="18"/>
      <c r="AV29" s="16"/>
      <c r="AW29" s="18"/>
      <c r="AX29" s="19" t="n">
        <f aca="false">(Table2[[#This Row],[Object_A_._head_time]]/(Table2[[#This Row],[Object_A_._head_time]]+Table2[[#This Row],[Object_B_._head_time]]))</f>
        <v>0.658153241650295</v>
      </c>
      <c r="AY29" s="22" t="s">
        <v>71</v>
      </c>
      <c r="AZ29" s="22" t="s">
        <v>76</v>
      </c>
      <c r="BA29" s="22" t="s">
        <v>66</v>
      </c>
      <c r="BB29" s="90" t="n">
        <v>151</v>
      </c>
      <c r="BC29" s="88" t="n">
        <v>5.03333333333333</v>
      </c>
      <c r="BD29" s="22" t="s">
        <v>81</v>
      </c>
      <c r="BE29" s="91" t="n">
        <v>8</v>
      </c>
      <c r="BF29" s="22"/>
      <c r="BG29" s="87"/>
      <c r="BH29" s="87"/>
      <c r="BI29" s="87"/>
      <c r="BJ29" s="87"/>
      <c r="BK29" s="87"/>
      <c r="BL29" s="87"/>
      <c r="BM29" s="87"/>
      <c r="BN29" s="87"/>
      <c r="BO29" s="87"/>
      <c r="BP29" s="87"/>
      <c r="BQ29" s="87"/>
      <c r="BR29" s="87"/>
      <c r="BS29" s="87"/>
      <c r="BT29" s="87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87"/>
      <c r="CF29" s="87"/>
      <c r="CG29" s="87"/>
      <c r="CH29" s="87"/>
      <c r="CI29" s="87"/>
      <c r="CJ29" s="87"/>
      <c r="CK29" s="87"/>
      <c r="CL29" s="87"/>
      <c r="CM29" s="87"/>
      <c r="CN29" s="87"/>
      <c r="CO29" s="87"/>
      <c r="CP29" s="87"/>
      <c r="CQ29" s="87"/>
      <c r="CR29" s="87"/>
      <c r="CS29" s="87"/>
      <c r="CT29" s="87"/>
      <c r="CU29" s="92"/>
    </row>
    <row r="30" s="93" customFormat="true" ht="12" hidden="false" customHeight="true" outlineLevel="0" collapsed="false">
      <c r="A30" s="22" t="n">
        <v>75</v>
      </c>
      <c r="B30" s="22" t="s">
        <v>149</v>
      </c>
      <c r="C30" s="22" t="s">
        <v>59</v>
      </c>
      <c r="D30" s="22" t="s">
        <v>60</v>
      </c>
      <c r="E30" s="22" t="s">
        <v>310</v>
      </c>
      <c r="F30" s="22" t="s">
        <v>351</v>
      </c>
      <c r="G30" s="22" t="s">
        <v>352</v>
      </c>
      <c r="H30" s="88" t="n">
        <v>360</v>
      </c>
      <c r="I30" s="89" t="n">
        <v>11.95</v>
      </c>
      <c r="J30" s="89" t="n">
        <v>0.033</v>
      </c>
      <c r="K30" s="89" t="n">
        <v>0.364</v>
      </c>
      <c r="L30" s="88" t="n">
        <v>117.5</v>
      </c>
      <c r="M30" s="90" t="n">
        <v>15</v>
      </c>
      <c r="N30" s="88" t="n">
        <v>19.5</v>
      </c>
      <c r="O30" s="89" t="n">
        <v>0.821</v>
      </c>
      <c r="P30" s="89" t="n">
        <v>0.042</v>
      </c>
      <c r="Q30" s="89" t="n">
        <v>0.245</v>
      </c>
      <c r="R30" s="88" t="n">
        <v>6.1</v>
      </c>
      <c r="S30" s="90" t="n">
        <v>1834</v>
      </c>
      <c r="T30" s="88" t="n">
        <v>0</v>
      </c>
      <c r="U30" s="88" t="n">
        <v>7.9</v>
      </c>
      <c r="V30" s="90" t="n">
        <v>49</v>
      </c>
      <c r="W30" s="88" t="n">
        <v>54.3</v>
      </c>
      <c r="X30" s="89" t="n">
        <v>1.062</v>
      </c>
      <c r="Y30" s="89" t="n">
        <v>0.02</v>
      </c>
      <c r="Z30" s="89" t="n">
        <v>0.263</v>
      </c>
      <c r="AA30" s="88" t="n">
        <v>23.1</v>
      </c>
      <c r="AB30" s="90" t="n">
        <v>4099</v>
      </c>
      <c r="AC30" s="88" t="n">
        <v>17.4</v>
      </c>
      <c r="AD30" s="88" t="n">
        <v>45.5</v>
      </c>
      <c r="AE30" s="90" t="n">
        <v>12</v>
      </c>
      <c r="AF30" s="88" t="n">
        <v>18</v>
      </c>
      <c r="AG30" s="89" t="n">
        <v>1.543</v>
      </c>
      <c r="AH30" s="89" t="n">
        <v>0.086</v>
      </c>
      <c r="AI30" s="88" t="n">
        <v>0</v>
      </c>
      <c r="AJ30" s="90" t="n">
        <v>12</v>
      </c>
      <c r="AK30" s="88" t="n">
        <v>342</v>
      </c>
      <c r="AL30" s="89" t="n">
        <v>10.407</v>
      </c>
      <c r="AM30" s="89" t="n">
        <v>0.03</v>
      </c>
      <c r="AN30" s="88" t="n">
        <v>117.5</v>
      </c>
      <c r="AO30" s="19"/>
      <c r="AP30" s="19"/>
      <c r="AQ30" s="19"/>
      <c r="AR30" s="19"/>
      <c r="AS30" s="18" t="n">
        <f aca="false">Table2[[#This Row],[Object_A_._head_time]]+Table2[[#This Row],[Object_B_._head_time]]</f>
        <v>73.8</v>
      </c>
      <c r="AT30" s="18"/>
      <c r="AU30" s="18"/>
      <c r="AV30" s="16"/>
      <c r="AW30" s="18"/>
      <c r="AX30" s="19" t="n">
        <f aca="false">(Table2[[#This Row],[Object_A_._head_time]]/(Table2[[#This Row],[Object_A_._head_time]]+Table2[[#This Row],[Object_B_._head_time]]))</f>
        <v>0.264227642276423</v>
      </c>
      <c r="AY30" s="22" t="s">
        <v>71</v>
      </c>
      <c r="AZ30" s="22" t="s">
        <v>76</v>
      </c>
      <c r="BA30" s="22" t="s">
        <v>66</v>
      </c>
      <c r="BB30" s="90" t="n">
        <v>151</v>
      </c>
      <c r="BC30" s="88" t="n">
        <v>5.03333333333333</v>
      </c>
      <c r="BD30" s="22" t="s">
        <v>67</v>
      </c>
      <c r="BE30" s="91" t="n">
        <v>7</v>
      </c>
      <c r="BF30" s="22"/>
      <c r="BG30" s="87"/>
      <c r="BH30" s="87"/>
      <c r="BI30" s="87"/>
      <c r="BJ30" s="87"/>
      <c r="BK30" s="87"/>
      <c r="BL30" s="87"/>
      <c r="BM30" s="87"/>
      <c r="BN30" s="87"/>
      <c r="BO30" s="87"/>
      <c r="BP30" s="87"/>
      <c r="BQ30" s="87"/>
      <c r="BR30" s="87"/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7"/>
      <c r="CD30" s="87"/>
      <c r="CE30" s="87"/>
      <c r="CF30" s="87"/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92"/>
    </row>
    <row r="31" s="93" customFormat="true" ht="12" hidden="false" customHeight="true" outlineLevel="0" collapsed="false">
      <c r="A31" s="22" t="n">
        <v>74</v>
      </c>
      <c r="B31" s="22" t="s">
        <v>151</v>
      </c>
      <c r="C31" s="22" t="s">
        <v>59</v>
      </c>
      <c r="D31" s="22" t="s">
        <v>69</v>
      </c>
      <c r="E31" s="22" t="s">
        <v>310</v>
      </c>
      <c r="F31" s="22" t="s">
        <v>351</v>
      </c>
      <c r="G31" s="22" t="s">
        <v>353</v>
      </c>
      <c r="H31" s="88" t="n">
        <v>360</v>
      </c>
      <c r="I31" s="89" t="n">
        <v>14.357</v>
      </c>
      <c r="J31" s="89" t="n">
        <v>0.04</v>
      </c>
      <c r="K31" s="89" t="n">
        <v>0.265</v>
      </c>
      <c r="L31" s="88" t="n">
        <v>34.2</v>
      </c>
      <c r="M31" s="90" t="n">
        <v>32</v>
      </c>
      <c r="N31" s="88" t="n">
        <v>43.1</v>
      </c>
      <c r="O31" s="89" t="n">
        <v>2.182</v>
      </c>
      <c r="P31" s="89" t="n">
        <v>0.051</v>
      </c>
      <c r="Q31" s="89" t="n">
        <v>0.217</v>
      </c>
      <c r="R31" s="88" t="n">
        <v>15</v>
      </c>
      <c r="S31" s="90" t="n">
        <v>4473</v>
      </c>
      <c r="T31" s="88" t="n">
        <v>0</v>
      </c>
      <c r="U31" s="88" t="n">
        <v>8.3</v>
      </c>
      <c r="V31" s="90" t="n">
        <v>46</v>
      </c>
      <c r="W31" s="88" t="n">
        <v>43.8</v>
      </c>
      <c r="X31" s="89" t="n">
        <v>2.298</v>
      </c>
      <c r="Y31" s="89" t="n">
        <v>0.052</v>
      </c>
      <c r="Z31" s="89" t="n">
        <v>0.265</v>
      </c>
      <c r="AA31" s="88" t="n">
        <v>9.8</v>
      </c>
      <c r="AB31" s="90" t="n">
        <v>4332</v>
      </c>
      <c r="AC31" s="88" t="n">
        <v>3</v>
      </c>
      <c r="AD31" s="88" t="n">
        <v>11.1</v>
      </c>
      <c r="AE31" s="90" t="n">
        <v>27</v>
      </c>
      <c r="AF31" s="88" t="n">
        <v>65.8</v>
      </c>
      <c r="AG31" s="89" t="n">
        <v>3.214</v>
      </c>
      <c r="AH31" s="89" t="n">
        <v>0.049</v>
      </c>
      <c r="AI31" s="88" t="n">
        <v>1.3</v>
      </c>
      <c r="AJ31" s="90" t="n">
        <v>27</v>
      </c>
      <c r="AK31" s="88" t="n">
        <v>294.2</v>
      </c>
      <c r="AL31" s="89" t="n">
        <v>11.144</v>
      </c>
      <c r="AM31" s="89" t="n">
        <v>0.038</v>
      </c>
      <c r="AN31" s="88" t="n">
        <v>32.9</v>
      </c>
      <c r="AO31" s="19"/>
      <c r="AP31" s="19"/>
      <c r="AQ31" s="19"/>
      <c r="AR31" s="19"/>
      <c r="AS31" s="18" t="n">
        <f aca="false">Table2[[#This Row],[Object_A_._head_time]]+Table2[[#This Row],[Object_B_._head_time]]</f>
        <v>86.9</v>
      </c>
      <c r="AT31" s="18"/>
      <c r="AU31" s="18"/>
      <c r="AV31" s="16"/>
      <c r="AW31" s="18"/>
      <c r="AX31" s="19" t="n">
        <f aca="false">(Table2[[#This Row],[Object_A_._head_time]]/(Table2[[#This Row],[Object_A_._head_time]]+Table2[[#This Row],[Object_B_._head_time]]))</f>
        <v>0.495972382048331</v>
      </c>
      <c r="AY31" s="22" t="s">
        <v>71</v>
      </c>
      <c r="AZ31" s="22" t="s">
        <v>76</v>
      </c>
      <c r="BA31" s="22" t="s">
        <v>72</v>
      </c>
      <c r="BB31" s="90" t="n">
        <v>151</v>
      </c>
      <c r="BC31" s="88" t="n">
        <v>5.03333333333333</v>
      </c>
      <c r="BD31" s="22" t="s">
        <v>67</v>
      </c>
      <c r="BE31" s="91" t="n">
        <v>5</v>
      </c>
      <c r="BF31" s="22" t="s">
        <v>154</v>
      </c>
      <c r="BG31" s="87"/>
      <c r="BH31" s="87"/>
      <c r="BI31" s="87"/>
      <c r="BJ31" s="87"/>
      <c r="BK31" s="87"/>
      <c r="BL31" s="87"/>
      <c r="BM31" s="87"/>
      <c r="BN31" s="87"/>
      <c r="BO31" s="87"/>
      <c r="BP31" s="87"/>
      <c r="BQ31" s="87"/>
      <c r="BR31" s="87"/>
      <c r="BS31" s="87"/>
      <c r="BT31" s="87"/>
      <c r="BU31" s="87"/>
      <c r="BV31" s="87"/>
      <c r="BW31" s="87"/>
      <c r="BX31" s="87"/>
      <c r="BY31" s="87"/>
      <c r="BZ31" s="87"/>
      <c r="CA31" s="87"/>
      <c r="CB31" s="87"/>
      <c r="CC31" s="87"/>
      <c r="CD31" s="87"/>
      <c r="CE31" s="87"/>
      <c r="CF31" s="87"/>
      <c r="CG31" s="87"/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92"/>
    </row>
    <row r="32" s="93" customFormat="true" ht="12" hidden="false" customHeight="true" outlineLevel="0" collapsed="false">
      <c r="A32" s="22" t="n">
        <v>72</v>
      </c>
      <c r="B32" s="22" t="s">
        <v>155</v>
      </c>
      <c r="C32" s="22" t="s">
        <v>59</v>
      </c>
      <c r="D32" s="22" t="s">
        <v>74</v>
      </c>
      <c r="E32" s="22" t="s">
        <v>310</v>
      </c>
      <c r="F32" s="22" t="s">
        <v>354</v>
      </c>
      <c r="G32" s="22" t="s">
        <v>355</v>
      </c>
      <c r="H32" s="88" t="n">
        <v>360</v>
      </c>
      <c r="I32" s="89" t="n">
        <v>15.287</v>
      </c>
      <c r="J32" s="89" t="n">
        <v>0.042</v>
      </c>
      <c r="K32" s="89" t="n">
        <v>0.315</v>
      </c>
      <c r="L32" s="88" t="n">
        <v>24.3</v>
      </c>
      <c r="M32" s="90" t="n">
        <v>73</v>
      </c>
      <c r="N32" s="88" t="n">
        <v>84.5</v>
      </c>
      <c r="O32" s="89" t="n">
        <v>2.742</v>
      </c>
      <c r="P32" s="89" t="n">
        <v>0.032</v>
      </c>
      <c r="Q32" s="89" t="n">
        <v>0.302</v>
      </c>
      <c r="R32" s="88" t="n">
        <v>25.5</v>
      </c>
      <c r="S32" s="90" t="n">
        <v>9228</v>
      </c>
      <c r="T32" s="88" t="n">
        <v>2.2</v>
      </c>
      <c r="U32" s="88" t="n">
        <v>25.2</v>
      </c>
      <c r="V32" s="90" t="n">
        <v>52</v>
      </c>
      <c r="W32" s="88" t="n">
        <v>76.3</v>
      </c>
      <c r="X32" s="89" t="n">
        <v>2.487</v>
      </c>
      <c r="Y32" s="89" t="n">
        <v>0.033</v>
      </c>
      <c r="Z32" s="89" t="n">
        <v>0.273</v>
      </c>
      <c r="AA32" s="88" t="n">
        <v>22.9</v>
      </c>
      <c r="AB32" s="90" t="n">
        <v>7413</v>
      </c>
      <c r="AC32" s="88" t="n">
        <v>10.9</v>
      </c>
      <c r="AD32" s="88" t="n">
        <v>29.2</v>
      </c>
      <c r="AE32" s="90" t="n">
        <v>31</v>
      </c>
      <c r="AF32" s="88" t="n">
        <v>52.7</v>
      </c>
      <c r="AG32" s="89" t="n">
        <v>4.781</v>
      </c>
      <c r="AH32" s="89" t="n">
        <v>0.091</v>
      </c>
      <c r="AI32" s="88" t="n">
        <v>0</v>
      </c>
      <c r="AJ32" s="90" t="n">
        <v>31</v>
      </c>
      <c r="AK32" s="88" t="n">
        <v>307.3</v>
      </c>
      <c r="AL32" s="89" t="n">
        <v>10.506</v>
      </c>
      <c r="AM32" s="89" t="n">
        <v>0.034</v>
      </c>
      <c r="AN32" s="88" t="n">
        <v>24.3</v>
      </c>
      <c r="AO32" s="19"/>
      <c r="AP32" s="19"/>
      <c r="AQ32" s="19"/>
      <c r="AR32" s="19"/>
      <c r="AS32" s="18" t="n">
        <f aca="false">Table2[[#This Row],[Object_A_._head_time]]+Table2[[#This Row],[Object_B_._head_time]]</f>
        <v>160.8</v>
      </c>
      <c r="AT32" s="18"/>
      <c r="AU32" s="18"/>
      <c r="AV32" s="16"/>
      <c r="AW32" s="18"/>
      <c r="AX32" s="19" t="n">
        <f aca="false">(Table2[[#This Row],[Object_A_._head_time]]/(Table2[[#This Row],[Object_A_._head_time]]+Table2[[#This Row],[Object_B_._head_time]]))</f>
        <v>0.525497512437811</v>
      </c>
      <c r="AY32" s="22" t="s">
        <v>64</v>
      </c>
      <c r="AZ32" s="22" t="s">
        <v>65</v>
      </c>
      <c r="BA32" s="22" t="s">
        <v>72</v>
      </c>
      <c r="BB32" s="90" t="n">
        <v>144</v>
      </c>
      <c r="BC32" s="88" t="n">
        <v>4.8</v>
      </c>
      <c r="BD32" s="22" t="s">
        <v>67</v>
      </c>
      <c r="BE32" s="91" t="n">
        <v>1</v>
      </c>
      <c r="BF32" s="22" t="s">
        <v>157</v>
      </c>
      <c r="BG32" s="87"/>
      <c r="BH32" s="87"/>
      <c r="BI32" s="87"/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92"/>
    </row>
    <row r="33" s="93" customFormat="true" ht="12" hidden="false" customHeight="true" outlineLevel="0" collapsed="false">
      <c r="A33" s="22" t="n">
        <v>73</v>
      </c>
      <c r="B33" s="22" t="s">
        <v>158</v>
      </c>
      <c r="C33" s="22" t="s">
        <v>59</v>
      </c>
      <c r="D33" s="22" t="s">
        <v>79</v>
      </c>
      <c r="E33" s="22" t="s">
        <v>310</v>
      </c>
      <c r="F33" s="22" t="s">
        <v>354</v>
      </c>
      <c r="G33" s="22" t="s">
        <v>356</v>
      </c>
      <c r="H33" s="88" t="n">
        <v>360</v>
      </c>
      <c r="I33" s="89" t="n">
        <v>71.283</v>
      </c>
      <c r="J33" s="89" t="n">
        <v>0.198</v>
      </c>
      <c r="K33" s="89" t="n">
        <v>0.463</v>
      </c>
      <c r="L33" s="88" t="n">
        <v>5.1</v>
      </c>
      <c r="M33" s="90" t="n">
        <v>90</v>
      </c>
      <c r="N33" s="88" t="n">
        <v>34.5</v>
      </c>
      <c r="O33" s="89" t="n">
        <v>6.216</v>
      </c>
      <c r="P33" s="89" t="n">
        <v>0.18</v>
      </c>
      <c r="Q33" s="89" t="n">
        <v>0.427</v>
      </c>
      <c r="R33" s="88" t="n">
        <v>10.7</v>
      </c>
      <c r="S33" s="90" t="n">
        <v>7356</v>
      </c>
      <c r="T33" s="88" t="n">
        <v>0</v>
      </c>
      <c r="U33" s="88" t="n">
        <v>13.5</v>
      </c>
      <c r="V33" s="90" t="n">
        <v>165</v>
      </c>
      <c r="W33" s="88" t="n">
        <v>82.1</v>
      </c>
      <c r="X33" s="89" t="n">
        <v>19.005</v>
      </c>
      <c r="Y33" s="89" t="n">
        <v>0.231</v>
      </c>
      <c r="Z33" s="89" t="n">
        <v>0.437</v>
      </c>
      <c r="AA33" s="88" t="n">
        <v>16.8</v>
      </c>
      <c r="AB33" s="90" t="n">
        <v>20685</v>
      </c>
      <c r="AC33" s="88" t="n">
        <v>0</v>
      </c>
      <c r="AD33" s="88" t="n">
        <v>26.6</v>
      </c>
      <c r="AE33" s="90" t="n">
        <v>150</v>
      </c>
      <c r="AF33" s="88" t="n">
        <v>164.8</v>
      </c>
      <c r="AG33" s="89" t="n">
        <v>31.632</v>
      </c>
      <c r="AH33" s="89" t="n">
        <v>0.192</v>
      </c>
      <c r="AI33" s="88" t="n">
        <v>2.9</v>
      </c>
      <c r="AJ33" s="90" t="n">
        <v>150</v>
      </c>
      <c r="AK33" s="88" t="n">
        <v>195.2</v>
      </c>
      <c r="AL33" s="89" t="n">
        <v>39.652</v>
      </c>
      <c r="AM33" s="89" t="n">
        <v>0.203</v>
      </c>
      <c r="AN33" s="88" t="n">
        <v>2.3</v>
      </c>
      <c r="AO33" s="19"/>
      <c r="AP33" s="19"/>
      <c r="AQ33" s="19"/>
      <c r="AR33" s="19"/>
      <c r="AS33" s="18" t="n">
        <f aca="false">Table2[[#This Row],[Object_A_._head_time]]+Table2[[#This Row],[Object_B_._head_time]]</f>
        <v>116.6</v>
      </c>
      <c r="AT33" s="18"/>
      <c r="AU33" s="18"/>
      <c r="AV33" s="16"/>
      <c r="AW33" s="18"/>
      <c r="AX33" s="19" t="n">
        <f aca="false">(Table2[[#This Row],[Object_A_._head_time]]/(Table2[[#This Row],[Object_A_._head_time]]+Table2[[#This Row],[Object_B_._head_time]]))</f>
        <v>0.295883361921098</v>
      </c>
      <c r="AY33" s="22" t="s">
        <v>64</v>
      </c>
      <c r="AZ33" s="22" t="s">
        <v>65</v>
      </c>
      <c r="BA33" s="22" t="s">
        <v>66</v>
      </c>
      <c r="BB33" s="90" t="n">
        <v>144</v>
      </c>
      <c r="BC33" s="88" t="n">
        <v>4.8</v>
      </c>
      <c r="BD33" s="22" t="s">
        <v>81</v>
      </c>
      <c r="BE33" s="91" t="n">
        <v>4</v>
      </c>
      <c r="BF33" s="22" t="s">
        <v>160</v>
      </c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/>
      <c r="CI33" s="87"/>
      <c r="CJ33" s="87"/>
      <c r="CK33" s="87"/>
      <c r="CL33" s="87"/>
      <c r="CM33" s="87"/>
      <c r="CN33" s="87"/>
      <c r="CO33" s="87"/>
      <c r="CP33" s="87"/>
      <c r="CQ33" s="87"/>
      <c r="CR33" s="87"/>
      <c r="CS33" s="87"/>
      <c r="CT33" s="87"/>
      <c r="CU33" s="92"/>
    </row>
    <row r="34" s="93" customFormat="true" ht="12" hidden="false" customHeight="true" outlineLevel="0" collapsed="false">
      <c r="A34" s="22" t="n">
        <v>79</v>
      </c>
      <c r="B34" s="22" t="s">
        <v>161</v>
      </c>
      <c r="C34" s="22" t="s">
        <v>59</v>
      </c>
      <c r="D34" s="22" t="s">
        <v>60</v>
      </c>
      <c r="E34" s="22" t="s">
        <v>310</v>
      </c>
      <c r="F34" s="22" t="s">
        <v>357</v>
      </c>
      <c r="G34" s="22" t="s">
        <v>358</v>
      </c>
      <c r="H34" s="88" t="n">
        <v>360</v>
      </c>
      <c r="I34" s="89" t="n">
        <v>34.896</v>
      </c>
      <c r="J34" s="89" t="n">
        <v>0.097</v>
      </c>
      <c r="K34" s="89" t="n">
        <v>0.434</v>
      </c>
      <c r="L34" s="88" t="n">
        <v>6</v>
      </c>
      <c r="M34" s="90" t="n">
        <v>57</v>
      </c>
      <c r="N34" s="88" t="n">
        <v>48</v>
      </c>
      <c r="O34" s="89" t="n">
        <v>3.753</v>
      </c>
      <c r="P34" s="89" t="n">
        <v>0.078</v>
      </c>
      <c r="Q34" s="89" t="n">
        <v>0.4</v>
      </c>
      <c r="R34" s="88" t="n">
        <v>12</v>
      </c>
      <c r="S34" s="90" t="n">
        <v>6208</v>
      </c>
      <c r="T34" s="88" t="n">
        <v>1.2</v>
      </c>
      <c r="U34" s="88" t="n">
        <v>17.1</v>
      </c>
      <c r="V34" s="90" t="n">
        <v>70</v>
      </c>
      <c r="W34" s="88" t="n">
        <v>60.1</v>
      </c>
      <c r="X34" s="89" t="n">
        <v>4.619</v>
      </c>
      <c r="Y34" s="89" t="n">
        <v>0.077</v>
      </c>
      <c r="Z34" s="89" t="n">
        <v>0.371</v>
      </c>
      <c r="AA34" s="88" t="n">
        <v>13.7</v>
      </c>
      <c r="AB34" s="90" t="n">
        <v>8131</v>
      </c>
      <c r="AC34" s="88" t="n">
        <v>0</v>
      </c>
      <c r="AD34" s="88" t="n">
        <v>23</v>
      </c>
      <c r="AE34" s="90" t="n">
        <v>54</v>
      </c>
      <c r="AF34" s="88" t="n">
        <v>47.8</v>
      </c>
      <c r="AG34" s="89" t="n">
        <v>6.775</v>
      </c>
      <c r="AH34" s="89" t="n">
        <v>0.142</v>
      </c>
      <c r="AI34" s="88" t="n">
        <v>0</v>
      </c>
      <c r="AJ34" s="90" t="n">
        <v>54</v>
      </c>
      <c r="AK34" s="88" t="n">
        <v>312.2</v>
      </c>
      <c r="AL34" s="89" t="n">
        <v>28.121</v>
      </c>
      <c r="AM34" s="89" t="n">
        <v>0.09</v>
      </c>
      <c r="AN34" s="88" t="n">
        <v>6</v>
      </c>
      <c r="AO34" s="19"/>
      <c r="AP34" s="19"/>
      <c r="AQ34" s="19"/>
      <c r="AR34" s="19"/>
      <c r="AS34" s="18" t="n">
        <f aca="false">Table2[[#This Row],[Object_A_._head_time]]+Table2[[#This Row],[Object_B_._head_time]]</f>
        <v>108.1</v>
      </c>
      <c r="AT34" s="18"/>
      <c r="AU34" s="18"/>
      <c r="AV34" s="16"/>
      <c r="AW34" s="18"/>
      <c r="AX34" s="19" t="n">
        <f aca="false">(Table2[[#This Row],[Object_A_._head_time]]/(Table2[[#This Row],[Object_A_._head_time]]+Table2[[#This Row],[Object_B_._head_time]]))</f>
        <v>0.444033302497687</v>
      </c>
      <c r="AY34" s="22" t="s">
        <v>64</v>
      </c>
      <c r="AZ34" s="22" t="s">
        <v>65</v>
      </c>
      <c r="BA34" s="22" t="s">
        <v>72</v>
      </c>
      <c r="BB34" s="90" t="n">
        <v>144</v>
      </c>
      <c r="BC34" s="88" t="n">
        <v>4.8</v>
      </c>
      <c r="BD34" s="22" t="s">
        <v>81</v>
      </c>
      <c r="BE34" s="91" t="n">
        <v>2</v>
      </c>
      <c r="BF34" s="22" t="s">
        <v>157</v>
      </c>
      <c r="BG34" s="87"/>
      <c r="BH34" s="87"/>
      <c r="BI34" s="87"/>
      <c r="BJ34" s="87"/>
      <c r="BK34" s="87"/>
      <c r="BL34" s="87"/>
      <c r="BM34" s="87"/>
      <c r="BN34" s="87"/>
      <c r="BO34" s="87"/>
      <c r="BP34" s="87"/>
      <c r="BQ34" s="87"/>
      <c r="BR34" s="87"/>
      <c r="BS34" s="87"/>
      <c r="BT34" s="87"/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92"/>
    </row>
    <row r="35" s="93" customFormat="true" ht="12" hidden="false" customHeight="true" outlineLevel="0" collapsed="false">
      <c r="A35" s="22" t="n">
        <v>76</v>
      </c>
      <c r="B35" s="22" t="s">
        <v>163</v>
      </c>
      <c r="C35" s="22" t="s">
        <v>59</v>
      </c>
      <c r="D35" s="22" t="s">
        <v>69</v>
      </c>
      <c r="E35" s="22" t="s">
        <v>310</v>
      </c>
      <c r="F35" s="22" t="s">
        <v>357</v>
      </c>
      <c r="G35" s="22" t="s">
        <v>359</v>
      </c>
      <c r="H35" s="88" t="n">
        <v>360</v>
      </c>
      <c r="I35" s="89" t="n">
        <v>19.007</v>
      </c>
      <c r="J35" s="89" t="n">
        <v>0.053</v>
      </c>
      <c r="K35" s="89" t="n">
        <v>0.411</v>
      </c>
      <c r="L35" s="88" t="n">
        <v>53.2</v>
      </c>
      <c r="M35" s="90" t="n">
        <v>43</v>
      </c>
      <c r="N35" s="88" t="n">
        <v>37.2</v>
      </c>
      <c r="O35" s="89" t="n">
        <v>1.422</v>
      </c>
      <c r="P35" s="89" t="n">
        <v>0.038</v>
      </c>
      <c r="Q35" s="89" t="n">
        <v>0.31</v>
      </c>
      <c r="R35" s="88" t="n">
        <v>16.7</v>
      </c>
      <c r="S35" s="90" t="n">
        <v>3937</v>
      </c>
      <c r="T35" s="88" t="n">
        <v>4.9</v>
      </c>
      <c r="U35" s="88" t="n">
        <v>22.4</v>
      </c>
      <c r="V35" s="90" t="n">
        <v>48</v>
      </c>
      <c r="W35" s="88" t="n">
        <v>33.9</v>
      </c>
      <c r="X35" s="89" t="n">
        <v>2.002</v>
      </c>
      <c r="Y35" s="89" t="n">
        <v>0.059</v>
      </c>
      <c r="Z35" s="89" t="n">
        <v>0.318</v>
      </c>
      <c r="AA35" s="88" t="n">
        <v>7.1</v>
      </c>
      <c r="AB35" s="90" t="n">
        <v>3094</v>
      </c>
      <c r="AC35" s="88" t="n">
        <v>2.8</v>
      </c>
      <c r="AD35" s="88" t="n">
        <v>15.2</v>
      </c>
      <c r="AE35" s="90" t="n">
        <v>24</v>
      </c>
      <c r="AF35" s="88" t="n">
        <v>50.9</v>
      </c>
      <c r="AG35" s="89" t="n">
        <v>2.906</v>
      </c>
      <c r="AH35" s="89" t="n">
        <v>0.057</v>
      </c>
      <c r="AI35" s="88" t="n">
        <v>13</v>
      </c>
      <c r="AJ35" s="90" t="n">
        <v>25</v>
      </c>
      <c r="AK35" s="88" t="n">
        <v>309.1</v>
      </c>
      <c r="AL35" s="89" t="n">
        <v>16.101</v>
      </c>
      <c r="AM35" s="89" t="n">
        <v>0.052</v>
      </c>
      <c r="AN35" s="88" t="n">
        <v>40.2</v>
      </c>
      <c r="AO35" s="19"/>
      <c r="AP35" s="19"/>
      <c r="AQ35" s="19"/>
      <c r="AR35" s="19"/>
      <c r="AS35" s="18" t="n">
        <f aca="false">Table2[[#This Row],[Object_A_._head_time]]+Table2[[#This Row],[Object_B_._head_time]]</f>
        <v>71.1</v>
      </c>
      <c r="AT35" s="18"/>
      <c r="AU35" s="18"/>
      <c r="AV35" s="16"/>
      <c r="AW35" s="18"/>
      <c r="AX35" s="19" t="n">
        <f aca="false">(Table2[[#This Row],[Object_A_._head_time]]/(Table2[[#This Row],[Object_A_._head_time]]+Table2[[#This Row],[Object_B_._head_time]]))</f>
        <v>0.523206751054852</v>
      </c>
      <c r="AY35" s="22" t="s">
        <v>64</v>
      </c>
      <c r="AZ35" s="22" t="s">
        <v>65</v>
      </c>
      <c r="BA35" s="22" t="s">
        <v>66</v>
      </c>
      <c r="BB35" s="90" t="n">
        <v>144</v>
      </c>
      <c r="BC35" s="88" t="n">
        <v>4.8</v>
      </c>
      <c r="BD35" s="22" t="s">
        <v>81</v>
      </c>
      <c r="BE35" s="91" t="n">
        <v>4</v>
      </c>
      <c r="BF35" s="22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87"/>
      <c r="CF35" s="87"/>
      <c r="CG35" s="87"/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92"/>
    </row>
    <row r="36" s="93" customFormat="true" ht="12" hidden="false" customHeight="true" outlineLevel="0" collapsed="false">
      <c r="A36" s="22" t="n">
        <v>77</v>
      </c>
      <c r="B36" s="22" t="s">
        <v>166</v>
      </c>
      <c r="C36" s="22" t="s">
        <v>59</v>
      </c>
      <c r="D36" s="22" t="s">
        <v>74</v>
      </c>
      <c r="E36" s="22" t="s">
        <v>310</v>
      </c>
      <c r="F36" s="22" t="s">
        <v>360</v>
      </c>
      <c r="G36" s="22" t="s">
        <v>361</v>
      </c>
      <c r="H36" s="88" t="n">
        <v>360</v>
      </c>
      <c r="I36" s="89" t="n">
        <v>12.406</v>
      </c>
      <c r="J36" s="89" t="n">
        <v>0.034</v>
      </c>
      <c r="K36" s="89" t="n">
        <v>0.363</v>
      </c>
      <c r="L36" s="88" t="n">
        <v>151.3</v>
      </c>
      <c r="M36" s="90" t="n">
        <v>17</v>
      </c>
      <c r="N36" s="88" t="n">
        <v>16.1</v>
      </c>
      <c r="O36" s="89" t="n">
        <v>0.497</v>
      </c>
      <c r="P36" s="89" t="n">
        <v>0.031</v>
      </c>
      <c r="Q36" s="89" t="n">
        <v>0.298</v>
      </c>
      <c r="R36" s="88" t="n">
        <v>7.4</v>
      </c>
      <c r="S36" s="90" t="n">
        <v>1377</v>
      </c>
      <c r="T36" s="88" t="n">
        <v>0</v>
      </c>
      <c r="U36" s="88" t="n">
        <v>9.7</v>
      </c>
      <c r="V36" s="90" t="n">
        <v>23</v>
      </c>
      <c r="W36" s="88" t="n">
        <v>16.4</v>
      </c>
      <c r="X36" s="89" t="n">
        <v>1.066</v>
      </c>
      <c r="Y36" s="89" t="n">
        <v>0.065</v>
      </c>
      <c r="Z36" s="89" t="n">
        <v>0.312</v>
      </c>
      <c r="AA36" s="88" t="n">
        <v>5.1</v>
      </c>
      <c r="AB36" s="90" t="n">
        <v>1821</v>
      </c>
      <c r="AC36" s="88" t="n">
        <v>1.2</v>
      </c>
      <c r="AD36" s="88" t="n">
        <v>11</v>
      </c>
      <c r="AE36" s="90" t="n">
        <v>9</v>
      </c>
      <c r="AF36" s="88" t="n">
        <v>12.1</v>
      </c>
      <c r="AG36" s="89" t="n">
        <v>1.386</v>
      </c>
      <c r="AH36" s="89" t="n">
        <v>0.114</v>
      </c>
      <c r="AI36" s="88" t="n">
        <v>0</v>
      </c>
      <c r="AJ36" s="90" t="n">
        <v>9</v>
      </c>
      <c r="AK36" s="88" t="n">
        <v>347.9</v>
      </c>
      <c r="AL36" s="89" t="n">
        <v>11.021</v>
      </c>
      <c r="AM36" s="89" t="n">
        <v>0.032</v>
      </c>
      <c r="AN36" s="88" t="n">
        <v>151.3</v>
      </c>
      <c r="AO36" s="19"/>
      <c r="AP36" s="19"/>
      <c r="AQ36" s="19"/>
      <c r="AR36" s="19"/>
      <c r="AS36" s="18" t="n">
        <f aca="false">Table2[[#This Row],[Object_A_._head_time]]+Table2[[#This Row],[Object_B_._head_time]]</f>
        <v>32.5</v>
      </c>
      <c r="AT36" s="18"/>
      <c r="AU36" s="18"/>
      <c r="AV36" s="16"/>
      <c r="AW36" s="18"/>
      <c r="AX36" s="19" t="n">
        <f aca="false">(Table2[[#This Row],[Object_A_._head_time]]/(Table2[[#This Row],[Object_A_._head_time]]+Table2[[#This Row],[Object_B_._head_time]]))</f>
        <v>0.495384615384615</v>
      </c>
      <c r="AY36" s="22" t="s">
        <v>64</v>
      </c>
      <c r="AZ36" s="22" t="s">
        <v>65</v>
      </c>
      <c r="BA36" s="22" t="s">
        <v>66</v>
      </c>
      <c r="BB36" s="90" t="n">
        <v>144</v>
      </c>
      <c r="BC36" s="88" t="n">
        <v>4.8</v>
      </c>
      <c r="BD36" s="22" t="s">
        <v>67</v>
      </c>
      <c r="BE36" s="91" t="n">
        <v>3</v>
      </c>
      <c r="BF36" s="22" t="s">
        <v>168</v>
      </c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92"/>
    </row>
    <row r="37" s="93" customFormat="true" ht="12" hidden="false" customHeight="true" outlineLevel="0" collapsed="false">
      <c r="A37" s="22" t="n">
        <v>78</v>
      </c>
      <c r="B37" s="22" t="s">
        <v>169</v>
      </c>
      <c r="C37" s="22" t="s">
        <v>59</v>
      </c>
      <c r="D37" s="22" t="s">
        <v>79</v>
      </c>
      <c r="E37" s="22" t="s">
        <v>310</v>
      </c>
      <c r="F37" s="22" t="s">
        <v>360</v>
      </c>
      <c r="G37" s="22" t="s">
        <v>362</v>
      </c>
      <c r="H37" s="88" t="n">
        <v>360</v>
      </c>
      <c r="I37" s="89" t="n">
        <v>7.799</v>
      </c>
      <c r="J37" s="89" t="n">
        <v>0.022</v>
      </c>
      <c r="K37" s="89" t="n">
        <v>0.331</v>
      </c>
      <c r="L37" s="88" t="n">
        <v>208.4</v>
      </c>
      <c r="M37" s="90" t="n">
        <v>6</v>
      </c>
      <c r="N37" s="88" t="n">
        <v>9.9</v>
      </c>
      <c r="O37" s="89" t="n">
        <v>0.644</v>
      </c>
      <c r="P37" s="89" t="n">
        <v>0.065</v>
      </c>
      <c r="Q37" s="89" t="n">
        <v>0.288</v>
      </c>
      <c r="R37" s="88" t="n">
        <v>2</v>
      </c>
      <c r="S37" s="90" t="n">
        <v>970</v>
      </c>
      <c r="T37" s="88" t="n">
        <v>0</v>
      </c>
      <c r="U37" s="88" t="n">
        <v>2.7</v>
      </c>
      <c r="V37" s="90" t="n">
        <v>31</v>
      </c>
      <c r="W37" s="88" t="n">
        <v>42.6</v>
      </c>
      <c r="X37" s="89" t="n">
        <v>1.08</v>
      </c>
      <c r="Y37" s="89" t="n">
        <v>0.025</v>
      </c>
      <c r="Z37" s="89" t="n">
        <v>0.268</v>
      </c>
      <c r="AA37" s="88" t="n">
        <v>25.2</v>
      </c>
      <c r="AB37" s="90" t="n">
        <v>2945</v>
      </c>
      <c r="AC37" s="88" t="n">
        <v>11.9</v>
      </c>
      <c r="AD37" s="88" t="n">
        <v>27.5</v>
      </c>
      <c r="AE37" s="90" t="n">
        <v>8</v>
      </c>
      <c r="AF37" s="88" t="n">
        <v>6.2</v>
      </c>
      <c r="AG37" s="89" t="n">
        <v>0.698</v>
      </c>
      <c r="AH37" s="89" t="n">
        <v>0.113</v>
      </c>
      <c r="AI37" s="88" t="n">
        <v>0</v>
      </c>
      <c r="AJ37" s="90" t="n">
        <v>8</v>
      </c>
      <c r="AK37" s="88" t="n">
        <v>353.8</v>
      </c>
      <c r="AL37" s="89" t="n">
        <v>7.101</v>
      </c>
      <c r="AM37" s="89" t="n">
        <v>0.02</v>
      </c>
      <c r="AN37" s="88" t="n">
        <v>208.4</v>
      </c>
      <c r="AO37" s="19"/>
      <c r="AP37" s="19"/>
      <c r="AQ37" s="19"/>
      <c r="AR37" s="19"/>
      <c r="AS37" s="18" t="n">
        <f aca="false">Table2[[#This Row],[Object_A_._head_time]]+Table2[[#This Row],[Object_B_._head_time]]</f>
        <v>52.5</v>
      </c>
      <c r="AT37" s="18"/>
      <c r="AU37" s="18"/>
      <c r="AV37" s="16"/>
      <c r="AW37" s="18"/>
      <c r="AX37" s="26" t="n">
        <f aca="false">(Table2[[#This Row],[Object_A_._head_time]]/(Table2[[#This Row],[Object_A_._head_time]]+Table2[[#This Row],[Object_B_._head_time]]))</f>
        <v>0.188571428571429</v>
      </c>
      <c r="AY37" s="22" t="s">
        <v>71</v>
      </c>
      <c r="AZ37" s="22" t="s">
        <v>65</v>
      </c>
      <c r="BA37" s="22" t="s">
        <v>72</v>
      </c>
      <c r="BB37" s="90" t="n">
        <v>144</v>
      </c>
      <c r="BC37" s="88" t="n">
        <v>4.8</v>
      </c>
      <c r="BD37" s="22" t="s">
        <v>67</v>
      </c>
      <c r="BE37" s="91" t="n">
        <v>1</v>
      </c>
      <c r="BF37" s="22" t="s">
        <v>171</v>
      </c>
      <c r="BG37" s="87"/>
      <c r="BH37" s="87"/>
      <c r="BI37" s="87"/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92"/>
    </row>
    <row r="38" s="93" customFormat="true" ht="12" hidden="false" customHeight="true" outlineLevel="0" collapsed="false">
      <c r="A38" s="22" t="n">
        <v>81</v>
      </c>
      <c r="B38" s="22" t="s">
        <v>172</v>
      </c>
      <c r="C38" s="22" t="s">
        <v>59</v>
      </c>
      <c r="D38" s="22" t="s">
        <v>60</v>
      </c>
      <c r="E38" s="22" t="s">
        <v>310</v>
      </c>
      <c r="F38" s="22" t="s">
        <v>363</v>
      </c>
      <c r="G38" s="22" t="s">
        <v>364</v>
      </c>
      <c r="H38" s="88" t="n">
        <v>360</v>
      </c>
      <c r="I38" s="89" t="n">
        <v>41.557</v>
      </c>
      <c r="J38" s="89" t="n">
        <v>0.115</v>
      </c>
      <c r="K38" s="89" t="n">
        <v>0.371</v>
      </c>
      <c r="L38" s="88" t="n">
        <v>3.2</v>
      </c>
      <c r="M38" s="90" t="n">
        <v>45</v>
      </c>
      <c r="N38" s="88" t="n">
        <v>26.8</v>
      </c>
      <c r="O38" s="89" t="n">
        <v>1.191</v>
      </c>
      <c r="P38" s="89" t="n">
        <v>0.044</v>
      </c>
      <c r="Q38" s="89" t="n">
        <v>0.285</v>
      </c>
      <c r="R38" s="88" t="n">
        <v>20.7</v>
      </c>
      <c r="S38" s="90" t="n">
        <v>2731</v>
      </c>
      <c r="T38" s="88" t="n">
        <v>0</v>
      </c>
      <c r="U38" s="88" t="n">
        <v>22.4</v>
      </c>
      <c r="V38" s="90" t="n">
        <v>37</v>
      </c>
      <c r="W38" s="88" t="n">
        <v>23.6</v>
      </c>
      <c r="X38" s="89" t="n">
        <v>0.862</v>
      </c>
      <c r="Y38" s="89" t="n">
        <v>0.037</v>
      </c>
      <c r="Z38" s="89" t="n">
        <v>0.273</v>
      </c>
      <c r="AA38" s="88" t="n">
        <v>19.2</v>
      </c>
      <c r="AB38" s="90" t="n">
        <v>1849</v>
      </c>
      <c r="AC38" s="88" t="n">
        <v>0</v>
      </c>
      <c r="AD38" s="88" t="n">
        <v>23.3</v>
      </c>
      <c r="AE38" s="90" t="n">
        <v>14</v>
      </c>
      <c r="AF38" s="88" t="n">
        <v>14.9</v>
      </c>
      <c r="AG38" s="89" t="n">
        <v>1.775</v>
      </c>
      <c r="AH38" s="89" t="n">
        <v>0.119</v>
      </c>
      <c r="AI38" s="88" t="n">
        <v>0</v>
      </c>
      <c r="AJ38" s="90" t="n">
        <v>14</v>
      </c>
      <c r="AK38" s="88" t="n">
        <v>345.1</v>
      </c>
      <c r="AL38" s="89" t="n">
        <v>39.782</v>
      </c>
      <c r="AM38" s="89" t="n">
        <v>0.115</v>
      </c>
      <c r="AN38" s="88" t="n">
        <v>3.2</v>
      </c>
      <c r="AO38" s="19"/>
      <c r="AP38" s="19"/>
      <c r="AQ38" s="19"/>
      <c r="AR38" s="19"/>
      <c r="AS38" s="18" t="n">
        <f aca="false">Table2[[#This Row],[Object_A_._head_time]]+Table2[[#This Row],[Object_B_._head_time]]</f>
        <v>50.4</v>
      </c>
      <c r="AT38" s="18"/>
      <c r="AU38" s="18"/>
      <c r="AV38" s="16"/>
      <c r="AW38" s="18"/>
      <c r="AX38" s="19" t="n">
        <f aca="false">(Table2[[#This Row],[Object_A_._head_time]]/(Table2[[#This Row],[Object_A_._head_time]]+Table2[[#This Row],[Object_B_._head_time]]))</f>
        <v>0.531746031746032</v>
      </c>
      <c r="AY38" s="22" t="s">
        <v>71</v>
      </c>
      <c r="AZ38" s="22" t="s">
        <v>65</v>
      </c>
      <c r="BA38" s="22" t="s">
        <v>66</v>
      </c>
      <c r="BB38" s="90" t="n">
        <v>144</v>
      </c>
      <c r="BC38" s="88" t="n">
        <v>4.8</v>
      </c>
      <c r="BD38" s="22" t="s">
        <v>81</v>
      </c>
      <c r="BE38" s="91" t="n">
        <v>4</v>
      </c>
      <c r="BF38" s="22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/>
      <c r="BW38" s="87"/>
      <c r="BX38" s="87"/>
      <c r="BY38" s="87"/>
      <c r="BZ38" s="87"/>
      <c r="CA38" s="87"/>
      <c r="CB38" s="87"/>
      <c r="CC38" s="87"/>
      <c r="CD38" s="87"/>
      <c r="CE38" s="87"/>
      <c r="CF38" s="87"/>
      <c r="CG38" s="87"/>
      <c r="CH38" s="87"/>
      <c r="CI38" s="87"/>
      <c r="CJ38" s="87"/>
      <c r="CK38" s="87"/>
      <c r="CL38" s="87"/>
      <c r="CM38" s="87"/>
      <c r="CN38" s="87"/>
      <c r="CO38" s="87"/>
      <c r="CP38" s="87"/>
      <c r="CQ38" s="87"/>
      <c r="CR38" s="87"/>
      <c r="CS38" s="87"/>
      <c r="CT38" s="87"/>
      <c r="CU38" s="92"/>
    </row>
    <row r="39" s="93" customFormat="true" ht="12" hidden="false" customHeight="true" outlineLevel="0" collapsed="false">
      <c r="A39" s="22" t="n">
        <v>80</v>
      </c>
      <c r="B39" s="22" t="s">
        <v>174</v>
      </c>
      <c r="C39" s="22" t="s">
        <v>59</v>
      </c>
      <c r="D39" s="22" t="s">
        <v>69</v>
      </c>
      <c r="E39" s="22" t="s">
        <v>310</v>
      </c>
      <c r="F39" s="22" t="s">
        <v>363</v>
      </c>
      <c r="G39" s="22" t="s">
        <v>365</v>
      </c>
      <c r="H39" s="88" t="n">
        <v>360</v>
      </c>
      <c r="I39" s="89" t="n">
        <v>14.668</v>
      </c>
      <c r="J39" s="89" t="n">
        <v>0.041</v>
      </c>
      <c r="K39" s="89" t="n">
        <v>0.289</v>
      </c>
      <c r="L39" s="88" t="n">
        <v>65.1</v>
      </c>
      <c r="M39" s="90" t="n">
        <v>28</v>
      </c>
      <c r="N39" s="88" t="n">
        <v>40.1</v>
      </c>
      <c r="O39" s="89" t="n">
        <v>1.988</v>
      </c>
      <c r="P39" s="89" t="n">
        <v>0.05</v>
      </c>
      <c r="Q39" s="89" t="n">
        <v>0.264</v>
      </c>
      <c r="R39" s="88" t="n">
        <v>19.7</v>
      </c>
      <c r="S39" s="90" t="n">
        <v>2856</v>
      </c>
      <c r="T39" s="88" t="n">
        <v>4.5</v>
      </c>
      <c r="U39" s="88" t="n">
        <v>14.4</v>
      </c>
      <c r="V39" s="90" t="n">
        <v>30</v>
      </c>
      <c r="W39" s="88" t="n">
        <v>39.2</v>
      </c>
      <c r="X39" s="89" t="n">
        <v>2.126</v>
      </c>
      <c r="Y39" s="89" t="n">
        <v>0.054</v>
      </c>
      <c r="Z39" s="89" t="n">
        <v>0.235</v>
      </c>
      <c r="AA39" s="88" t="n">
        <v>8.4</v>
      </c>
      <c r="AB39" s="90" t="n">
        <v>2854</v>
      </c>
      <c r="AC39" s="88" t="n">
        <v>1.3</v>
      </c>
      <c r="AD39" s="88" t="n">
        <v>6.1</v>
      </c>
      <c r="AE39" s="90" t="n">
        <v>21</v>
      </c>
      <c r="AF39" s="88" t="n">
        <v>57.2</v>
      </c>
      <c r="AG39" s="89" t="n">
        <v>3.451</v>
      </c>
      <c r="AH39" s="89" t="n">
        <v>0.06</v>
      </c>
      <c r="AI39" s="88" t="n">
        <v>5.6</v>
      </c>
      <c r="AJ39" s="90" t="n">
        <v>22</v>
      </c>
      <c r="AK39" s="88" t="n">
        <v>302.8</v>
      </c>
      <c r="AL39" s="89" t="n">
        <v>11.217</v>
      </c>
      <c r="AM39" s="89" t="n">
        <v>0.037</v>
      </c>
      <c r="AN39" s="88" t="n">
        <v>59.5</v>
      </c>
      <c r="AO39" s="19"/>
      <c r="AP39" s="19"/>
      <c r="AQ39" s="19"/>
      <c r="AR39" s="19"/>
      <c r="AS39" s="18" t="n">
        <f aca="false">Table2[[#This Row],[Object_A_._head_time]]+Table2[[#This Row],[Object_B_._head_time]]</f>
        <v>79.3</v>
      </c>
      <c r="AT39" s="18"/>
      <c r="AU39" s="18"/>
      <c r="AV39" s="16"/>
      <c r="AW39" s="18"/>
      <c r="AX39" s="19" t="n">
        <f aca="false">(Table2[[#This Row],[Object_A_._head_time]]/(Table2[[#This Row],[Object_A_._head_time]]+Table2[[#This Row],[Object_B_._head_time]]))</f>
        <v>0.505674653215637</v>
      </c>
      <c r="AY39" s="22" t="s">
        <v>71</v>
      </c>
      <c r="AZ39" s="22" t="s">
        <v>65</v>
      </c>
      <c r="BA39" s="22" t="s">
        <v>72</v>
      </c>
      <c r="BB39" s="90" t="n">
        <v>144</v>
      </c>
      <c r="BC39" s="88" t="n">
        <v>4.8</v>
      </c>
      <c r="BD39" s="22" t="s">
        <v>81</v>
      </c>
      <c r="BE39" s="91" t="n">
        <v>2</v>
      </c>
      <c r="BF39" s="22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/>
      <c r="CI39" s="87"/>
      <c r="CJ39" s="87"/>
      <c r="CK39" s="87"/>
      <c r="CL39" s="87"/>
      <c r="CM39" s="87"/>
      <c r="CN39" s="87"/>
      <c r="CO39" s="87"/>
      <c r="CP39" s="87"/>
      <c r="CQ39" s="87"/>
      <c r="CR39" s="87"/>
      <c r="CS39" s="87"/>
      <c r="CT39" s="87"/>
      <c r="CU39" s="92"/>
    </row>
    <row r="40" s="93" customFormat="true" ht="12" hidden="false" customHeight="true" outlineLevel="0" collapsed="false">
      <c r="A40" s="22" t="n">
        <v>82</v>
      </c>
      <c r="B40" s="22" t="s">
        <v>177</v>
      </c>
      <c r="C40" s="22" t="s">
        <v>59</v>
      </c>
      <c r="D40" s="22" t="s">
        <v>74</v>
      </c>
      <c r="E40" s="22" t="s">
        <v>310</v>
      </c>
      <c r="F40" s="22" t="s">
        <v>363</v>
      </c>
      <c r="G40" s="22" t="s">
        <v>366</v>
      </c>
      <c r="H40" s="88" t="n">
        <v>360</v>
      </c>
      <c r="I40" s="89" t="n">
        <v>9.631</v>
      </c>
      <c r="J40" s="89" t="n">
        <v>0.027</v>
      </c>
      <c r="K40" s="89" t="n">
        <v>0.305</v>
      </c>
      <c r="L40" s="88" t="n">
        <v>49.2</v>
      </c>
      <c r="M40" s="90" t="n">
        <v>33</v>
      </c>
      <c r="N40" s="88" t="n">
        <v>33.7</v>
      </c>
      <c r="O40" s="89" t="n">
        <v>1.429</v>
      </c>
      <c r="P40" s="89" t="n">
        <v>0.042</v>
      </c>
      <c r="Q40" s="89" t="n">
        <v>0.241</v>
      </c>
      <c r="R40" s="88" t="n">
        <v>13.6</v>
      </c>
      <c r="S40" s="90" t="n">
        <v>2467</v>
      </c>
      <c r="T40" s="88" t="n">
        <v>0</v>
      </c>
      <c r="U40" s="88" t="n">
        <v>21</v>
      </c>
      <c r="V40" s="90" t="n">
        <v>12</v>
      </c>
      <c r="W40" s="88" t="n">
        <v>11.7</v>
      </c>
      <c r="X40" s="89" t="n">
        <v>0.922</v>
      </c>
      <c r="Y40" s="89" t="n">
        <v>0.079</v>
      </c>
      <c r="Z40" s="89" t="n">
        <v>0.264</v>
      </c>
      <c r="AA40" s="88" t="n">
        <v>4.6</v>
      </c>
      <c r="AB40" s="90" t="n">
        <v>1112</v>
      </c>
      <c r="AC40" s="88" t="n">
        <v>0</v>
      </c>
      <c r="AD40" s="88" t="n">
        <v>5.6</v>
      </c>
      <c r="AE40" s="90" t="n">
        <v>8</v>
      </c>
      <c r="AF40" s="88" t="n">
        <v>27.2</v>
      </c>
      <c r="AG40" s="89" t="n">
        <v>1.764</v>
      </c>
      <c r="AH40" s="89" t="n">
        <v>0.065</v>
      </c>
      <c r="AI40" s="88" t="n">
        <v>0</v>
      </c>
      <c r="AJ40" s="90" t="n">
        <v>9</v>
      </c>
      <c r="AK40" s="88" t="n">
        <v>332.8</v>
      </c>
      <c r="AL40" s="89" t="n">
        <v>7.866</v>
      </c>
      <c r="AM40" s="89" t="n">
        <v>0.024</v>
      </c>
      <c r="AN40" s="88" t="n">
        <v>49.2</v>
      </c>
      <c r="AO40" s="19"/>
      <c r="AP40" s="19"/>
      <c r="AQ40" s="19"/>
      <c r="AR40" s="19"/>
      <c r="AS40" s="18" t="n">
        <f aca="false">Table2[[#This Row],[Object_A_._head_time]]+Table2[[#This Row],[Object_B_._head_time]]</f>
        <v>45.4</v>
      </c>
      <c r="AT40" s="18"/>
      <c r="AU40" s="18"/>
      <c r="AV40" s="16"/>
      <c r="AW40" s="18"/>
      <c r="AX40" s="19" t="n">
        <f aca="false">(Table2[[#This Row],[Object_A_._head_time]]/(Table2[[#This Row],[Object_A_._head_time]]+Table2[[#This Row],[Object_B_._head_time]]))</f>
        <v>0.742290748898678</v>
      </c>
      <c r="AY40" s="22" t="s">
        <v>64</v>
      </c>
      <c r="AZ40" s="22" t="s">
        <v>65</v>
      </c>
      <c r="BA40" s="22" t="s">
        <v>72</v>
      </c>
      <c r="BB40" s="90" t="n">
        <v>143</v>
      </c>
      <c r="BC40" s="88" t="n">
        <v>4.76666666666667</v>
      </c>
      <c r="BD40" s="22" t="s">
        <v>67</v>
      </c>
      <c r="BE40" s="91" t="n">
        <v>1</v>
      </c>
      <c r="BF40" s="22" t="s">
        <v>179</v>
      </c>
      <c r="BG40" s="87"/>
      <c r="BH40" s="87"/>
      <c r="BI40" s="87"/>
      <c r="BJ40" s="87"/>
      <c r="BK40" s="87"/>
      <c r="BL40" s="87"/>
      <c r="BM40" s="87"/>
      <c r="BN40" s="87"/>
      <c r="BO40" s="87"/>
      <c r="BP40" s="87"/>
      <c r="BQ40" s="87"/>
      <c r="BR40" s="87"/>
      <c r="BS40" s="87"/>
      <c r="BT40" s="87"/>
      <c r="BU40" s="87"/>
      <c r="BV40" s="87"/>
      <c r="BW40" s="87"/>
      <c r="BX40" s="87"/>
      <c r="BY40" s="87"/>
      <c r="BZ40" s="87"/>
      <c r="CA40" s="87"/>
      <c r="CB40" s="87"/>
      <c r="CC40" s="87"/>
      <c r="CD40" s="87"/>
      <c r="CE40" s="87"/>
      <c r="CF40" s="87"/>
      <c r="CG40" s="87"/>
      <c r="CH40" s="87"/>
      <c r="CI40" s="87"/>
      <c r="CJ40" s="87"/>
      <c r="CK40" s="87"/>
      <c r="CL40" s="87"/>
      <c r="CM40" s="87"/>
      <c r="CN40" s="87"/>
      <c r="CO40" s="87"/>
      <c r="CP40" s="87"/>
      <c r="CQ40" s="87"/>
      <c r="CR40" s="87"/>
      <c r="CS40" s="87"/>
      <c r="CT40" s="87"/>
      <c r="CU40" s="92"/>
    </row>
    <row r="41" s="93" customFormat="true" ht="12" hidden="false" customHeight="true" outlineLevel="0" collapsed="false">
      <c r="A41" s="22" t="n">
        <v>83</v>
      </c>
      <c r="B41" s="22" t="s">
        <v>180</v>
      </c>
      <c r="C41" s="22" t="s">
        <v>59</v>
      </c>
      <c r="D41" s="22" t="s">
        <v>79</v>
      </c>
      <c r="E41" s="22" t="s">
        <v>310</v>
      </c>
      <c r="F41" s="22" t="s">
        <v>363</v>
      </c>
      <c r="G41" s="22" t="s">
        <v>367</v>
      </c>
      <c r="H41" s="88" t="n">
        <v>360</v>
      </c>
      <c r="I41" s="89" t="n">
        <v>34.965</v>
      </c>
      <c r="J41" s="89" t="n">
        <v>0.097</v>
      </c>
      <c r="K41" s="89" t="n">
        <v>0.281</v>
      </c>
      <c r="L41" s="88" t="n">
        <v>2.3</v>
      </c>
      <c r="M41" s="90" t="n">
        <v>35</v>
      </c>
      <c r="N41" s="88" t="n">
        <v>20.8</v>
      </c>
      <c r="O41" s="89" t="n">
        <v>1.659</v>
      </c>
      <c r="P41" s="89" t="n">
        <v>0.08</v>
      </c>
      <c r="Q41" s="89" t="n">
        <v>0.256</v>
      </c>
      <c r="R41" s="88" t="n">
        <v>8.6</v>
      </c>
      <c r="S41" s="90" t="n">
        <v>1801</v>
      </c>
      <c r="T41" s="88" t="n">
        <v>0</v>
      </c>
      <c r="U41" s="88" t="n">
        <v>11.1</v>
      </c>
      <c r="V41" s="90" t="n">
        <v>22</v>
      </c>
      <c r="W41" s="88" t="n">
        <v>22.7</v>
      </c>
      <c r="X41" s="89" t="n">
        <v>1.008</v>
      </c>
      <c r="Y41" s="89" t="n">
        <v>0.044</v>
      </c>
      <c r="Z41" s="89" t="n">
        <v>0.242</v>
      </c>
      <c r="AA41" s="88" t="n">
        <v>15.3</v>
      </c>
      <c r="AB41" s="90" t="n">
        <v>1831</v>
      </c>
      <c r="AC41" s="88" t="n">
        <v>0</v>
      </c>
      <c r="AD41" s="88" t="n">
        <v>13.4</v>
      </c>
      <c r="AE41" s="90" t="n">
        <v>18</v>
      </c>
      <c r="AF41" s="88" t="n">
        <v>27.3</v>
      </c>
      <c r="AG41" s="89" t="n">
        <v>3.125</v>
      </c>
      <c r="AH41" s="89" t="n">
        <v>0.114</v>
      </c>
      <c r="AI41" s="88" t="n">
        <v>0</v>
      </c>
      <c r="AJ41" s="90" t="n">
        <v>18</v>
      </c>
      <c r="AK41" s="88" t="n">
        <v>332.7</v>
      </c>
      <c r="AL41" s="89" t="n">
        <v>31.84</v>
      </c>
      <c r="AM41" s="89" t="n">
        <v>0.096</v>
      </c>
      <c r="AN41" s="88" t="n">
        <v>2.3</v>
      </c>
      <c r="AO41" s="19"/>
      <c r="AP41" s="19"/>
      <c r="AQ41" s="19"/>
      <c r="AR41" s="19"/>
      <c r="AS41" s="18" t="n">
        <f aca="false">Table2[[#This Row],[Object_A_._head_time]]+Table2[[#This Row],[Object_B_._head_time]]</f>
        <v>43.5</v>
      </c>
      <c r="AT41" s="18"/>
      <c r="AU41" s="18"/>
      <c r="AV41" s="16"/>
      <c r="AW41" s="18"/>
      <c r="AX41" s="19" t="n">
        <f aca="false">(Table2[[#This Row],[Object_A_._head_time]]/(Table2[[#This Row],[Object_A_._head_time]]+Table2[[#This Row],[Object_B_._head_time]]))</f>
        <v>0.47816091954023</v>
      </c>
      <c r="AY41" s="22" t="s">
        <v>71</v>
      </c>
      <c r="AZ41" s="22" t="s">
        <v>65</v>
      </c>
      <c r="BA41" s="22" t="s">
        <v>72</v>
      </c>
      <c r="BB41" s="90" t="n">
        <v>136</v>
      </c>
      <c r="BC41" s="88" t="n">
        <v>4.53333333333333</v>
      </c>
      <c r="BD41" s="22" t="s">
        <v>81</v>
      </c>
      <c r="BE41" s="91" t="n">
        <v>2</v>
      </c>
      <c r="BF41" s="22" t="s">
        <v>182</v>
      </c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87"/>
      <c r="BV41" s="87"/>
      <c r="BW41" s="87"/>
      <c r="BX41" s="87"/>
      <c r="BY41" s="87"/>
      <c r="BZ41" s="87"/>
      <c r="CA41" s="87"/>
      <c r="CB41" s="87"/>
      <c r="CC41" s="87"/>
      <c r="CD41" s="87"/>
      <c r="CE41" s="87"/>
      <c r="CF41" s="87"/>
      <c r="CG41" s="87"/>
      <c r="CH41" s="87"/>
      <c r="CI41" s="87"/>
      <c r="CJ41" s="87"/>
      <c r="CK41" s="87"/>
      <c r="CL41" s="87"/>
      <c r="CM41" s="87"/>
      <c r="CN41" s="87"/>
      <c r="CO41" s="87"/>
      <c r="CP41" s="87"/>
      <c r="CQ41" s="87"/>
      <c r="CR41" s="87"/>
      <c r="CS41" s="87"/>
      <c r="CT41" s="87"/>
      <c r="CU41" s="92"/>
    </row>
    <row r="42" s="93" customFormat="true" ht="12" hidden="false" customHeight="true" outlineLevel="0" collapsed="false">
      <c r="A42" s="22" t="n">
        <v>85</v>
      </c>
      <c r="B42" s="22" t="s">
        <v>183</v>
      </c>
      <c r="C42" s="22" t="s">
        <v>59</v>
      </c>
      <c r="D42" s="22" t="s">
        <v>60</v>
      </c>
      <c r="E42" s="22" t="s">
        <v>310</v>
      </c>
      <c r="F42" s="22" t="s">
        <v>368</v>
      </c>
      <c r="G42" s="22" t="s">
        <v>369</v>
      </c>
      <c r="H42" s="88" t="n">
        <v>360</v>
      </c>
      <c r="I42" s="89" t="n">
        <v>16.354</v>
      </c>
      <c r="J42" s="89" t="n">
        <v>0.045</v>
      </c>
      <c r="K42" s="89" t="n">
        <v>0.278</v>
      </c>
      <c r="L42" s="88" t="n">
        <v>29.7</v>
      </c>
      <c r="M42" s="90" t="n">
        <v>18</v>
      </c>
      <c r="N42" s="88" t="n">
        <v>17.4</v>
      </c>
      <c r="O42" s="89" t="n">
        <v>0.758</v>
      </c>
      <c r="P42" s="89" t="n">
        <v>0.044</v>
      </c>
      <c r="Q42" s="89" t="n">
        <v>0.165</v>
      </c>
      <c r="R42" s="88" t="n">
        <v>6.9</v>
      </c>
      <c r="S42" s="90" t="n">
        <v>1133</v>
      </c>
      <c r="T42" s="88" t="n">
        <v>0</v>
      </c>
      <c r="U42" s="88" t="n">
        <v>12.5</v>
      </c>
      <c r="V42" s="90" t="n">
        <v>25</v>
      </c>
      <c r="W42" s="88" t="n">
        <v>20.8</v>
      </c>
      <c r="X42" s="89" t="n">
        <v>0.656</v>
      </c>
      <c r="Y42" s="89" t="n">
        <v>0.032</v>
      </c>
      <c r="Z42" s="89" t="n">
        <v>0.162</v>
      </c>
      <c r="AA42" s="88" t="n">
        <v>12.5</v>
      </c>
      <c r="AB42" s="90" t="n">
        <v>1220</v>
      </c>
      <c r="AC42" s="88" t="n">
        <v>0</v>
      </c>
      <c r="AD42" s="88" t="n">
        <v>17.7</v>
      </c>
      <c r="AE42" s="90" t="n">
        <v>7</v>
      </c>
      <c r="AF42" s="88" t="n">
        <v>6.6</v>
      </c>
      <c r="AG42" s="89" t="n">
        <v>0.932</v>
      </c>
      <c r="AH42" s="89" t="n">
        <v>0.141</v>
      </c>
      <c r="AI42" s="88" t="n">
        <v>0</v>
      </c>
      <c r="AJ42" s="90" t="n">
        <v>8</v>
      </c>
      <c r="AK42" s="88" t="n">
        <v>353.4</v>
      </c>
      <c r="AL42" s="89" t="n">
        <v>15.422</v>
      </c>
      <c r="AM42" s="89" t="n">
        <v>0.044</v>
      </c>
      <c r="AN42" s="88" t="n">
        <v>29.7</v>
      </c>
      <c r="AO42" s="19"/>
      <c r="AP42" s="19"/>
      <c r="AQ42" s="19"/>
      <c r="AR42" s="19"/>
      <c r="AS42" s="18" t="n">
        <f aca="false">Table2[[#This Row],[Object_A_._head_time]]+Table2[[#This Row],[Object_B_._head_time]]</f>
        <v>38.2</v>
      </c>
      <c r="AT42" s="18"/>
      <c r="AU42" s="18"/>
      <c r="AV42" s="16"/>
      <c r="AW42" s="18"/>
      <c r="AX42" s="19" t="n">
        <f aca="false">(Table2[[#This Row],[Object_A_._head_time]]/(Table2[[#This Row],[Object_A_._head_time]]+Table2[[#This Row],[Object_B_._head_time]]))</f>
        <v>0.455497382198953</v>
      </c>
      <c r="AY42" s="22" t="s">
        <v>71</v>
      </c>
      <c r="AZ42" s="22" t="s">
        <v>76</v>
      </c>
      <c r="BA42" s="22" t="s">
        <v>72</v>
      </c>
      <c r="BB42" s="90" t="n">
        <v>125</v>
      </c>
      <c r="BC42" s="88" t="n">
        <v>4.16666666666667</v>
      </c>
      <c r="BD42" s="88" t="s">
        <v>67</v>
      </c>
      <c r="BE42" s="91" t="n">
        <v>5</v>
      </c>
      <c r="BF42" s="22"/>
      <c r="BG42" s="87"/>
      <c r="BH42" s="87"/>
      <c r="BI42" s="87"/>
      <c r="BJ42" s="87"/>
      <c r="BK42" s="87"/>
      <c r="BL42" s="87"/>
      <c r="BM42" s="87"/>
      <c r="BN42" s="87"/>
      <c r="BO42" s="87"/>
      <c r="BP42" s="87"/>
      <c r="BQ42" s="87"/>
      <c r="BR42" s="87"/>
      <c r="BS42" s="87"/>
      <c r="BT42" s="87"/>
      <c r="BU42" s="87"/>
      <c r="BV42" s="87"/>
      <c r="BW42" s="87"/>
      <c r="BX42" s="87"/>
      <c r="BY42" s="87"/>
      <c r="BZ42" s="87"/>
      <c r="CA42" s="87"/>
      <c r="CB42" s="87"/>
      <c r="CC42" s="87"/>
      <c r="CD42" s="87"/>
      <c r="CE42" s="87"/>
      <c r="CF42" s="87"/>
      <c r="CG42" s="87"/>
      <c r="CH42" s="87"/>
      <c r="CI42" s="87"/>
      <c r="CJ42" s="87"/>
      <c r="CK42" s="87"/>
      <c r="CL42" s="87"/>
      <c r="CM42" s="87"/>
      <c r="CN42" s="87"/>
      <c r="CO42" s="87"/>
      <c r="CP42" s="87"/>
      <c r="CQ42" s="87"/>
      <c r="CR42" s="87"/>
      <c r="CS42" s="87"/>
      <c r="CT42" s="87"/>
      <c r="CU42" s="92"/>
    </row>
    <row r="43" s="93" customFormat="true" ht="9" hidden="false" customHeight="true" outlineLevel="0" collapsed="false">
      <c r="A43" s="22" t="n">
        <v>84</v>
      </c>
      <c r="B43" s="22" t="s">
        <v>185</v>
      </c>
      <c r="C43" s="22" t="s">
        <v>59</v>
      </c>
      <c r="D43" s="22" t="s">
        <v>69</v>
      </c>
      <c r="E43" s="22" t="s">
        <v>310</v>
      </c>
      <c r="F43" s="22" t="s">
        <v>368</v>
      </c>
      <c r="G43" s="22" t="s">
        <v>370</v>
      </c>
      <c r="H43" s="88" t="n">
        <v>360</v>
      </c>
      <c r="I43" s="89" t="n">
        <v>14.274</v>
      </c>
      <c r="J43" s="89" t="n">
        <v>0.04</v>
      </c>
      <c r="K43" s="89" t="n">
        <v>0.291</v>
      </c>
      <c r="L43" s="88" t="n">
        <v>33.2</v>
      </c>
      <c r="M43" s="90" t="n">
        <v>21</v>
      </c>
      <c r="N43" s="88" t="n">
        <v>27.2</v>
      </c>
      <c r="O43" s="89" t="n">
        <v>1.098</v>
      </c>
      <c r="P43" s="89" t="n">
        <v>0.04</v>
      </c>
      <c r="Q43" s="89" t="n">
        <v>0.162</v>
      </c>
      <c r="R43" s="88" t="n">
        <v>14</v>
      </c>
      <c r="S43" s="90" t="n">
        <v>2020</v>
      </c>
      <c r="T43" s="88" t="n">
        <v>0</v>
      </c>
      <c r="U43" s="88" t="n">
        <v>17.8</v>
      </c>
      <c r="V43" s="90" t="n">
        <v>20</v>
      </c>
      <c r="W43" s="88" t="n">
        <v>22.7</v>
      </c>
      <c r="X43" s="89" t="n">
        <v>0.884</v>
      </c>
      <c r="Y43" s="89" t="n">
        <v>0.039</v>
      </c>
      <c r="Z43" s="89" t="n">
        <v>0.156</v>
      </c>
      <c r="AA43" s="88" t="n">
        <v>12.7</v>
      </c>
      <c r="AB43" s="90" t="n">
        <v>1727</v>
      </c>
      <c r="AC43" s="88" t="n">
        <v>0</v>
      </c>
      <c r="AD43" s="88" t="n">
        <v>15.6</v>
      </c>
      <c r="AE43" s="90" t="n">
        <v>7</v>
      </c>
      <c r="AF43" s="88" t="n">
        <v>15.9</v>
      </c>
      <c r="AG43" s="89" t="n">
        <v>1.202</v>
      </c>
      <c r="AH43" s="89" t="n">
        <v>0.076</v>
      </c>
      <c r="AI43" s="88" t="n">
        <v>0</v>
      </c>
      <c r="AJ43" s="90" t="n">
        <v>8</v>
      </c>
      <c r="AK43" s="88" t="n">
        <v>344.1</v>
      </c>
      <c r="AL43" s="89" t="n">
        <v>13.072</v>
      </c>
      <c r="AM43" s="89" t="n">
        <v>0.038</v>
      </c>
      <c r="AN43" s="88" t="n">
        <v>33.2</v>
      </c>
      <c r="AO43" s="19"/>
      <c r="AP43" s="19"/>
      <c r="AQ43" s="19"/>
      <c r="AR43" s="19"/>
      <c r="AS43" s="18" t="n">
        <f aca="false">Table2[[#This Row],[Object_A_._head_time]]+Table2[[#This Row],[Object_B_._head_time]]</f>
        <v>49.9</v>
      </c>
      <c r="AT43" s="18"/>
      <c r="AU43" s="18"/>
      <c r="AV43" s="16"/>
      <c r="AW43" s="18"/>
      <c r="AX43" s="19" t="n">
        <f aca="false">(Table2[[#This Row],[Object_A_._head_time]]/(Table2[[#This Row],[Object_A_._head_time]]+Table2[[#This Row],[Object_B_._head_time]]))</f>
        <v>0.545090180360721</v>
      </c>
      <c r="AY43" s="22" t="s">
        <v>71</v>
      </c>
      <c r="AZ43" s="22" t="s">
        <v>76</v>
      </c>
      <c r="BA43" s="22" t="s">
        <v>66</v>
      </c>
      <c r="BB43" s="90" t="n">
        <v>125</v>
      </c>
      <c r="BC43" s="88" t="n">
        <v>4.16666666666667</v>
      </c>
      <c r="BD43" s="88" t="s">
        <v>81</v>
      </c>
      <c r="BE43" s="91" t="n">
        <v>8</v>
      </c>
      <c r="BF43" s="22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87"/>
      <c r="CF43" s="87"/>
      <c r="CG43" s="87"/>
      <c r="CH43" s="87"/>
      <c r="CI43" s="87"/>
      <c r="CJ43" s="87"/>
      <c r="CK43" s="87"/>
      <c r="CL43" s="87"/>
      <c r="CM43" s="87"/>
      <c r="CN43" s="87"/>
      <c r="CO43" s="87"/>
      <c r="CP43" s="87"/>
      <c r="CQ43" s="87"/>
      <c r="CR43" s="87"/>
      <c r="CS43" s="87"/>
      <c r="CT43" s="87"/>
      <c r="CU43" s="92"/>
    </row>
    <row r="44" s="93" customFormat="true" ht="12" hidden="false" customHeight="true" outlineLevel="0" collapsed="false">
      <c r="A44" s="22" t="n">
        <v>86</v>
      </c>
      <c r="B44" s="22" t="s">
        <v>188</v>
      </c>
      <c r="C44" s="22" t="s">
        <v>59</v>
      </c>
      <c r="D44" s="22" t="s">
        <v>74</v>
      </c>
      <c r="E44" s="22" t="s">
        <v>310</v>
      </c>
      <c r="F44" s="22" t="s">
        <v>368</v>
      </c>
      <c r="G44" s="22" t="s">
        <v>371</v>
      </c>
      <c r="H44" s="88" t="n">
        <v>360</v>
      </c>
      <c r="I44" s="89" t="n">
        <v>15.851</v>
      </c>
      <c r="J44" s="89" t="n">
        <v>0.044</v>
      </c>
      <c r="K44" s="89" t="n">
        <v>0.243</v>
      </c>
      <c r="L44" s="88" t="n">
        <v>27.8</v>
      </c>
      <c r="M44" s="90" t="n">
        <v>34</v>
      </c>
      <c r="N44" s="88" t="n">
        <v>42.1</v>
      </c>
      <c r="O44" s="89" t="n">
        <v>2.782</v>
      </c>
      <c r="P44" s="89" t="n">
        <v>0.066</v>
      </c>
      <c r="Q44" s="89" t="n">
        <v>0.238</v>
      </c>
      <c r="R44" s="88" t="n">
        <v>9.8</v>
      </c>
      <c r="S44" s="90" t="n">
        <v>3490</v>
      </c>
      <c r="T44" s="88" t="n">
        <v>0</v>
      </c>
      <c r="U44" s="88" t="n">
        <v>8.4</v>
      </c>
      <c r="V44" s="90" t="n">
        <v>21</v>
      </c>
      <c r="W44" s="88" t="n">
        <v>40.9</v>
      </c>
      <c r="X44" s="89" t="n">
        <v>2.046</v>
      </c>
      <c r="Y44" s="89" t="n">
        <v>0.05</v>
      </c>
      <c r="Z44" s="89" t="n">
        <v>0.23</v>
      </c>
      <c r="AA44" s="88" t="n">
        <v>6.5</v>
      </c>
      <c r="AB44" s="90" t="n">
        <v>2823</v>
      </c>
      <c r="AC44" s="88" t="n">
        <v>0</v>
      </c>
      <c r="AD44" s="88" t="n">
        <v>7.9</v>
      </c>
      <c r="AE44" s="90" t="n">
        <v>26</v>
      </c>
      <c r="AF44" s="88" t="n">
        <v>32.9</v>
      </c>
      <c r="AG44" s="89" t="n">
        <v>2.544</v>
      </c>
      <c r="AH44" s="89" t="n">
        <v>0.077</v>
      </c>
      <c r="AI44" s="88" t="n">
        <v>0</v>
      </c>
      <c r="AJ44" s="90" t="n">
        <v>26</v>
      </c>
      <c r="AK44" s="88" t="n">
        <v>327.1</v>
      </c>
      <c r="AL44" s="89" t="n">
        <v>13.307</v>
      </c>
      <c r="AM44" s="89" t="n">
        <v>0.041</v>
      </c>
      <c r="AN44" s="88" t="n">
        <v>27.8</v>
      </c>
      <c r="AO44" s="19"/>
      <c r="AP44" s="19"/>
      <c r="AQ44" s="19"/>
      <c r="AR44" s="19"/>
      <c r="AS44" s="18" t="n">
        <f aca="false">Table2[[#This Row],[Object_A_._head_time]]+Table2[[#This Row],[Object_B_._head_time]]</f>
        <v>83</v>
      </c>
      <c r="AT44" s="18"/>
      <c r="AU44" s="18"/>
      <c r="AV44" s="16"/>
      <c r="AW44" s="18"/>
      <c r="AX44" s="19" t="n">
        <f aca="false">(Table2[[#This Row],[Object_A_._head_time]]/(Table2[[#This Row],[Object_A_._head_time]]+Table2[[#This Row],[Object_B_._head_time]]))</f>
        <v>0.507228915662651</v>
      </c>
      <c r="AY44" s="22" t="s">
        <v>71</v>
      </c>
      <c r="AZ44" s="22" t="s">
        <v>76</v>
      </c>
      <c r="BA44" s="22" t="s">
        <v>66</v>
      </c>
      <c r="BB44" s="90" t="n">
        <v>125</v>
      </c>
      <c r="BC44" s="88" t="n">
        <v>4.16666666666667</v>
      </c>
      <c r="BD44" s="88" t="s">
        <v>67</v>
      </c>
      <c r="BE44" s="91" t="n">
        <v>7</v>
      </c>
      <c r="BF44" s="22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7"/>
      <c r="BR44" s="87"/>
      <c r="BS44" s="87"/>
      <c r="BT44" s="87"/>
      <c r="BU44" s="87"/>
      <c r="BV44" s="87"/>
      <c r="BW44" s="87"/>
      <c r="BX44" s="87"/>
      <c r="BY44" s="87"/>
      <c r="BZ44" s="87"/>
      <c r="CA44" s="87"/>
      <c r="CB44" s="87"/>
      <c r="CC44" s="87"/>
      <c r="CD44" s="87"/>
      <c r="CE44" s="87"/>
      <c r="CF44" s="87"/>
      <c r="CG44" s="87"/>
      <c r="CH44" s="87"/>
      <c r="CI44" s="87"/>
      <c r="CJ44" s="87"/>
      <c r="CK44" s="87"/>
      <c r="CL44" s="87"/>
      <c r="CM44" s="87"/>
      <c r="CN44" s="87"/>
      <c r="CO44" s="87"/>
      <c r="CP44" s="87"/>
      <c r="CQ44" s="87"/>
      <c r="CR44" s="87"/>
      <c r="CS44" s="87"/>
      <c r="CT44" s="87"/>
      <c r="CU44" s="92"/>
    </row>
    <row r="45" s="99" customFormat="true" ht="12" hidden="false" customHeight="true" outlineLevel="0" collapsed="false">
      <c r="A45" s="45" t="n">
        <v>90</v>
      </c>
      <c r="B45" s="45" t="s">
        <v>58</v>
      </c>
      <c r="C45" s="45" t="s">
        <v>190</v>
      </c>
      <c r="D45" s="45" t="s">
        <v>60</v>
      </c>
      <c r="E45" s="45" t="s">
        <v>310</v>
      </c>
      <c r="F45" s="45" t="s">
        <v>372</v>
      </c>
      <c r="G45" s="45" t="s">
        <v>373</v>
      </c>
      <c r="H45" s="94" t="n">
        <v>360</v>
      </c>
      <c r="I45" s="95" t="n">
        <v>4.931</v>
      </c>
      <c r="J45" s="95" t="n">
        <v>0.014</v>
      </c>
      <c r="K45" s="95" t="n">
        <v>0.195</v>
      </c>
      <c r="L45" s="94" t="n">
        <v>126.4</v>
      </c>
      <c r="M45" s="96" t="n">
        <v>43</v>
      </c>
      <c r="N45" s="94" t="n">
        <v>49.3</v>
      </c>
      <c r="O45" s="95" t="n">
        <v>0.286</v>
      </c>
      <c r="P45" s="95" t="n">
        <v>0.006</v>
      </c>
      <c r="Q45" s="95" t="n">
        <v>0.153</v>
      </c>
      <c r="R45" s="94" t="n">
        <v>22.6</v>
      </c>
      <c r="S45" s="96" t="n">
        <v>2503</v>
      </c>
      <c r="T45" s="94" t="n">
        <v>14.4</v>
      </c>
      <c r="U45" s="94" t="n">
        <v>40.7</v>
      </c>
      <c r="V45" s="96" t="n">
        <v>14</v>
      </c>
      <c r="W45" s="94" t="n">
        <v>91.6</v>
      </c>
      <c r="X45" s="95" t="n">
        <v>0.356</v>
      </c>
      <c r="Y45" s="95" t="n">
        <v>0.004</v>
      </c>
      <c r="Z45" s="95" t="n">
        <v>0.193</v>
      </c>
      <c r="AA45" s="94" t="n">
        <v>29.3</v>
      </c>
      <c r="AB45" s="96" t="n">
        <v>4089</v>
      </c>
      <c r="AC45" s="94" t="n">
        <v>56.6</v>
      </c>
      <c r="AD45" s="94" t="n">
        <v>87.8</v>
      </c>
      <c r="AE45" s="96" t="n">
        <v>5</v>
      </c>
      <c r="AF45" s="94" t="n">
        <v>8.4</v>
      </c>
      <c r="AG45" s="95" t="n">
        <v>0.752</v>
      </c>
      <c r="AH45" s="95" t="n">
        <v>0.089</v>
      </c>
      <c r="AI45" s="94" t="n">
        <v>0</v>
      </c>
      <c r="AJ45" s="96" t="n">
        <v>5</v>
      </c>
      <c r="AK45" s="94" t="n">
        <v>351.6</v>
      </c>
      <c r="AL45" s="95" t="n">
        <v>4.179</v>
      </c>
      <c r="AM45" s="95" t="n">
        <v>0.012</v>
      </c>
      <c r="AN45" s="94" t="n">
        <v>126.4</v>
      </c>
      <c r="AO45" s="43"/>
      <c r="AP45" s="43"/>
      <c r="AQ45" s="43"/>
      <c r="AR45" s="43"/>
      <c r="AS45" s="42"/>
      <c r="AT45" s="42" t="n">
        <f aca="false">Table2[[#This Row],[Object_A_._head_time]]+Table2[[#This Row],[Object_B_._head_time]]</f>
        <v>140.9</v>
      </c>
      <c r="AU45" s="42" t="n">
        <f aca="false">Table2[[#This Row],[Object_B_._head_time]]-Table2[[#This Row],[Object_A_._head_time]]</f>
        <v>42.3</v>
      </c>
      <c r="AV45" s="40" t="n">
        <f aca="false">Table2[[#This Row],[D1: Absolute discrimination measure (D1 = B2- A2)]]/Table2[[#This Row],[E2: total exploration time in second trial E2 ( E2 = A2 + B2)]]</f>
        <v>0.300212916962385</v>
      </c>
      <c r="AW45" s="43" t="n">
        <f aca="false">(W45/AT45)</f>
        <v>0.650106458481192</v>
      </c>
      <c r="AX45" s="42"/>
      <c r="AY45" s="45" t="s">
        <v>64</v>
      </c>
      <c r="AZ45" s="45" t="s">
        <v>65</v>
      </c>
      <c r="BA45" s="45" t="s">
        <v>66</v>
      </c>
      <c r="BB45" s="96" t="n">
        <v>182</v>
      </c>
      <c r="BC45" s="94" t="n">
        <v>6.06666666666667</v>
      </c>
      <c r="BD45" s="45" t="s">
        <v>67</v>
      </c>
      <c r="BE45" s="97" t="n">
        <v>3</v>
      </c>
      <c r="BF45" s="45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7"/>
      <c r="BR45" s="87"/>
      <c r="BS45" s="87"/>
      <c r="BT45" s="87"/>
      <c r="BU45" s="87"/>
      <c r="BV45" s="87"/>
      <c r="BW45" s="87"/>
      <c r="BX45" s="87"/>
      <c r="BY45" s="87"/>
      <c r="BZ45" s="87"/>
      <c r="CA45" s="87"/>
      <c r="CB45" s="87"/>
      <c r="CC45" s="87"/>
      <c r="CD45" s="87"/>
      <c r="CE45" s="87"/>
      <c r="CF45" s="87"/>
      <c r="CG45" s="87"/>
      <c r="CH45" s="87"/>
      <c r="CI45" s="87"/>
      <c r="CJ45" s="87"/>
      <c r="CK45" s="87"/>
      <c r="CL45" s="87"/>
      <c r="CM45" s="87"/>
      <c r="CN45" s="87"/>
      <c r="CO45" s="87"/>
      <c r="CP45" s="87"/>
      <c r="CQ45" s="87"/>
      <c r="CR45" s="87"/>
      <c r="CS45" s="87"/>
      <c r="CT45" s="87"/>
      <c r="CU45" s="98"/>
    </row>
    <row r="46" s="99" customFormat="true" ht="12" hidden="false" customHeight="true" outlineLevel="0" collapsed="false">
      <c r="A46" s="45" t="n">
        <v>89</v>
      </c>
      <c r="B46" s="45" t="s">
        <v>68</v>
      </c>
      <c r="C46" s="45" t="s">
        <v>190</v>
      </c>
      <c r="D46" s="45" t="s">
        <v>69</v>
      </c>
      <c r="E46" s="45" t="s">
        <v>310</v>
      </c>
      <c r="F46" s="45" t="s">
        <v>374</v>
      </c>
      <c r="G46" s="45" t="s">
        <v>375</v>
      </c>
      <c r="H46" s="94" t="n">
        <v>360</v>
      </c>
      <c r="I46" s="95" t="n">
        <v>6.784</v>
      </c>
      <c r="J46" s="95" t="n">
        <v>0.019</v>
      </c>
      <c r="K46" s="95" t="n">
        <v>0.237</v>
      </c>
      <c r="L46" s="94" t="n">
        <v>46.3</v>
      </c>
      <c r="M46" s="96" t="n">
        <v>11</v>
      </c>
      <c r="N46" s="94" t="n">
        <v>13.9</v>
      </c>
      <c r="O46" s="95" t="n">
        <v>0.449</v>
      </c>
      <c r="P46" s="95" t="n">
        <v>0.032</v>
      </c>
      <c r="Q46" s="95" t="n">
        <v>0.235</v>
      </c>
      <c r="R46" s="94" t="n">
        <v>5.9</v>
      </c>
      <c r="S46" s="96" t="n">
        <v>804</v>
      </c>
      <c r="T46" s="94" t="n">
        <v>1.7</v>
      </c>
      <c r="U46" s="94" t="n">
        <v>7.5</v>
      </c>
      <c r="V46" s="96" t="n">
        <v>27</v>
      </c>
      <c r="W46" s="94" t="n">
        <v>39.7</v>
      </c>
      <c r="X46" s="95" t="n">
        <v>0.588</v>
      </c>
      <c r="Y46" s="95" t="n">
        <v>0.015</v>
      </c>
      <c r="Z46" s="95" t="n">
        <v>0.151</v>
      </c>
      <c r="AA46" s="94" t="n">
        <v>21</v>
      </c>
      <c r="AB46" s="96" t="n">
        <v>2224</v>
      </c>
      <c r="AC46" s="94" t="n">
        <v>3.1</v>
      </c>
      <c r="AD46" s="94" t="n">
        <v>32.5</v>
      </c>
      <c r="AE46" s="96" t="n">
        <v>4</v>
      </c>
      <c r="AF46" s="94" t="n">
        <v>67.7</v>
      </c>
      <c r="AG46" s="95" t="n">
        <v>0.71</v>
      </c>
      <c r="AH46" s="95" t="n">
        <v>0.01</v>
      </c>
      <c r="AI46" s="94" t="n">
        <v>6.9</v>
      </c>
      <c r="AJ46" s="96" t="n">
        <v>5</v>
      </c>
      <c r="AK46" s="94" t="n">
        <v>292.3</v>
      </c>
      <c r="AL46" s="95" t="n">
        <v>6.074</v>
      </c>
      <c r="AM46" s="95" t="n">
        <v>0.021</v>
      </c>
      <c r="AN46" s="94" t="n">
        <v>39.3</v>
      </c>
      <c r="AO46" s="43"/>
      <c r="AP46" s="43"/>
      <c r="AQ46" s="43"/>
      <c r="AR46" s="43"/>
      <c r="AS46" s="42"/>
      <c r="AT46" s="42" t="n">
        <f aca="false">Table2[[#This Row],[Object_A_._head_time]]+Table2[[#This Row],[Object_B_._head_time]]</f>
        <v>53.6</v>
      </c>
      <c r="AU46" s="42" t="n">
        <f aca="false">Table2[[#This Row],[Object_B_._head_time]]-Table2[[#This Row],[Object_A_._head_time]]</f>
        <v>25.8</v>
      </c>
      <c r="AV46" s="40" t="n">
        <f aca="false">Table2[[#This Row],[D1: Absolute discrimination measure (D1 = B2- A2)]]/Table2[[#This Row],[E2: total exploration time in second trial E2 ( E2 = A2 + B2)]]</f>
        <v>0.48134328358209</v>
      </c>
      <c r="AW46" s="43" t="n">
        <f aca="false">(W46/AT46)</f>
        <v>0.740671641791045</v>
      </c>
      <c r="AX46" s="42"/>
      <c r="AY46" s="45" t="s">
        <v>71</v>
      </c>
      <c r="AZ46" s="45" t="s">
        <v>65</v>
      </c>
      <c r="BA46" s="45" t="s">
        <v>72</v>
      </c>
      <c r="BB46" s="96" t="n">
        <v>182</v>
      </c>
      <c r="BC46" s="94" t="n">
        <v>6.06666666666667</v>
      </c>
      <c r="BD46" s="45" t="s">
        <v>67</v>
      </c>
      <c r="BE46" s="97" t="n">
        <v>1</v>
      </c>
      <c r="BF46" s="45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7"/>
      <c r="BR46" s="87"/>
      <c r="BS46" s="87"/>
      <c r="BT46" s="87"/>
      <c r="BU46" s="87"/>
      <c r="BV46" s="87"/>
      <c r="BW46" s="87"/>
      <c r="BX46" s="87"/>
      <c r="BY46" s="87"/>
      <c r="BZ46" s="87"/>
      <c r="CA46" s="87"/>
      <c r="CB46" s="87"/>
      <c r="CC46" s="87"/>
      <c r="CD46" s="87"/>
      <c r="CE46" s="87"/>
      <c r="CF46" s="87"/>
      <c r="CG46" s="87"/>
      <c r="CH46" s="87"/>
      <c r="CI46" s="87"/>
      <c r="CJ46" s="87"/>
      <c r="CK46" s="87"/>
      <c r="CL46" s="87"/>
      <c r="CM46" s="87"/>
      <c r="CN46" s="87"/>
      <c r="CO46" s="87"/>
      <c r="CP46" s="87"/>
      <c r="CQ46" s="87"/>
      <c r="CR46" s="87"/>
      <c r="CS46" s="87"/>
      <c r="CT46" s="87"/>
      <c r="CU46" s="98"/>
    </row>
    <row r="47" s="99" customFormat="true" ht="12" hidden="false" customHeight="true" outlineLevel="0" collapsed="false">
      <c r="A47" s="45" t="n">
        <v>87</v>
      </c>
      <c r="B47" s="45" t="s">
        <v>73</v>
      </c>
      <c r="C47" s="45" t="s">
        <v>190</v>
      </c>
      <c r="D47" s="45" t="s">
        <v>74</v>
      </c>
      <c r="E47" s="45" t="s">
        <v>310</v>
      </c>
      <c r="F47" s="45" t="s">
        <v>374</v>
      </c>
      <c r="G47" s="45" t="s">
        <v>376</v>
      </c>
      <c r="H47" s="94" t="n">
        <v>360</v>
      </c>
      <c r="I47" s="95" t="n">
        <v>4.288</v>
      </c>
      <c r="J47" s="95" t="n">
        <v>0.012</v>
      </c>
      <c r="K47" s="95" t="n">
        <v>0.216</v>
      </c>
      <c r="L47" s="94" t="n">
        <v>118.7</v>
      </c>
      <c r="M47" s="96" t="n">
        <v>4</v>
      </c>
      <c r="N47" s="94" t="n">
        <v>4.8</v>
      </c>
      <c r="O47" s="95" t="n">
        <v>0.396</v>
      </c>
      <c r="P47" s="95" t="n">
        <v>0.082</v>
      </c>
      <c r="Q47" s="95" t="n">
        <v>0.167</v>
      </c>
      <c r="R47" s="94" t="n">
        <v>2.3</v>
      </c>
      <c r="S47" s="96" t="n">
        <v>267</v>
      </c>
      <c r="T47" s="94" t="n">
        <v>0</v>
      </c>
      <c r="U47" s="94" t="n">
        <v>2.1</v>
      </c>
      <c r="V47" s="96" t="n">
        <v>13</v>
      </c>
      <c r="W47" s="94" t="n">
        <v>24.3</v>
      </c>
      <c r="X47" s="95" t="n">
        <v>0.667</v>
      </c>
      <c r="Y47" s="95" t="n">
        <v>0.027</v>
      </c>
      <c r="Z47" s="95" t="n">
        <v>0.216</v>
      </c>
      <c r="AA47" s="94" t="n">
        <v>4.7</v>
      </c>
      <c r="AB47" s="96" t="n">
        <v>1759</v>
      </c>
      <c r="AC47" s="94" t="n">
        <v>1.4</v>
      </c>
      <c r="AD47" s="94" t="n">
        <v>7.9</v>
      </c>
      <c r="AE47" s="96" t="n">
        <v>3</v>
      </c>
      <c r="AF47" s="94" t="n">
        <v>4.9</v>
      </c>
      <c r="AG47" s="95" t="n">
        <v>0.246</v>
      </c>
      <c r="AH47" s="95" t="n">
        <v>0.051</v>
      </c>
      <c r="AI47" s="94" t="n">
        <v>0</v>
      </c>
      <c r="AJ47" s="96" t="n">
        <v>3</v>
      </c>
      <c r="AK47" s="94" t="n">
        <v>355.1</v>
      </c>
      <c r="AL47" s="95" t="n">
        <v>4.041</v>
      </c>
      <c r="AM47" s="95" t="n">
        <v>0.011</v>
      </c>
      <c r="AN47" s="94" t="n">
        <v>118.7</v>
      </c>
      <c r="AO47" s="43"/>
      <c r="AP47" s="43"/>
      <c r="AQ47" s="43"/>
      <c r="AR47" s="43"/>
      <c r="AS47" s="42"/>
      <c r="AT47" s="42" t="n">
        <f aca="false">Table2[[#This Row],[Object_A_._head_time]]+Table2[[#This Row],[Object_B_._head_time]]</f>
        <v>29.1</v>
      </c>
      <c r="AU47" s="42" t="n">
        <f aca="false">Table2[[#This Row],[Object_B_._head_time]]-Table2[[#This Row],[Object_A_._head_time]]</f>
        <v>19.5</v>
      </c>
      <c r="AV47" s="40" t="n">
        <f aca="false">Table2[[#This Row],[D1: Absolute discrimination measure (D1 = B2- A2)]]/Table2[[#This Row],[E2: total exploration time in second trial E2 ( E2 = A2 + B2)]]</f>
        <v>0.670103092783505</v>
      </c>
      <c r="AW47" s="43" t="n">
        <f aca="false">(W47/AT47)</f>
        <v>0.835051546391753</v>
      </c>
      <c r="AX47" s="42"/>
      <c r="AY47" s="45" t="s">
        <v>64</v>
      </c>
      <c r="AZ47" s="45" t="s">
        <v>76</v>
      </c>
      <c r="BA47" s="45" t="s">
        <v>72</v>
      </c>
      <c r="BB47" s="96" t="n">
        <v>177</v>
      </c>
      <c r="BC47" s="94" t="n">
        <v>5.9</v>
      </c>
      <c r="BD47" s="94" t="s">
        <v>67</v>
      </c>
      <c r="BE47" s="97" t="n">
        <v>5</v>
      </c>
      <c r="BF47" s="45" t="s">
        <v>77</v>
      </c>
      <c r="BG47" s="87"/>
      <c r="BH47" s="87"/>
      <c r="BI47" s="87"/>
      <c r="BJ47" s="87"/>
      <c r="BK47" s="87"/>
      <c r="BL47" s="87"/>
      <c r="BM47" s="87"/>
      <c r="BN47" s="87"/>
      <c r="BO47" s="87"/>
      <c r="BP47" s="87"/>
      <c r="BQ47" s="87"/>
      <c r="BR47" s="87"/>
      <c r="BS47" s="87"/>
      <c r="BT47" s="87"/>
      <c r="BU47" s="87"/>
      <c r="BV47" s="87"/>
      <c r="BW47" s="87"/>
      <c r="BX47" s="87"/>
      <c r="BY47" s="87"/>
      <c r="BZ47" s="87"/>
      <c r="CA47" s="87"/>
      <c r="CB47" s="87"/>
      <c r="CC47" s="87"/>
      <c r="CD47" s="87"/>
      <c r="CE47" s="87"/>
      <c r="CF47" s="87"/>
      <c r="CG47" s="87"/>
      <c r="CH47" s="87"/>
      <c r="CI47" s="87"/>
      <c r="CJ47" s="87"/>
      <c r="CK47" s="87"/>
      <c r="CL47" s="87"/>
      <c r="CM47" s="87"/>
      <c r="CN47" s="87"/>
      <c r="CO47" s="87"/>
      <c r="CP47" s="87"/>
      <c r="CQ47" s="87"/>
      <c r="CR47" s="87"/>
      <c r="CS47" s="87"/>
      <c r="CT47" s="87"/>
      <c r="CU47" s="98"/>
    </row>
    <row r="48" s="99" customFormat="true" ht="12" hidden="false" customHeight="true" outlineLevel="0" collapsed="false">
      <c r="A48" s="45" t="n">
        <v>88</v>
      </c>
      <c r="B48" s="45" t="s">
        <v>78</v>
      </c>
      <c r="C48" s="45" t="s">
        <v>190</v>
      </c>
      <c r="D48" s="45" t="s">
        <v>79</v>
      </c>
      <c r="E48" s="45" t="s">
        <v>310</v>
      </c>
      <c r="F48" s="45" t="s">
        <v>374</v>
      </c>
      <c r="G48" s="45" t="s">
        <v>377</v>
      </c>
      <c r="H48" s="94" t="n">
        <v>360</v>
      </c>
      <c r="I48" s="95" t="n">
        <v>14.268</v>
      </c>
      <c r="J48" s="95" t="n">
        <v>0.04</v>
      </c>
      <c r="K48" s="95" t="n">
        <v>0.304</v>
      </c>
      <c r="L48" s="94" t="n">
        <v>64.3</v>
      </c>
      <c r="M48" s="96" t="n">
        <v>14</v>
      </c>
      <c r="N48" s="94" t="n">
        <v>18.5</v>
      </c>
      <c r="O48" s="95" t="n">
        <v>0.674</v>
      </c>
      <c r="P48" s="95" t="n">
        <v>0.036</v>
      </c>
      <c r="Q48" s="95" t="n">
        <v>0.245</v>
      </c>
      <c r="R48" s="94" t="n">
        <v>5</v>
      </c>
      <c r="S48" s="96" t="n">
        <v>1072</v>
      </c>
      <c r="T48" s="94" t="n">
        <v>0</v>
      </c>
      <c r="U48" s="94" t="n">
        <v>4.8</v>
      </c>
      <c r="V48" s="96" t="n">
        <v>22</v>
      </c>
      <c r="W48" s="94" t="n">
        <v>52.5</v>
      </c>
      <c r="X48" s="95" t="n">
        <v>1.397</v>
      </c>
      <c r="Y48" s="95" t="n">
        <v>0.027</v>
      </c>
      <c r="Z48" s="95" t="n">
        <v>0.28</v>
      </c>
      <c r="AA48" s="94" t="n">
        <v>20.8</v>
      </c>
      <c r="AB48" s="96" t="n">
        <v>2641</v>
      </c>
      <c r="AC48" s="94" t="n">
        <v>11.5</v>
      </c>
      <c r="AD48" s="94" t="n">
        <v>38.1</v>
      </c>
      <c r="AE48" s="96" t="n">
        <v>9</v>
      </c>
      <c r="AF48" s="94" t="n">
        <v>15.6</v>
      </c>
      <c r="AG48" s="95" t="n">
        <v>1.256</v>
      </c>
      <c r="AH48" s="95" t="n">
        <v>0.081</v>
      </c>
      <c r="AI48" s="94" t="n">
        <v>0</v>
      </c>
      <c r="AJ48" s="96" t="n">
        <v>9</v>
      </c>
      <c r="AK48" s="94" t="n">
        <v>344.4</v>
      </c>
      <c r="AL48" s="95" t="n">
        <v>13.012</v>
      </c>
      <c r="AM48" s="95" t="n">
        <v>0.038</v>
      </c>
      <c r="AN48" s="94" t="n">
        <v>64.3</v>
      </c>
      <c r="AO48" s="43"/>
      <c r="AP48" s="43"/>
      <c r="AQ48" s="43"/>
      <c r="AR48" s="43"/>
      <c r="AS48" s="42"/>
      <c r="AT48" s="42" t="n">
        <f aca="false">Table2[[#This Row],[Object_A_._head_time]]+Table2[[#This Row],[Object_B_._head_time]]</f>
        <v>71</v>
      </c>
      <c r="AU48" s="42" t="n">
        <f aca="false">Table2[[#This Row],[Object_B_._head_time]]-Table2[[#This Row],[Object_A_._head_time]]</f>
        <v>34</v>
      </c>
      <c r="AV48" s="40" t="n">
        <f aca="false">Table2[[#This Row],[D1: Absolute discrimination measure (D1 = B2- A2)]]/Table2[[#This Row],[E2: total exploration time in second trial E2 ( E2 = A2 + B2)]]</f>
        <v>0.47887323943662</v>
      </c>
      <c r="AW48" s="43" t="n">
        <f aca="false">(W48/AT48)</f>
        <v>0.73943661971831</v>
      </c>
      <c r="AX48" s="42"/>
      <c r="AY48" s="45" t="s">
        <v>64</v>
      </c>
      <c r="AZ48" s="45" t="s">
        <v>76</v>
      </c>
      <c r="BA48" s="45" t="s">
        <v>66</v>
      </c>
      <c r="BB48" s="96" t="n">
        <v>177</v>
      </c>
      <c r="BC48" s="94" t="n">
        <v>5.9</v>
      </c>
      <c r="BD48" s="94" t="s">
        <v>81</v>
      </c>
      <c r="BE48" s="97" t="n">
        <v>8</v>
      </c>
      <c r="BF48" s="45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  <c r="BR48" s="87"/>
      <c r="BS48" s="87"/>
      <c r="BT48" s="87"/>
      <c r="BU48" s="87"/>
      <c r="BV48" s="87"/>
      <c r="BW48" s="87"/>
      <c r="BX48" s="87"/>
      <c r="BY48" s="87"/>
      <c r="BZ48" s="87"/>
      <c r="CA48" s="87"/>
      <c r="CB48" s="87"/>
      <c r="CC48" s="87"/>
      <c r="CD48" s="87"/>
      <c r="CE48" s="87"/>
      <c r="CF48" s="87"/>
      <c r="CG48" s="87"/>
      <c r="CH48" s="87"/>
      <c r="CI48" s="87"/>
      <c r="CJ48" s="87"/>
      <c r="CK48" s="87"/>
      <c r="CL48" s="87"/>
      <c r="CM48" s="87"/>
      <c r="CN48" s="87"/>
      <c r="CO48" s="87"/>
      <c r="CP48" s="87"/>
      <c r="CQ48" s="87"/>
      <c r="CR48" s="87"/>
      <c r="CS48" s="87"/>
      <c r="CT48" s="87"/>
      <c r="CU48" s="98"/>
    </row>
    <row r="49" s="99" customFormat="true" ht="12" hidden="false" customHeight="true" outlineLevel="0" collapsed="false">
      <c r="A49" s="45" t="n">
        <v>94</v>
      </c>
      <c r="B49" s="45" t="s">
        <v>82</v>
      </c>
      <c r="C49" s="45" t="s">
        <v>190</v>
      </c>
      <c r="D49" s="45" t="s">
        <v>60</v>
      </c>
      <c r="E49" s="45" t="s">
        <v>310</v>
      </c>
      <c r="F49" s="45" t="s">
        <v>378</v>
      </c>
      <c r="G49" s="45" t="s">
        <v>379</v>
      </c>
      <c r="H49" s="94" t="n">
        <v>360</v>
      </c>
      <c r="I49" s="95" t="n">
        <v>9.713</v>
      </c>
      <c r="J49" s="95" t="n">
        <v>0.027</v>
      </c>
      <c r="K49" s="95" t="n">
        <v>0.361</v>
      </c>
      <c r="L49" s="94" t="n">
        <v>59.6</v>
      </c>
      <c r="M49" s="96" t="n">
        <v>31</v>
      </c>
      <c r="N49" s="94" t="n">
        <v>20.5</v>
      </c>
      <c r="O49" s="95" t="n">
        <v>0.727</v>
      </c>
      <c r="P49" s="95" t="n">
        <v>0.036</v>
      </c>
      <c r="Q49" s="95" t="n">
        <v>0.302</v>
      </c>
      <c r="R49" s="94" t="n">
        <v>5.2</v>
      </c>
      <c r="S49" s="96" t="n">
        <v>1734</v>
      </c>
      <c r="T49" s="94" t="n">
        <v>1.2</v>
      </c>
      <c r="U49" s="94" t="n">
        <v>10</v>
      </c>
      <c r="V49" s="96" t="n">
        <v>28</v>
      </c>
      <c r="W49" s="94" t="n">
        <v>39.1</v>
      </c>
      <c r="X49" s="95" t="n">
        <v>1.146</v>
      </c>
      <c r="Y49" s="95" t="n">
        <v>0.029</v>
      </c>
      <c r="Z49" s="95" t="n">
        <v>0.302</v>
      </c>
      <c r="AA49" s="94" t="n">
        <v>10.4</v>
      </c>
      <c r="AB49" s="96" t="n">
        <v>3417</v>
      </c>
      <c r="AC49" s="94" t="n">
        <v>9</v>
      </c>
      <c r="AD49" s="94" t="n">
        <v>23.7</v>
      </c>
      <c r="AE49" s="96" t="n">
        <v>16</v>
      </c>
      <c r="AF49" s="94" t="n">
        <v>85.2</v>
      </c>
      <c r="AG49" s="95" t="n">
        <v>2.268</v>
      </c>
      <c r="AH49" s="95" t="n">
        <v>0.027</v>
      </c>
      <c r="AI49" s="94" t="n">
        <v>14.7</v>
      </c>
      <c r="AJ49" s="96" t="n">
        <v>17</v>
      </c>
      <c r="AK49" s="94" t="n">
        <v>274.8</v>
      </c>
      <c r="AL49" s="95" t="n">
        <v>7.446</v>
      </c>
      <c r="AM49" s="95" t="n">
        <v>0.027</v>
      </c>
      <c r="AN49" s="94" t="n">
        <v>45</v>
      </c>
      <c r="AO49" s="43"/>
      <c r="AP49" s="43"/>
      <c r="AQ49" s="43"/>
      <c r="AR49" s="43"/>
      <c r="AS49" s="42"/>
      <c r="AT49" s="42" t="n">
        <f aca="false">Table2[[#This Row],[Object_A_._head_time]]+Table2[[#This Row],[Object_B_._head_time]]</f>
        <v>59.6</v>
      </c>
      <c r="AU49" s="42" t="n">
        <f aca="false">Table2[[#This Row],[Object_B_._head_time]]-Table2[[#This Row],[Object_A_._head_time]]</f>
        <v>18.6</v>
      </c>
      <c r="AV49" s="40" t="n">
        <f aca="false">Table2[[#This Row],[D1: Absolute discrimination measure (D1 = B2- A2)]]/Table2[[#This Row],[E2: total exploration time in second trial E2 ( E2 = A2 + B2)]]</f>
        <v>0.312080536912752</v>
      </c>
      <c r="AW49" s="43" t="n">
        <f aca="false">(W49/AT49)</f>
        <v>0.656040268456376</v>
      </c>
      <c r="AX49" s="42"/>
      <c r="AY49" s="45" t="s">
        <v>64</v>
      </c>
      <c r="AZ49" s="45" t="s">
        <v>76</v>
      </c>
      <c r="BA49" s="45" t="s">
        <v>66</v>
      </c>
      <c r="BB49" s="96" t="n">
        <v>177</v>
      </c>
      <c r="BC49" s="94" t="n">
        <v>5.9</v>
      </c>
      <c r="BD49" s="94" t="s">
        <v>67</v>
      </c>
      <c r="BE49" s="97" t="n">
        <v>7</v>
      </c>
      <c r="BF49" s="45" t="s">
        <v>77</v>
      </c>
      <c r="BG49" s="87"/>
      <c r="BH49" s="87"/>
      <c r="BI49" s="87"/>
      <c r="BJ49" s="87"/>
      <c r="BK49" s="87"/>
      <c r="BL49" s="87"/>
      <c r="BM49" s="87"/>
      <c r="BN49" s="87"/>
      <c r="BO49" s="87"/>
      <c r="BP49" s="87"/>
      <c r="BQ49" s="87"/>
      <c r="BR49" s="87"/>
      <c r="BS49" s="87"/>
      <c r="BT49" s="87"/>
      <c r="BU49" s="87"/>
      <c r="BV49" s="87"/>
      <c r="BW49" s="87"/>
      <c r="BX49" s="87"/>
      <c r="BY49" s="87"/>
      <c r="BZ49" s="87"/>
      <c r="CA49" s="87"/>
      <c r="CB49" s="87"/>
      <c r="CC49" s="87"/>
      <c r="CD49" s="87"/>
      <c r="CE49" s="87"/>
      <c r="CF49" s="87"/>
      <c r="CG49" s="87"/>
      <c r="CH49" s="87"/>
      <c r="CI49" s="87"/>
      <c r="CJ49" s="87"/>
      <c r="CK49" s="87"/>
      <c r="CL49" s="87"/>
      <c r="CM49" s="87"/>
      <c r="CN49" s="87"/>
      <c r="CO49" s="87"/>
      <c r="CP49" s="87"/>
      <c r="CQ49" s="87"/>
      <c r="CR49" s="87"/>
      <c r="CS49" s="87"/>
      <c r="CT49" s="87"/>
      <c r="CU49" s="98"/>
    </row>
    <row r="50" s="99" customFormat="true" ht="12" hidden="false" customHeight="true" outlineLevel="0" collapsed="false">
      <c r="A50" s="45" t="n">
        <v>93</v>
      </c>
      <c r="B50" s="45" t="s">
        <v>85</v>
      </c>
      <c r="C50" s="45" t="s">
        <v>190</v>
      </c>
      <c r="D50" s="45" t="s">
        <v>69</v>
      </c>
      <c r="E50" s="45" t="s">
        <v>310</v>
      </c>
      <c r="F50" s="45" t="s">
        <v>380</v>
      </c>
      <c r="G50" s="45" t="s">
        <v>381</v>
      </c>
      <c r="H50" s="94" t="n">
        <v>360</v>
      </c>
      <c r="I50" s="95" t="n">
        <v>10.512</v>
      </c>
      <c r="J50" s="95" t="n">
        <v>0.029</v>
      </c>
      <c r="K50" s="95" t="n">
        <v>0.33</v>
      </c>
      <c r="L50" s="94" t="n">
        <v>149.8</v>
      </c>
      <c r="M50" s="96" t="n">
        <v>62</v>
      </c>
      <c r="N50" s="94" t="n">
        <v>75.2</v>
      </c>
      <c r="O50" s="95" t="n">
        <v>1.525</v>
      </c>
      <c r="P50" s="95" t="n">
        <v>0.02</v>
      </c>
      <c r="Q50" s="95" t="n">
        <v>0.3</v>
      </c>
      <c r="R50" s="94" t="n">
        <v>25.2</v>
      </c>
      <c r="S50" s="96" t="n">
        <v>6718</v>
      </c>
      <c r="T50" s="94" t="n">
        <v>27.5</v>
      </c>
      <c r="U50" s="94" t="n">
        <v>35.6</v>
      </c>
      <c r="V50" s="96" t="n">
        <v>14</v>
      </c>
      <c r="W50" s="94" t="n">
        <v>22.7</v>
      </c>
      <c r="X50" s="95" t="n">
        <v>1.203</v>
      </c>
      <c r="Y50" s="95" t="n">
        <v>0.053</v>
      </c>
      <c r="Z50" s="95" t="n">
        <v>0.315</v>
      </c>
      <c r="AA50" s="94" t="n">
        <v>7</v>
      </c>
      <c r="AB50" s="96" t="n">
        <v>1656</v>
      </c>
      <c r="AC50" s="94" t="n">
        <v>1.1</v>
      </c>
      <c r="AD50" s="94" t="n">
        <v>2.8</v>
      </c>
      <c r="AE50" s="96" t="n">
        <v>8</v>
      </c>
      <c r="AF50" s="94" t="n">
        <v>14.6</v>
      </c>
      <c r="AG50" s="95" t="n">
        <v>1.567</v>
      </c>
      <c r="AH50" s="95" t="n">
        <v>0.108</v>
      </c>
      <c r="AI50" s="94" t="n">
        <v>0</v>
      </c>
      <c r="AJ50" s="96" t="n">
        <v>9</v>
      </c>
      <c r="AK50" s="94" t="n">
        <v>345.4</v>
      </c>
      <c r="AL50" s="95" t="n">
        <v>8.945</v>
      </c>
      <c r="AM50" s="95" t="n">
        <v>0.026</v>
      </c>
      <c r="AN50" s="94" t="n">
        <v>149.8</v>
      </c>
      <c r="AO50" s="43"/>
      <c r="AP50" s="43"/>
      <c r="AQ50" s="43"/>
      <c r="AR50" s="43"/>
      <c r="AS50" s="42"/>
      <c r="AT50" s="42" t="n">
        <f aca="false">Table2[[#This Row],[Object_A_._head_time]]+Table2[[#This Row],[Object_B_._head_time]]</f>
        <v>97.9</v>
      </c>
      <c r="AU50" s="42" t="n">
        <f aca="false">Table2[[#This Row],[Object_B_._head_time]]-Table2[[#This Row],[Object_A_._head_time]]</f>
        <v>-52.5</v>
      </c>
      <c r="AV50" s="40" t="n">
        <f aca="false">Table2[[#This Row],[D1: Absolute discrimination measure (D1 = B2- A2)]]/Table2[[#This Row],[E2: total exploration time in second trial E2 ( E2 = A2 + B2)]]</f>
        <v>-0.536261491317671</v>
      </c>
      <c r="AW50" s="43" t="n">
        <f aca="false">(W50/AT50)</f>
        <v>0.231869254341164</v>
      </c>
      <c r="AX50" s="42"/>
      <c r="AY50" s="45" t="s">
        <v>71</v>
      </c>
      <c r="AZ50" s="45" t="s">
        <v>76</v>
      </c>
      <c r="BA50" s="45" t="s">
        <v>66</v>
      </c>
      <c r="BB50" s="96" t="n">
        <v>177</v>
      </c>
      <c r="BC50" s="94" t="n">
        <v>5.9</v>
      </c>
      <c r="BD50" s="94" t="s">
        <v>81</v>
      </c>
      <c r="BE50" s="97" t="n">
        <v>8</v>
      </c>
      <c r="BF50" s="45"/>
      <c r="BG50" s="87"/>
      <c r="BH50" s="87"/>
      <c r="BI50" s="87"/>
      <c r="BJ50" s="87"/>
      <c r="BK50" s="87"/>
      <c r="BL50" s="87"/>
      <c r="BM50" s="87"/>
      <c r="BN50" s="87"/>
      <c r="BO50" s="87"/>
      <c r="BP50" s="87"/>
      <c r="BQ50" s="87"/>
      <c r="BR50" s="87"/>
      <c r="BS50" s="87"/>
      <c r="BT50" s="87"/>
      <c r="BU50" s="87"/>
      <c r="BV50" s="87"/>
      <c r="BW50" s="87"/>
      <c r="BX50" s="87"/>
      <c r="BY50" s="87"/>
      <c r="BZ50" s="87"/>
      <c r="CA50" s="87"/>
      <c r="CB50" s="87"/>
      <c r="CC50" s="87"/>
      <c r="CD50" s="87"/>
      <c r="CE50" s="87"/>
      <c r="CF50" s="87"/>
      <c r="CG50" s="87"/>
      <c r="CH50" s="87"/>
      <c r="CI50" s="87"/>
      <c r="CJ50" s="87"/>
      <c r="CK50" s="87"/>
      <c r="CL50" s="87"/>
      <c r="CM50" s="87"/>
      <c r="CN50" s="87"/>
      <c r="CO50" s="87"/>
      <c r="CP50" s="87"/>
      <c r="CQ50" s="87"/>
      <c r="CR50" s="87"/>
      <c r="CS50" s="87"/>
      <c r="CT50" s="87"/>
      <c r="CU50" s="98"/>
    </row>
    <row r="51" s="99" customFormat="true" ht="12" hidden="false" customHeight="true" outlineLevel="0" collapsed="false">
      <c r="A51" s="45" t="n">
        <v>91</v>
      </c>
      <c r="B51" s="45" t="s">
        <v>87</v>
      </c>
      <c r="C51" s="45" t="s">
        <v>190</v>
      </c>
      <c r="D51" s="45" t="s">
        <v>74</v>
      </c>
      <c r="E51" s="45" t="s">
        <v>310</v>
      </c>
      <c r="F51" s="45" t="s">
        <v>380</v>
      </c>
      <c r="G51" s="45" t="s">
        <v>382</v>
      </c>
      <c r="H51" s="94" t="n">
        <v>360</v>
      </c>
      <c r="I51" s="95" t="n">
        <v>14.375</v>
      </c>
      <c r="J51" s="95" t="n">
        <v>0.04</v>
      </c>
      <c r="K51" s="95" t="n">
        <v>0.282</v>
      </c>
      <c r="L51" s="94" t="n">
        <v>57.1</v>
      </c>
      <c r="M51" s="96" t="n">
        <v>30</v>
      </c>
      <c r="N51" s="94" t="n">
        <v>38.9</v>
      </c>
      <c r="O51" s="95" t="n">
        <v>1.627</v>
      </c>
      <c r="P51" s="95" t="n">
        <v>0.042</v>
      </c>
      <c r="Q51" s="95" t="n">
        <v>0.271</v>
      </c>
      <c r="R51" s="94" t="n">
        <v>11.6</v>
      </c>
      <c r="S51" s="96" t="n">
        <v>2995</v>
      </c>
      <c r="T51" s="94" t="n">
        <v>5.8</v>
      </c>
      <c r="U51" s="94" t="n">
        <v>20.5</v>
      </c>
      <c r="V51" s="96" t="n">
        <v>39</v>
      </c>
      <c r="W51" s="94" t="n">
        <v>29.6</v>
      </c>
      <c r="X51" s="95" t="n">
        <v>1.274</v>
      </c>
      <c r="Y51" s="95" t="n">
        <v>0.043</v>
      </c>
      <c r="Z51" s="95" t="n">
        <v>0.26</v>
      </c>
      <c r="AA51" s="94" t="n">
        <v>7.7</v>
      </c>
      <c r="AB51" s="96" t="n">
        <v>2628</v>
      </c>
      <c r="AC51" s="94" t="n">
        <v>5.2</v>
      </c>
      <c r="AD51" s="94" t="n">
        <v>18.8</v>
      </c>
      <c r="AE51" s="96" t="n">
        <v>25</v>
      </c>
      <c r="AF51" s="94" t="n">
        <v>32.5</v>
      </c>
      <c r="AG51" s="95" t="n">
        <v>2.317</v>
      </c>
      <c r="AH51" s="95" t="n">
        <v>0.071</v>
      </c>
      <c r="AI51" s="94" t="n">
        <v>1.6</v>
      </c>
      <c r="AJ51" s="96" t="n">
        <v>25</v>
      </c>
      <c r="AK51" s="94" t="n">
        <v>327.5</v>
      </c>
      <c r="AL51" s="95" t="n">
        <v>12.058</v>
      </c>
      <c r="AM51" s="95" t="n">
        <v>0.037</v>
      </c>
      <c r="AN51" s="94" t="n">
        <v>55.5</v>
      </c>
      <c r="AO51" s="43"/>
      <c r="AP51" s="43"/>
      <c r="AQ51" s="43"/>
      <c r="AR51" s="43"/>
      <c r="AS51" s="42"/>
      <c r="AT51" s="42" t="n">
        <f aca="false">Table2[[#This Row],[Object_A_._head_time]]+Table2[[#This Row],[Object_B_._head_time]]</f>
        <v>68.5</v>
      </c>
      <c r="AU51" s="42" t="n">
        <f aca="false">Table2[[#This Row],[Object_B_._head_time]]-Table2[[#This Row],[Object_A_._head_time]]</f>
        <v>-9.3</v>
      </c>
      <c r="AV51" s="40" t="n">
        <f aca="false">Table2[[#This Row],[D1: Absolute discrimination measure (D1 = B2- A2)]]/Table2[[#This Row],[E2: total exploration time in second trial E2 ( E2 = A2 + B2)]]</f>
        <v>-0.135766423357664</v>
      </c>
      <c r="AW51" s="43" t="n">
        <f aca="false">(W51/AT51)</f>
        <v>0.432116788321168</v>
      </c>
      <c r="AX51" s="42"/>
      <c r="AY51" s="45" t="s">
        <v>71</v>
      </c>
      <c r="AZ51" s="45" t="s">
        <v>76</v>
      </c>
      <c r="BA51" s="45" t="s">
        <v>72</v>
      </c>
      <c r="BB51" s="96" t="n">
        <v>177</v>
      </c>
      <c r="BC51" s="94" t="n">
        <v>5.9</v>
      </c>
      <c r="BD51" s="94" t="s">
        <v>67</v>
      </c>
      <c r="BE51" s="97" t="n">
        <v>5</v>
      </c>
      <c r="BF51" s="45"/>
      <c r="BG51" s="87"/>
      <c r="BH51" s="87"/>
      <c r="BI51" s="87"/>
      <c r="BJ51" s="87"/>
      <c r="BK51" s="87"/>
      <c r="BL51" s="87"/>
      <c r="BM51" s="87"/>
      <c r="BN51" s="87"/>
      <c r="BO51" s="87"/>
      <c r="BP51" s="87"/>
      <c r="BQ51" s="87"/>
      <c r="BR51" s="87"/>
      <c r="BS51" s="87"/>
      <c r="BT51" s="87"/>
      <c r="BU51" s="87"/>
      <c r="BV51" s="87"/>
      <c r="BW51" s="87"/>
      <c r="BX51" s="87"/>
      <c r="BY51" s="87"/>
      <c r="BZ51" s="87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98"/>
    </row>
    <row r="52" s="99" customFormat="true" ht="12" hidden="false" customHeight="true" outlineLevel="0" collapsed="false">
      <c r="A52" s="45" t="n">
        <v>92</v>
      </c>
      <c r="B52" s="45" t="s">
        <v>89</v>
      </c>
      <c r="C52" s="45" t="s">
        <v>190</v>
      </c>
      <c r="D52" s="45" t="s">
        <v>79</v>
      </c>
      <c r="E52" s="45" t="s">
        <v>310</v>
      </c>
      <c r="F52" s="45" t="s">
        <v>380</v>
      </c>
      <c r="G52" s="45" t="s">
        <v>383</v>
      </c>
      <c r="H52" s="94" t="n">
        <v>360</v>
      </c>
      <c r="I52" s="95" t="n">
        <v>11.79</v>
      </c>
      <c r="J52" s="95" t="n">
        <v>0.033</v>
      </c>
      <c r="K52" s="95" t="n">
        <v>0.33</v>
      </c>
      <c r="L52" s="94" t="n">
        <v>79.6</v>
      </c>
      <c r="M52" s="96" t="n">
        <v>49</v>
      </c>
      <c r="N52" s="94" t="n">
        <v>68.2</v>
      </c>
      <c r="O52" s="95" t="n">
        <v>1.329</v>
      </c>
      <c r="P52" s="95" t="n">
        <v>0.019</v>
      </c>
      <c r="Q52" s="95" t="n">
        <v>0.328</v>
      </c>
      <c r="R52" s="94" t="n">
        <v>14.3</v>
      </c>
      <c r="S52" s="96" t="n">
        <v>4680</v>
      </c>
      <c r="T52" s="94" t="n">
        <v>26.2</v>
      </c>
      <c r="U52" s="94" t="n">
        <v>22.8</v>
      </c>
      <c r="V52" s="96" t="n">
        <v>25</v>
      </c>
      <c r="W52" s="94" t="n">
        <v>36.7</v>
      </c>
      <c r="X52" s="95" t="n">
        <v>1.658</v>
      </c>
      <c r="Y52" s="95" t="n">
        <v>0.045</v>
      </c>
      <c r="Z52" s="95" t="n">
        <v>0.27</v>
      </c>
      <c r="AA52" s="94" t="n">
        <v>4.4</v>
      </c>
      <c r="AB52" s="96" t="n">
        <v>3178</v>
      </c>
      <c r="AC52" s="94" t="n">
        <v>1.6</v>
      </c>
      <c r="AD52" s="94" t="n">
        <v>12.4</v>
      </c>
      <c r="AE52" s="96" t="n">
        <v>12</v>
      </c>
      <c r="AF52" s="94" t="n">
        <v>11.5</v>
      </c>
      <c r="AG52" s="95" t="n">
        <v>1.31</v>
      </c>
      <c r="AH52" s="95" t="n">
        <v>0.114</v>
      </c>
      <c r="AI52" s="94" t="n">
        <v>1.1</v>
      </c>
      <c r="AJ52" s="96" t="n">
        <v>13</v>
      </c>
      <c r="AK52" s="94" t="n">
        <v>348.5</v>
      </c>
      <c r="AL52" s="95" t="n">
        <v>10.48</v>
      </c>
      <c r="AM52" s="95" t="n">
        <v>0.03</v>
      </c>
      <c r="AN52" s="94" t="n">
        <v>78.5</v>
      </c>
      <c r="AO52" s="43"/>
      <c r="AP52" s="43"/>
      <c r="AQ52" s="43"/>
      <c r="AR52" s="43"/>
      <c r="AS52" s="42"/>
      <c r="AT52" s="42" t="n">
        <f aca="false">Table2[[#This Row],[Object_A_._head_time]]+Table2[[#This Row],[Object_B_._head_time]]</f>
        <v>104.9</v>
      </c>
      <c r="AU52" s="42" t="n">
        <f aca="false">Table2[[#This Row],[Object_B_._head_time]]-Table2[[#This Row],[Object_A_._head_time]]</f>
        <v>-31.5</v>
      </c>
      <c r="AV52" s="40" t="n">
        <f aca="false">Table2[[#This Row],[D1: Absolute discrimination measure (D1 = B2- A2)]]/Table2[[#This Row],[E2: total exploration time in second trial E2 ( E2 = A2 + B2)]]</f>
        <v>-0.300285986653956</v>
      </c>
      <c r="AW52" s="43" t="n">
        <f aca="false">(W52/AT52)</f>
        <v>0.349857006673022</v>
      </c>
      <c r="AX52" s="42"/>
      <c r="AY52" s="45" t="s">
        <v>71</v>
      </c>
      <c r="AZ52" s="45" t="s">
        <v>76</v>
      </c>
      <c r="BA52" s="45" t="s">
        <v>66</v>
      </c>
      <c r="BB52" s="96" t="n">
        <v>177</v>
      </c>
      <c r="BC52" s="94" t="n">
        <v>5.9</v>
      </c>
      <c r="BD52" s="94" t="s">
        <v>81</v>
      </c>
      <c r="BE52" s="97" t="n">
        <v>8</v>
      </c>
      <c r="BF52" s="45" t="s">
        <v>91</v>
      </c>
      <c r="BG52" s="87"/>
      <c r="BH52" s="87"/>
      <c r="BI52" s="87"/>
      <c r="BJ52" s="87"/>
      <c r="BK52" s="87"/>
      <c r="BL52" s="87"/>
      <c r="BM52" s="87"/>
      <c r="BN52" s="87"/>
      <c r="BO52" s="87"/>
      <c r="BP52" s="87"/>
      <c r="BQ52" s="87"/>
      <c r="BR52" s="87"/>
      <c r="BS52" s="87"/>
      <c r="BT52" s="87"/>
      <c r="BU52" s="87"/>
      <c r="BV52" s="87"/>
      <c r="BW52" s="87"/>
      <c r="BX52" s="87"/>
      <c r="BY52" s="87"/>
      <c r="BZ52" s="87"/>
      <c r="CA52" s="87"/>
      <c r="CB52" s="87"/>
      <c r="CC52" s="87"/>
      <c r="CD52" s="87"/>
      <c r="CE52" s="87"/>
      <c r="CF52" s="87"/>
      <c r="CG52" s="87"/>
      <c r="CH52" s="87"/>
      <c r="CI52" s="87"/>
      <c r="CJ52" s="87"/>
      <c r="CK52" s="87"/>
      <c r="CL52" s="87"/>
      <c r="CM52" s="87"/>
      <c r="CN52" s="87"/>
      <c r="CO52" s="87"/>
      <c r="CP52" s="87"/>
      <c r="CQ52" s="87"/>
      <c r="CR52" s="87"/>
      <c r="CS52" s="87"/>
      <c r="CT52" s="87"/>
      <c r="CU52" s="98"/>
    </row>
    <row r="53" s="99" customFormat="true" ht="12" hidden="false" customHeight="true" outlineLevel="0" collapsed="false">
      <c r="A53" s="45" t="n">
        <v>96</v>
      </c>
      <c r="B53" s="45" t="s">
        <v>92</v>
      </c>
      <c r="C53" s="45" t="s">
        <v>190</v>
      </c>
      <c r="D53" s="45" t="s">
        <v>60</v>
      </c>
      <c r="E53" s="45" t="s">
        <v>310</v>
      </c>
      <c r="F53" s="45" t="s">
        <v>384</v>
      </c>
      <c r="G53" s="45" t="s">
        <v>385</v>
      </c>
      <c r="H53" s="94" t="n">
        <v>360</v>
      </c>
      <c r="I53" s="95" t="n">
        <v>11.5</v>
      </c>
      <c r="J53" s="95" t="n">
        <v>0.032</v>
      </c>
      <c r="K53" s="95" t="n">
        <v>0.364</v>
      </c>
      <c r="L53" s="94" t="n">
        <v>62.5</v>
      </c>
      <c r="M53" s="96" t="n">
        <v>69</v>
      </c>
      <c r="N53" s="94" t="n">
        <v>71.3</v>
      </c>
      <c r="O53" s="95" t="n">
        <v>1.458</v>
      </c>
      <c r="P53" s="95" t="n">
        <v>0.02</v>
      </c>
      <c r="Q53" s="95" t="n">
        <v>0.276</v>
      </c>
      <c r="R53" s="94" t="n">
        <v>32.3</v>
      </c>
      <c r="S53" s="96" t="n">
        <v>6368</v>
      </c>
      <c r="T53" s="94" t="n">
        <v>19.3</v>
      </c>
      <c r="U53" s="94" t="n">
        <v>45.2</v>
      </c>
      <c r="V53" s="96" t="n">
        <v>34</v>
      </c>
      <c r="W53" s="94" t="n">
        <v>27.9</v>
      </c>
      <c r="X53" s="95" t="n">
        <v>1.207</v>
      </c>
      <c r="Y53" s="95" t="n">
        <v>0.043</v>
      </c>
      <c r="Z53" s="95" t="n">
        <v>0.284</v>
      </c>
      <c r="AA53" s="94" t="n">
        <v>6.5</v>
      </c>
      <c r="AB53" s="96" t="n">
        <v>2326</v>
      </c>
      <c r="AC53" s="94" t="n">
        <v>1.4</v>
      </c>
      <c r="AD53" s="94" t="n">
        <v>8.9</v>
      </c>
      <c r="AE53" s="96" t="n">
        <v>24</v>
      </c>
      <c r="AF53" s="94" t="n">
        <v>82</v>
      </c>
      <c r="AG53" s="95" t="n">
        <v>2.95</v>
      </c>
      <c r="AH53" s="95" t="n">
        <v>0.036</v>
      </c>
      <c r="AI53" s="94" t="n">
        <v>17.4</v>
      </c>
      <c r="AJ53" s="96" t="n">
        <v>25</v>
      </c>
      <c r="AK53" s="94" t="n">
        <v>278</v>
      </c>
      <c r="AL53" s="95" t="n">
        <v>8.55</v>
      </c>
      <c r="AM53" s="95" t="n">
        <v>0.031</v>
      </c>
      <c r="AN53" s="94" t="n">
        <v>45.1</v>
      </c>
      <c r="AO53" s="43"/>
      <c r="AP53" s="43"/>
      <c r="AQ53" s="43"/>
      <c r="AR53" s="43"/>
      <c r="AS53" s="42"/>
      <c r="AT53" s="42" t="n">
        <f aca="false">Table2[[#This Row],[Object_A_._head_time]]+Table2[[#This Row],[Object_B_._head_time]]</f>
        <v>99.2</v>
      </c>
      <c r="AU53" s="42" t="n">
        <f aca="false">Table2[[#This Row],[Object_B_._head_time]]-Table2[[#This Row],[Object_A_._head_time]]</f>
        <v>-43.4</v>
      </c>
      <c r="AV53" s="40" t="n">
        <f aca="false">Table2[[#This Row],[D1: Absolute discrimination measure (D1 = B2- A2)]]/Table2[[#This Row],[E2: total exploration time in second trial E2 ( E2 = A2 + B2)]]</f>
        <v>-0.4375</v>
      </c>
      <c r="AW53" s="43" t="n">
        <f aca="false">(W53/AT53)</f>
        <v>0.28125</v>
      </c>
      <c r="AX53" s="42"/>
      <c r="AY53" s="45" t="s">
        <v>71</v>
      </c>
      <c r="AZ53" s="45" t="s">
        <v>76</v>
      </c>
      <c r="BA53" s="45" t="s">
        <v>66</v>
      </c>
      <c r="BB53" s="96" t="n">
        <v>177</v>
      </c>
      <c r="BC53" s="94" t="n">
        <v>5.9</v>
      </c>
      <c r="BD53" s="94" t="s">
        <v>67</v>
      </c>
      <c r="BE53" s="97" t="n">
        <v>7</v>
      </c>
      <c r="BF53" s="45" t="s">
        <v>95</v>
      </c>
      <c r="BG53" s="87"/>
      <c r="BH53" s="87"/>
      <c r="BI53" s="87"/>
      <c r="BJ53" s="87"/>
      <c r="BK53" s="87"/>
      <c r="BL53" s="87"/>
      <c r="BM53" s="87"/>
      <c r="BN53" s="87"/>
      <c r="BO53" s="87"/>
      <c r="BP53" s="87"/>
      <c r="BQ53" s="87"/>
      <c r="BR53" s="87"/>
      <c r="BS53" s="87"/>
      <c r="BT53" s="87"/>
      <c r="BU53" s="87"/>
      <c r="BV53" s="87"/>
      <c r="BW53" s="87"/>
      <c r="BX53" s="87"/>
      <c r="BY53" s="87"/>
      <c r="BZ53" s="87"/>
      <c r="CA53" s="87"/>
      <c r="CB53" s="87"/>
      <c r="CC53" s="87"/>
      <c r="CD53" s="87"/>
      <c r="CE53" s="87"/>
      <c r="CF53" s="87"/>
      <c r="CG53" s="87"/>
      <c r="CH53" s="87"/>
      <c r="CI53" s="87"/>
      <c r="CJ53" s="87"/>
      <c r="CK53" s="87"/>
      <c r="CL53" s="87"/>
      <c r="CM53" s="87"/>
      <c r="CN53" s="87"/>
      <c r="CO53" s="87"/>
      <c r="CP53" s="87"/>
      <c r="CQ53" s="87"/>
      <c r="CR53" s="87"/>
      <c r="CS53" s="87"/>
      <c r="CT53" s="87"/>
      <c r="CU53" s="98"/>
    </row>
    <row r="54" s="99" customFormat="true" ht="12" hidden="false" customHeight="true" outlineLevel="0" collapsed="false">
      <c r="A54" s="45" t="n">
        <v>95</v>
      </c>
      <c r="B54" s="45" t="s">
        <v>96</v>
      </c>
      <c r="C54" s="45" t="s">
        <v>190</v>
      </c>
      <c r="D54" s="45" t="s">
        <v>69</v>
      </c>
      <c r="E54" s="45" t="s">
        <v>310</v>
      </c>
      <c r="F54" s="45" t="s">
        <v>384</v>
      </c>
      <c r="G54" s="45" t="s">
        <v>386</v>
      </c>
      <c r="H54" s="94" t="n">
        <v>360</v>
      </c>
      <c r="I54" s="95" t="n">
        <v>31.84</v>
      </c>
      <c r="J54" s="95" t="n">
        <v>0.088</v>
      </c>
      <c r="K54" s="95" t="n">
        <v>0.338</v>
      </c>
      <c r="L54" s="94" t="n">
        <v>13</v>
      </c>
      <c r="M54" s="96" t="n">
        <v>69</v>
      </c>
      <c r="N54" s="94" t="n">
        <v>35.7</v>
      </c>
      <c r="O54" s="95" t="n">
        <v>3.435</v>
      </c>
      <c r="P54" s="95" t="n">
        <v>0.096</v>
      </c>
      <c r="Q54" s="95" t="n">
        <v>0.338</v>
      </c>
      <c r="R54" s="94" t="n">
        <v>8.4</v>
      </c>
      <c r="S54" s="96" t="n">
        <v>6600</v>
      </c>
      <c r="T54" s="94" t="n">
        <v>1.3</v>
      </c>
      <c r="U54" s="94" t="n">
        <v>13.5</v>
      </c>
      <c r="V54" s="96" t="n">
        <v>79</v>
      </c>
      <c r="W54" s="94" t="n">
        <v>47.7</v>
      </c>
      <c r="X54" s="95" t="n">
        <v>3.801</v>
      </c>
      <c r="Y54" s="95" t="n">
        <v>0.08</v>
      </c>
      <c r="Z54" s="95" t="n">
        <v>0.317</v>
      </c>
      <c r="AA54" s="94" t="n">
        <v>13.8</v>
      </c>
      <c r="AB54" s="96" t="n">
        <v>9155</v>
      </c>
      <c r="AC54" s="94" t="n">
        <v>2</v>
      </c>
      <c r="AD54" s="94" t="n">
        <v>11.1</v>
      </c>
      <c r="AE54" s="96" t="n">
        <v>54</v>
      </c>
      <c r="AF54" s="94" t="n">
        <v>46.6</v>
      </c>
      <c r="AG54" s="95" t="n">
        <v>6.599</v>
      </c>
      <c r="AH54" s="95" t="n">
        <v>0.142</v>
      </c>
      <c r="AI54" s="94" t="n">
        <v>0</v>
      </c>
      <c r="AJ54" s="96" t="n">
        <v>54</v>
      </c>
      <c r="AK54" s="94" t="n">
        <v>313.4</v>
      </c>
      <c r="AL54" s="95" t="n">
        <v>25.241</v>
      </c>
      <c r="AM54" s="95" t="n">
        <v>0.081</v>
      </c>
      <c r="AN54" s="94" t="n">
        <v>13</v>
      </c>
      <c r="AO54" s="43"/>
      <c r="AP54" s="43"/>
      <c r="AQ54" s="43"/>
      <c r="AR54" s="43"/>
      <c r="AS54" s="42"/>
      <c r="AT54" s="42" t="n">
        <f aca="false">Table2[[#This Row],[Object_A_._head_time]]+Table2[[#This Row],[Object_B_._head_time]]</f>
        <v>83.4</v>
      </c>
      <c r="AU54" s="42" t="n">
        <f aca="false">Table2[[#This Row],[Object_B_._head_time]]-Table2[[#This Row],[Object_A_._head_time]]</f>
        <v>12</v>
      </c>
      <c r="AV54" s="40" t="n">
        <f aca="false">Table2[[#This Row],[D1: Absolute discrimination measure (D1 = B2- A2)]]/Table2[[#This Row],[E2: total exploration time in second trial E2 ( E2 = A2 + B2)]]</f>
        <v>0.143884892086331</v>
      </c>
      <c r="AW54" s="43" t="n">
        <f aca="false">(W54/AT54)</f>
        <v>0.571942446043165</v>
      </c>
      <c r="AX54" s="42"/>
      <c r="AY54" s="45" t="s">
        <v>71</v>
      </c>
      <c r="AZ54" s="45" t="s">
        <v>76</v>
      </c>
      <c r="BA54" s="45" t="s">
        <v>72</v>
      </c>
      <c r="BB54" s="96" t="n">
        <v>177</v>
      </c>
      <c r="BC54" s="94" t="n">
        <v>5.9</v>
      </c>
      <c r="BD54" s="94" t="s">
        <v>81</v>
      </c>
      <c r="BE54" s="97" t="n">
        <v>6</v>
      </c>
      <c r="BF54" s="45" t="s">
        <v>98</v>
      </c>
      <c r="BG54" s="87"/>
      <c r="BH54" s="87"/>
      <c r="BI54" s="87"/>
      <c r="BJ54" s="87"/>
      <c r="BK54" s="87"/>
      <c r="BL54" s="87"/>
      <c r="BM54" s="87"/>
      <c r="BN54" s="87"/>
      <c r="BO54" s="87"/>
      <c r="BP54" s="87"/>
      <c r="BQ54" s="87"/>
      <c r="BR54" s="87"/>
      <c r="BS54" s="87"/>
      <c r="BT54" s="87"/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98"/>
    </row>
    <row r="55" s="99" customFormat="true" ht="12" hidden="false" customHeight="true" outlineLevel="0" collapsed="false">
      <c r="A55" s="45" t="n">
        <v>97</v>
      </c>
      <c r="B55" s="45" t="s">
        <v>99</v>
      </c>
      <c r="C55" s="45" t="s">
        <v>190</v>
      </c>
      <c r="D55" s="45" t="s">
        <v>74</v>
      </c>
      <c r="E55" s="45" t="s">
        <v>310</v>
      </c>
      <c r="F55" s="45" t="s">
        <v>384</v>
      </c>
      <c r="G55" s="45" t="s">
        <v>387</v>
      </c>
      <c r="H55" s="94" t="n">
        <v>360</v>
      </c>
      <c r="I55" s="95" t="n">
        <v>12.996</v>
      </c>
      <c r="J55" s="95" t="n">
        <v>0.036</v>
      </c>
      <c r="K55" s="95" t="n">
        <v>0.3</v>
      </c>
      <c r="L55" s="94" t="n">
        <v>58.5</v>
      </c>
      <c r="M55" s="96" t="n">
        <v>82</v>
      </c>
      <c r="N55" s="94" t="n">
        <v>61.1</v>
      </c>
      <c r="O55" s="95" t="n">
        <v>1.936</v>
      </c>
      <c r="P55" s="95" t="n">
        <v>0.032</v>
      </c>
      <c r="Q55" s="95" t="n">
        <v>0.222</v>
      </c>
      <c r="R55" s="94" t="n">
        <v>23.5</v>
      </c>
      <c r="S55" s="96" t="n">
        <v>5417</v>
      </c>
      <c r="T55" s="94" t="n">
        <v>4.7</v>
      </c>
      <c r="U55" s="94" t="n">
        <v>22.4</v>
      </c>
      <c r="V55" s="96" t="n">
        <v>14</v>
      </c>
      <c r="W55" s="94" t="n">
        <v>18.6</v>
      </c>
      <c r="X55" s="95" t="n">
        <v>0.816</v>
      </c>
      <c r="Y55" s="95" t="n">
        <v>0.044</v>
      </c>
      <c r="Z55" s="95" t="n">
        <v>0.206</v>
      </c>
      <c r="AA55" s="94" t="n">
        <v>5.5</v>
      </c>
      <c r="AB55" s="96" t="n">
        <v>1739</v>
      </c>
      <c r="AC55" s="94" t="n">
        <v>0</v>
      </c>
      <c r="AD55" s="94" t="n">
        <v>2.7</v>
      </c>
      <c r="AE55" s="96" t="n">
        <v>16</v>
      </c>
      <c r="AF55" s="94" t="n">
        <v>35</v>
      </c>
      <c r="AG55" s="95" t="n">
        <v>2.577</v>
      </c>
      <c r="AH55" s="95" t="n">
        <v>0.074</v>
      </c>
      <c r="AI55" s="94" t="n">
        <v>1.1</v>
      </c>
      <c r="AJ55" s="96" t="n">
        <v>17</v>
      </c>
      <c r="AK55" s="94" t="n">
        <v>325</v>
      </c>
      <c r="AL55" s="95" t="n">
        <v>10.419</v>
      </c>
      <c r="AM55" s="95" t="n">
        <v>0.032</v>
      </c>
      <c r="AN55" s="94" t="n">
        <v>57.4</v>
      </c>
      <c r="AO55" s="43"/>
      <c r="AP55" s="43"/>
      <c r="AQ55" s="43"/>
      <c r="AR55" s="43"/>
      <c r="AS55" s="42"/>
      <c r="AT55" s="42" t="n">
        <f aca="false">Table2[[#This Row],[Object_A_._head_time]]+Table2[[#This Row],[Object_B_._head_time]]</f>
        <v>79.7</v>
      </c>
      <c r="AU55" s="42" t="n">
        <f aca="false">Table2[[#This Row],[Object_B_._head_time]]-Table2[[#This Row],[Object_A_._head_time]]</f>
        <v>-42.5</v>
      </c>
      <c r="AV55" s="40" t="n">
        <f aca="false">Table2[[#This Row],[D1: Absolute discrimination measure (D1 = B2- A2)]]/Table2[[#This Row],[E2: total exploration time in second trial E2 ( E2 = A2 + B2)]]</f>
        <v>-0.533249686323714</v>
      </c>
      <c r="AW55" s="43" t="n">
        <f aca="false">(W55/AT55)</f>
        <v>0.233375156838143</v>
      </c>
      <c r="AX55" s="42"/>
      <c r="AY55" s="45" t="s">
        <v>71</v>
      </c>
      <c r="AZ55" s="45" t="s">
        <v>76</v>
      </c>
      <c r="BA55" s="45" t="s">
        <v>72</v>
      </c>
      <c r="BB55" s="96" t="n">
        <v>177</v>
      </c>
      <c r="BC55" s="94" t="n">
        <v>5.9</v>
      </c>
      <c r="BD55" s="94" t="s">
        <v>67</v>
      </c>
      <c r="BE55" s="97" t="n">
        <v>5</v>
      </c>
      <c r="BF55" s="45" t="s">
        <v>101</v>
      </c>
      <c r="BG55" s="87"/>
      <c r="BH55" s="87"/>
      <c r="BI55" s="87"/>
      <c r="BJ55" s="87"/>
      <c r="BK55" s="87"/>
      <c r="BL55" s="87"/>
      <c r="BM55" s="87"/>
      <c r="BN55" s="87"/>
      <c r="BO55" s="87"/>
      <c r="BP55" s="87"/>
      <c r="BQ55" s="87"/>
      <c r="BR55" s="87"/>
      <c r="BS55" s="87"/>
      <c r="BT55" s="87"/>
      <c r="BU55" s="87"/>
      <c r="BV55" s="87"/>
      <c r="BW55" s="87"/>
      <c r="BX55" s="87"/>
      <c r="BY55" s="87"/>
      <c r="BZ55" s="87"/>
      <c r="CA55" s="87"/>
      <c r="CB55" s="87"/>
      <c r="CC55" s="87"/>
      <c r="CD55" s="87"/>
      <c r="CE55" s="87"/>
      <c r="CF55" s="87"/>
      <c r="CG55" s="87"/>
      <c r="CH55" s="87"/>
      <c r="CI55" s="87"/>
      <c r="CJ55" s="87"/>
      <c r="CK55" s="87"/>
      <c r="CL55" s="87"/>
      <c r="CM55" s="87"/>
      <c r="CN55" s="87"/>
      <c r="CO55" s="87"/>
      <c r="CP55" s="87"/>
      <c r="CQ55" s="87"/>
      <c r="CR55" s="87"/>
      <c r="CS55" s="87"/>
      <c r="CT55" s="87"/>
      <c r="CU55" s="98"/>
    </row>
    <row r="56" s="99" customFormat="true" ht="12" hidden="false" customHeight="true" outlineLevel="0" collapsed="false">
      <c r="A56" s="45" t="n">
        <v>98</v>
      </c>
      <c r="B56" s="45" t="s">
        <v>102</v>
      </c>
      <c r="C56" s="45" t="s">
        <v>190</v>
      </c>
      <c r="D56" s="45" t="s">
        <v>79</v>
      </c>
      <c r="E56" s="45" t="s">
        <v>310</v>
      </c>
      <c r="F56" s="45" t="s">
        <v>388</v>
      </c>
      <c r="G56" s="45" t="s">
        <v>389</v>
      </c>
      <c r="H56" s="94" t="n">
        <v>360</v>
      </c>
      <c r="I56" s="95" t="n">
        <v>9.848</v>
      </c>
      <c r="J56" s="95" t="n">
        <v>0.027</v>
      </c>
      <c r="K56" s="95" t="n">
        <v>0.302</v>
      </c>
      <c r="L56" s="94" t="n">
        <v>175</v>
      </c>
      <c r="M56" s="96" t="n">
        <v>24</v>
      </c>
      <c r="N56" s="94" t="n">
        <v>31.9</v>
      </c>
      <c r="O56" s="95" t="n">
        <v>1.083</v>
      </c>
      <c r="P56" s="95" t="n">
        <v>0.034</v>
      </c>
      <c r="Q56" s="95" t="n">
        <v>0.251</v>
      </c>
      <c r="R56" s="94" t="n">
        <v>9.7</v>
      </c>
      <c r="S56" s="96" t="n">
        <v>2745</v>
      </c>
      <c r="T56" s="94" t="n">
        <v>8</v>
      </c>
      <c r="U56" s="94" t="n">
        <v>6.7</v>
      </c>
      <c r="V56" s="96" t="n">
        <v>17</v>
      </c>
      <c r="W56" s="94" t="n">
        <v>24.4</v>
      </c>
      <c r="X56" s="95" t="n">
        <v>1.666</v>
      </c>
      <c r="Y56" s="95" t="n">
        <v>0.068</v>
      </c>
      <c r="Z56" s="95" t="n">
        <v>0.278</v>
      </c>
      <c r="AA56" s="94" t="n">
        <v>6.4</v>
      </c>
      <c r="AB56" s="96" t="n">
        <v>2361</v>
      </c>
      <c r="AC56" s="94" t="n">
        <v>0</v>
      </c>
      <c r="AD56" s="94" t="n">
        <v>3.9</v>
      </c>
      <c r="AE56" s="96" t="n">
        <v>12</v>
      </c>
      <c r="AF56" s="94" t="n">
        <v>19.8</v>
      </c>
      <c r="AG56" s="95" t="n">
        <v>1.507</v>
      </c>
      <c r="AH56" s="95" t="n">
        <v>0.076</v>
      </c>
      <c r="AI56" s="94" t="n">
        <v>0</v>
      </c>
      <c r="AJ56" s="96" t="n">
        <v>12</v>
      </c>
      <c r="AK56" s="94" t="n">
        <v>340.2</v>
      </c>
      <c r="AL56" s="95" t="n">
        <v>8.342</v>
      </c>
      <c r="AM56" s="95" t="n">
        <v>0.025</v>
      </c>
      <c r="AN56" s="94" t="n">
        <v>175</v>
      </c>
      <c r="AO56" s="43"/>
      <c r="AP56" s="43"/>
      <c r="AQ56" s="43"/>
      <c r="AR56" s="43"/>
      <c r="AS56" s="42"/>
      <c r="AT56" s="42" t="n">
        <f aca="false">Table2[[#This Row],[Object_A_._head_time]]+Table2[[#This Row],[Object_B_._head_time]]</f>
        <v>56.3</v>
      </c>
      <c r="AU56" s="42" t="n">
        <f aca="false">Table2[[#This Row],[Object_B_._head_time]]-Table2[[#This Row],[Object_A_._head_time]]</f>
        <v>-7.5</v>
      </c>
      <c r="AV56" s="40" t="n">
        <f aca="false">Table2[[#This Row],[D1: Absolute discrimination measure (D1 = B2- A2)]]/Table2[[#This Row],[E2: total exploration time in second trial E2 ( E2 = A2 + B2)]]</f>
        <v>-0.133214920071048</v>
      </c>
      <c r="AW56" s="43" t="n">
        <f aca="false">(W56/AT56)</f>
        <v>0.433392539964476</v>
      </c>
      <c r="AX56" s="42"/>
      <c r="AY56" s="45" t="s">
        <v>71</v>
      </c>
      <c r="AZ56" s="45" t="s">
        <v>76</v>
      </c>
      <c r="BA56" s="45" t="s">
        <v>72</v>
      </c>
      <c r="BB56" s="96" t="n">
        <v>177</v>
      </c>
      <c r="BC56" s="94" t="n">
        <v>5.9</v>
      </c>
      <c r="BD56" s="94" t="s">
        <v>81</v>
      </c>
      <c r="BE56" s="97" t="n">
        <v>6</v>
      </c>
      <c r="BF56" s="45"/>
      <c r="BG56" s="87"/>
      <c r="BH56" s="87"/>
      <c r="BI56" s="87"/>
      <c r="BJ56" s="87"/>
      <c r="BK56" s="87"/>
      <c r="BL56" s="87"/>
      <c r="BM56" s="87"/>
      <c r="BN56" s="87"/>
      <c r="BO56" s="87"/>
      <c r="BP56" s="87"/>
      <c r="BQ56" s="87"/>
      <c r="BR56" s="87"/>
      <c r="BS56" s="87"/>
      <c r="BT56" s="87"/>
      <c r="BU56" s="87"/>
      <c r="BV56" s="87"/>
      <c r="BW56" s="87"/>
      <c r="BX56" s="87"/>
      <c r="BY56" s="87"/>
      <c r="BZ56" s="87"/>
      <c r="CA56" s="87"/>
      <c r="CB56" s="87"/>
      <c r="CC56" s="87"/>
      <c r="CD56" s="87"/>
      <c r="CE56" s="87"/>
      <c r="CF56" s="87"/>
      <c r="CG56" s="87"/>
      <c r="CH56" s="87"/>
      <c r="CI56" s="87"/>
      <c r="CJ56" s="87"/>
      <c r="CK56" s="87"/>
      <c r="CL56" s="87"/>
      <c r="CM56" s="87"/>
      <c r="CN56" s="87"/>
      <c r="CO56" s="87"/>
      <c r="CP56" s="87"/>
      <c r="CQ56" s="87"/>
      <c r="CR56" s="87"/>
      <c r="CS56" s="87"/>
      <c r="CT56" s="87"/>
      <c r="CU56" s="98"/>
    </row>
    <row r="57" s="99" customFormat="true" ht="12" hidden="false" customHeight="true" outlineLevel="0" collapsed="false">
      <c r="A57" s="45" t="n">
        <v>102</v>
      </c>
      <c r="B57" s="45" t="s">
        <v>107</v>
      </c>
      <c r="C57" s="45" t="s">
        <v>190</v>
      </c>
      <c r="D57" s="45" t="s">
        <v>60</v>
      </c>
      <c r="E57" s="45" t="s">
        <v>310</v>
      </c>
      <c r="F57" s="45" t="s">
        <v>390</v>
      </c>
      <c r="G57" s="45" t="s">
        <v>391</v>
      </c>
      <c r="H57" s="94" t="n">
        <v>360</v>
      </c>
      <c r="I57" s="95" t="n">
        <v>8.283</v>
      </c>
      <c r="J57" s="95" t="n">
        <v>0.023</v>
      </c>
      <c r="K57" s="95" t="n">
        <v>0.26</v>
      </c>
      <c r="L57" s="94" t="n">
        <v>53.5</v>
      </c>
      <c r="M57" s="96" t="n">
        <v>71</v>
      </c>
      <c r="N57" s="94" t="n">
        <v>149.8</v>
      </c>
      <c r="O57" s="95" t="n">
        <v>1.384</v>
      </c>
      <c r="P57" s="95" t="n">
        <v>0.009</v>
      </c>
      <c r="Q57" s="95" t="n">
        <v>0.254</v>
      </c>
      <c r="R57" s="94" t="n">
        <v>62.6</v>
      </c>
      <c r="S57" s="96" t="n">
        <v>7601</v>
      </c>
      <c r="T57" s="94" t="n">
        <v>28.6</v>
      </c>
      <c r="U57" s="94" t="n">
        <v>114</v>
      </c>
      <c r="V57" s="96" t="n">
        <v>8</v>
      </c>
      <c r="W57" s="94" t="n">
        <v>14.2</v>
      </c>
      <c r="X57" s="95" t="n">
        <v>0.487</v>
      </c>
      <c r="Y57" s="95" t="n">
        <v>0.034</v>
      </c>
      <c r="Z57" s="95" t="n">
        <v>0.237</v>
      </c>
      <c r="AA57" s="94" t="n">
        <v>3.1</v>
      </c>
      <c r="AB57" s="96" t="n">
        <v>534</v>
      </c>
      <c r="AC57" s="94" t="n">
        <v>0</v>
      </c>
      <c r="AD57" s="94" t="n">
        <v>3.1</v>
      </c>
      <c r="AE57" s="96" t="n">
        <v>9</v>
      </c>
      <c r="AF57" s="94" t="n">
        <v>31.5</v>
      </c>
      <c r="AG57" s="95" t="n">
        <v>1.553</v>
      </c>
      <c r="AH57" s="95" t="n">
        <v>0.049</v>
      </c>
      <c r="AI57" s="94" t="n">
        <v>1.9</v>
      </c>
      <c r="AJ57" s="96" t="n">
        <v>9</v>
      </c>
      <c r="AK57" s="94" t="n">
        <v>328.5</v>
      </c>
      <c r="AL57" s="95" t="n">
        <v>6.731</v>
      </c>
      <c r="AM57" s="95" t="n">
        <v>0.02</v>
      </c>
      <c r="AN57" s="94" t="n">
        <v>51.6</v>
      </c>
      <c r="AO57" s="43"/>
      <c r="AP57" s="43"/>
      <c r="AQ57" s="43"/>
      <c r="AR57" s="43"/>
      <c r="AS57" s="42"/>
      <c r="AT57" s="42" t="n">
        <f aca="false">Table2[[#This Row],[Object_A_._head_time]]+Table2[[#This Row],[Object_B_._head_time]]</f>
        <v>164</v>
      </c>
      <c r="AU57" s="42" t="n">
        <f aca="false">Table2[[#This Row],[Object_B_._head_time]]-Table2[[#This Row],[Object_A_._head_time]]</f>
        <v>-135.6</v>
      </c>
      <c r="AV57" s="40" t="n">
        <f aca="false">Table2[[#This Row],[D1: Absolute discrimination measure (D1 = B2- A2)]]/Table2[[#This Row],[E2: total exploration time in second trial E2 ( E2 = A2 + B2)]]</f>
        <v>-0.826829268292683</v>
      </c>
      <c r="AW57" s="43" t="n">
        <f aca="false">(W57/AT57)</f>
        <v>0.0865853658536585</v>
      </c>
      <c r="AX57" s="42"/>
      <c r="AY57" s="45" t="s">
        <v>64</v>
      </c>
      <c r="AZ57" s="45" t="s">
        <v>65</v>
      </c>
      <c r="BA57" s="45" t="s">
        <v>66</v>
      </c>
      <c r="BB57" s="96" t="n">
        <v>169</v>
      </c>
      <c r="BC57" s="94" t="n">
        <v>5.63333333333333</v>
      </c>
      <c r="BD57" s="45" t="s">
        <v>81</v>
      </c>
      <c r="BE57" s="97" t="n">
        <v>4</v>
      </c>
      <c r="BF57" s="45" t="s">
        <v>109</v>
      </c>
      <c r="BG57" s="87"/>
      <c r="BH57" s="87"/>
      <c r="BI57" s="87"/>
      <c r="BJ57" s="87"/>
      <c r="BK57" s="87"/>
      <c r="BL57" s="87"/>
      <c r="BM57" s="87"/>
      <c r="BN57" s="87"/>
      <c r="BO57" s="87"/>
      <c r="BP57" s="87"/>
      <c r="BQ57" s="87"/>
      <c r="BR57" s="87"/>
      <c r="BS57" s="87"/>
      <c r="BT57" s="87"/>
      <c r="BU57" s="87"/>
      <c r="BV57" s="87"/>
      <c r="BW57" s="87"/>
      <c r="BX57" s="87"/>
      <c r="BY57" s="87"/>
      <c r="BZ57" s="87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98"/>
    </row>
    <row r="58" s="99" customFormat="true" ht="12" hidden="false" customHeight="true" outlineLevel="0" collapsed="false">
      <c r="A58" s="45" t="n">
        <v>101</v>
      </c>
      <c r="B58" s="45" t="s">
        <v>110</v>
      </c>
      <c r="C58" s="45" t="s">
        <v>190</v>
      </c>
      <c r="D58" s="45" t="s">
        <v>69</v>
      </c>
      <c r="E58" s="45" t="s">
        <v>310</v>
      </c>
      <c r="F58" s="45" t="s">
        <v>392</v>
      </c>
      <c r="G58" s="45" t="s">
        <v>393</v>
      </c>
      <c r="H58" s="94" t="n">
        <v>360</v>
      </c>
      <c r="I58" s="95" t="n">
        <v>11.711</v>
      </c>
      <c r="J58" s="95" t="n">
        <v>0.033</v>
      </c>
      <c r="K58" s="95" t="n">
        <v>0.233</v>
      </c>
      <c r="L58" s="94" t="n">
        <v>68.5</v>
      </c>
      <c r="M58" s="96" t="n">
        <v>43</v>
      </c>
      <c r="N58" s="94" t="n">
        <v>69.9</v>
      </c>
      <c r="O58" s="95" t="n">
        <v>2.084</v>
      </c>
      <c r="P58" s="95" t="n">
        <v>0.03</v>
      </c>
      <c r="Q58" s="95" t="n">
        <v>0.171</v>
      </c>
      <c r="R58" s="94" t="n">
        <v>34.4</v>
      </c>
      <c r="S58" s="96" t="n">
        <v>3762</v>
      </c>
      <c r="T58" s="94" t="n">
        <v>14.7</v>
      </c>
      <c r="U58" s="94" t="n">
        <v>38.9</v>
      </c>
      <c r="V58" s="96" t="n">
        <v>10</v>
      </c>
      <c r="W58" s="94" t="n">
        <v>23</v>
      </c>
      <c r="X58" s="95" t="n">
        <v>1.046</v>
      </c>
      <c r="Y58" s="95" t="n">
        <v>0.045</v>
      </c>
      <c r="Z58" s="95" t="n">
        <v>0.227</v>
      </c>
      <c r="AA58" s="94" t="n">
        <v>4.6</v>
      </c>
      <c r="AB58" s="96" t="n">
        <v>1697</v>
      </c>
      <c r="AC58" s="94" t="n">
        <v>0</v>
      </c>
      <c r="AD58" s="94" t="n">
        <v>2.1</v>
      </c>
      <c r="AE58" s="96" t="n">
        <v>23</v>
      </c>
      <c r="AF58" s="94" t="n">
        <v>38.7</v>
      </c>
      <c r="AG58" s="95" t="n">
        <v>2.534</v>
      </c>
      <c r="AH58" s="95" t="n">
        <v>0.066</v>
      </c>
      <c r="AI58" s="94" t="n">
        <v>0</v>
      </c>
      <c r="AJ58" s="96" t="n">
        <v>24</v>
      </c>
      <c r="AK58" s="94" t="n">
        <v>321.3</v>
      </c>
      <c r="AL58" s="95" t="n">
        <v>9.178</v>
      </c>
      <c r="AM58" s="95" t="n">
        <v>0.029</v>
      </c>
      <c r="AN58" s="94" t="n">
        <v>68.5</v>
      </c>
      <c r="AO58" s="43"/>
      <c r="AP58" s="43"/>
      <c r="AQ58" s="43"/>
      <c r="AR58" s="43"/>
      <c r="AS58" s="42"/>
      <c r="AT58" s="42" t="n">
        <f aca="false">Table2[[#This Row],[Object_A_._head_time]]+Table2[[#This Row],[Object_B_._head_time]]</f>
        <v>92.9</v>
      </c>
      <c r="AU58" s="42" t="n">
        <f aca="false">Table2[[#This Row],[Object_B_._head_time]]-Table2[[#This Row],[Object_A_._head_time]]</f>
        <v>-46.9</v>
      </c>
      <c r="AV58" s="40" t="n">
        <f aca="false">Table2[[#This Row],[D1: Absolute discrimination measure (D1 = B2- A2)]]/Table2[[#This Row],[E2: total exploration time in second trial E2 ( E2 = A2 + B2)]]</f>
        <v>-0.504843918191604</v>
      </c>
      <c r="AW58" s="43" t="n">
        <f aca="false">(W58/AT58)</f>
        <v>0.247578040904198</v>
      </c>
      <c r="AX58" s="42"/>
      <c r="AY58" s="45" t="s">
        <v>71</v>
      </c>
      <c r="AZ58" s="45" t="s">
        <v>65</v>
      </c>
      <c r="BA58" s="45" t="s">
        <v>72</v>
      </c>
      <c r="BB58" s="96" t="n">
        <v>169</v>
      </c>
      <c r="BC58" s="94" t="n">
        <v>5.63333333333333</v>
      </c>
      <c r="BD58" s="45" t="s">
        <v>67</v>
      </c>
      <c r="BE58" s="97" t="n">
        <v>1</v>
      </c>
      <c r="BF58" s="45"/>
      <c r="BG58" s="87"/>
      <c r="BH58" s="87"/>
      <c r="BI58" s="87"/>
      <c r="BJ58" s="87"/>
      <c r="BK58" s="87"/>
      <c r="BL58" s="87"/>
      <c r="BM58" s="87"/>
      <c r="BN58" s="87"/>
      <c r="BO58" s="87"/>
      <c r="BP58" s="87"/>
      <c r="BQ58" s="87"/>
      <c r="BR58" s="87"/>
      <c r="BS58" s="87"/>
      <c r="BT58" s="87"/>
      <c r="BU58" s="87"/>
      <c r="BV58" s="87"/>
      <c r="BW58" s="87"/>
      <c r="BX58" s="87"/>
      <c r="BY58" s="87"/>
      <c r="BZ58" s="87"/>
      <c r="CA58" s="87"/>
      <c r="CB58" s="87"/>
      <c r="CC58" s="87"/>
      <c r="CD58" s="87"/>
      <c r="CE58" s="87"/>
      <c r="CF58" s="87"/>
      <c r="CG58" s="87"/>
      <c r="CH58" s="87"/>
      <c r="CI58" s="87"/>
      <c r="CJ58" s="87"/>
      <c r="CK58" s="87"/>
      <c r="CL58" s="87"/>
      <c r="CM58" s="87"/>
      <c r="CN58" s="87"/>
      <c r="CO58" s="87"/>
      <c r="CP58" s="87"/>
      <c r="CQ58" s="87"/>
      <c r="CR58" s="87"/>
      <c r="CS58" s="87"/>
      <c r="CT58" s="87"/>
      <c r="CU58" s="98"/>
    </row>
    <row r="59" s="99" customFormat="true" ht="12" hidden="false" customHeight="true" outlineLevel="0" collapsed="false">
      <c r="A59" s="45" t="n">
        <v>99</v>
      </c>
      <c r="B59" s="45" t="s">
        <v>112</v>
      </c>
      <c r="C59" s="45" t="s">
        <v>190</v>
      </c>
      <c r="D59" s="45" t="s">
        <v>74</v>
      </c>
      <c r="E59" s="45" t="s">
        <v>310</v>
      </c>
      <c r="F59" s="45" t="s">
        <v>392</v>
      </c>
      <c r="G59" s="45" t="s">
        <v>394</v>
      </c>
      <c r="H59" s="94" t="n">
        <v>360</v>
      </c>
      <c r="I59" s="95" t="n">
        <v>52.59</v>
      </c>
      <c r="J59" s="95" t="n">
        <v>0.146</v>
      </c>
      <c r="K59" s="95" t="n">
        <v>0.357</v>
      </c>
      <c r="L59" s="94" t="n">
        <v>2.5</v>
      </c>
      <c r="M59" s="96" t="n">
        <v>93</v>
      </c>
      <c r="N59" s="94" t="n">
        <v>51.8</v>
      </c>
      <c r="O59" s="95" t="n">
        <v>7.701</v>
      </c>
      <c r="P59" s="95" t="n">
        <v>0.149</v>
      </c>
      <c r="Q59" s="95" t="n">
        <v>0.348</v>
      </c>
      <c r="R59" s="94" t="n">
        <v>6.8</v>
      </c>
      <c r="S59" s="96" t="n">
        <v>6099</v>
      </c>
      <c r="T59" s="94" t="n">
        <v>0</v>
      </c>
      <c r="U59" s="94" t="n">
        <v>10.8</v>
      </c>
      <c r="V59" s="96" t="n">
        <v>94</v>
      </c>
      <c r="W59" s="94" t="n">
        <v>55.3</v>
      </c>
      <c r="X59" s="95" t="n">
        <v>8.163</v>
      </c>
      <c r="Y59" s="95" t="n">
        <v>0.148</v>
      </c>
      <c r="Z59" s="95" t="n">
        <v>0.348</v>
      </c>
      <c r="AA59" s="94" t="n">
        <v>8.4</v>
      </c>
      <c r="AB59" s="96" t="n">
        <v>6009</v>
      </c>
      <c r="AC59" s="94" t="n">
        <v>0</v>
      </c>
      <c r="AD59" s="94" t="n">
        <v>13.1</v>
      </c>
      <c r="AE59" s="96" t="n">
        <v>68</v>
      </c>
      <c r="AF59" s="94" t="n">
        <v>36.1</v>
      </c>
      <c r="AG59" s="95" t="n">
        <v>8.304</v>
      </c>
      <c r="AH59" s="95" t="n">
        <v>0.23</v>
      </c>
      <c r="AI59" s="94" t="n">
        <v>0</v>
      </c>
      <c r="AJ59" s="96" t="n">
        <v>69</v>
      </c>
      <c r="AK59" s="94" t="n">
        <v>323.9</v>
      </c>
      <c r="AL59" s="95" t="n">
        <v>44.287</v>
      </c>
      <c r="AM59" s="95" t="n">
        <v>0.137</v>
      </c>
      <c r="AN59" s="94" t="n">
        <v>2.5</v>
      </c>
      <c r="AO59" s="43"/>
      <c r="AP59" s="43"/>
      <c r="AQ59" s="43"/>
      <c r="AR59" s="43"/>
      <c r="AS59" s="42"/>
      <c r="AT59" s="42" t="n">
        <f aca="false">Table2[[#This Row],[Object_A_._head_time]]+Table2[[#This Row],[Object_B_._head_time]]</f>
        <v>107.1</v>
      </c>
      <c r="AU59" s="42" t="n">
        <f aca="false">Table2[[#This Row],[Object_B_._head_time]]-Table2[[#This Row],[Object_A_._head_time]]</f>
        <v>3.5</v>
      </c>
      <c r="AV59" s="40" t="n">
        <f aca="false">Table2[[#This Row],[D1: Absolute discrimination measure (D1 = B2- A2)]]/Table2[[#This Row],[E2: total exploration time in second trial E2 ( E2 = A2 + B2)]]</f>
        <v>0.0326797385620915</v>
      </c>
      <c r="AW59" s="43" t="n">
        <f aca="false">(W59/AT59)</f>
        <v>0.516339869281046</v>
      </c>
      <c r="AX59" s="42"/>
      <c r="AY59" s="45" t="s">
        <v>71</v>
      </c>
      <c r="AZ59" s="45" t="s">
        <v>76</v>
      </c>
      <c r="BA59" s="45" t="s">
        <v>66</v>
      </c>
      <c r="BB59" s="96" t="n">
        <v>169</v>
      </c>
      <c r="BC59" s="94" t="n">
        <v>5.63333333333333</v>
      </c>
      <c r="BD59" s="45" t="s">
        <v>67</v>
      </c>
      <c r="BE59" s="97" t="n">
        <v>7</v>
      </c>
      <c r="BF59" s="45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  <c r="BU59" s="87"/>
      <c r="BV59" s="87"/>
      <c r="BW59" s="87"/>
      <c r="BX59" s="87"/>
      <c r="BY59" s="87"/>
      <c r="BZ59" s="87"/>
      <c r="CA59" s="87"/>
      <c r="CB59" s="87"/>
      <c r="CC59" s="87"/>
      <c r="CD59" s="87"/>
      <c r="CE59" s="87"/>
      <c r="CF59" s="87"/>
      <c r="CG59" s="87"/>
      <c r="CH59" s="87"/>
      <c r="CI59" s="87"/>
      <c r="CJ59" s="87"/>
      <c r="CK59" s="87"/>
      <c r="CL59" s="87"/>
      <c r="CM59" s="87"/>
      <c r="CN59" s="87"/>
      <c r="CO59" s="87"/>
      <c r="CP59" s="87"/>
      <c r="CQ59" s="87"/>
      <c r="CR59" s="87"/>
      <c r="CS59" s="87"/>
      <c r="CT59" s="87"/>
      <c r="CU59" s="98"/>
    </row>
    <row r="60" s="99" customFormat="true" ht="12" hidden="false" customHeight="true" outlineLevel="0" collapsed="false">
      <c r="A60" s="45" t="n">
        <v>100</v>
      </c>
      <c r="B60" s="45" t="s">
        <v>114</v>
      </c>
      <c r="C60" s="45" t="s">
        <v>190</v>
      </c>
      <c r="D60" s="45" t="s">
        <v>79</v>
      </c>
      <c r="E60" s="45" t="s">
        <v>310</v>
      </c>
      <c r="F60" s="45" t="s">
        <v>392</v>
      </c>
      <c r="G60" s="45" t="s">
        <v>395</v>
      </c>
      <c r="H60" s="94" t="n">
        <v>360</v>
      </c>
      <c r="I60" s="95" t="n">
        <v>2.466</v>
      </c>
      <c r="J60" s="95" t="n">
        <v>0.007</v>
      </c>
      <c r="K60" s="95" t="n">
        <v>0.215</v>
      </c>
      <c r="L60" s="94" t="n">
        <v>213.7</v>
      </c>
      <c r="M60" s="96" t="n">
        <v>1</v>
      </c>
      <c r="N60" s="94" t="n">
        <v>0.5</v>
      </c>
      <c r="O60" s="95" t="n">
        <v>0</v>
      </c>
      <c r="P60" s="95" t="n">
        <v>0</v>
      </c>
      <c r="Q60" s="95" t="n">
        <v>0.052</v>
      </c>
      <c r="R60" s="94" t="n">
        <v>0.1</v>
      </c>
      <c r="S60" s="96" t="n">
        <v>88</v>
      </c>
      <c r="T60" s="94" t="n">
        <v>0</v>
      </c>
      <c r="U60" s="94" t="n">
        <v>0.5</v>
      </c>
      <c r="V60" s="96" t="n">
        <v>8</v>
      </c>
      <c r="W60" s="94" t="n">
        <v>7.5</v>
      </c>
      <c r="X60" s="95" t="n">
        <v>0.047</v>
      </c>
      <c r="Y60" s="95" t="n">
        <v>0.006</v>
      </c>
      <c r="Z60" s="95" t="n">
        <v>0.04</v>
      </c>
      <c r="AA60" s="94" t="n">
        <v>2.2</v>
      </c>
      <c r="AB60" s="96" t="n">
        <v>535</v>
      </c>
      <c r="AC60" s="94" t="n">
        <v>0.1</v>
      </c>
      <c r="AD60" s="94" t="n">
        <v>6.1</v>
      </c>
      <c r="AE60" s="96" t="n">
        <v>0</v>
      </c>
      <c r="AF60" s="94" t="n">
        <v>0</v>
      </c>
      <c r="AG60" s="95" t="n">
        <v>0</v>
      </c>
      <c r="AH60" s="95"/>
      <c r="AI60" s="94" t="n">
        <v>0</v>
      </c>
      <c r="AJ60" s="96" t="n">
        <v>1</v>
      </c>
      <c r="AK60" s="94" t="n">
        <v>360</v>
      </c>
      <c r="AL60" s="95" t="n">
        <v>2.466</v>
      </c>
      <c r="AM60" s="95" t="n">
        <v>0.007</v>
      </c>
      <c r="AN60" s="94" t="n">
        <v>213.7</v>
      </c>
      <c r="AO60" s="43"/>
      <c r="AP60" s="43"/>
      <c r="AQ60" s="43"/>
      <c r="AR60" s="43"/>
      <c r="AS60" s="42"/>
      <c r="AT60" s="42" t="n">
        <f aca="false">Table2[[#This Row],[Object_A_._head_time]]+Table2[[#This Row],[Object_B_._head_time]]</f>
        <v>8</v>
      </c>
      <c r="AU60" s="42" t="n">
        <f aca="false">Table2[[#This Row],[Object_B_._head_time]]-Table2[[#This Row],[Object_A_._head_time]]</f>
        <v>7</v>
      </c>
      <c r="AV60" s="40" t="n">
        <f aca="false">Table2[[#This Row],[D1: Absolute discrimination measure (D1 = B2- A2)]]/Table2[[#This Row],[E2: total exploration time in second trial E2 ( E2 = A2 + B2)]]</f>
        <v>0.875</v>
      </c>
      <c r="AW60" s="43" t="n">
        <f aca="false">(W60/AT60)</f>
        <v>0.9375</v>
      </c>
      <c r="AX60" s="42"/>
      <c r="AY60" s="45" t="s">
        <v>71</v>
      </c>
      <c r="AZ60" s="45" t="s">
        <v>65</v>
      </c>
      <c r="BA60" s="45" t="s">
        <v>66</v>
      </c>
      <c r="BB60" s="96" t="n">
        <v>169</v>
      </c>
      <c r="BC60" s="94" t="n">
        <v>5.63333333333333</v>
      </c>
      <c r="BD60" s="45" t="s">
        <v>67</v>
      </c>
      <c r="BE60" s="97" t="n">
        <v>3</v>
      </c>
      <c r="BF60" s="45"/>
      <c r="BG60" s="87"/>
      <c r="BH60" s="87"/>
      <c r="BI60" s="87"/>
      <c r="BJ60" s="87"/>
      <c r="BK60" s="87"/>
      <c r="BL60" s="87"/>
      <c r="BM60" s="87"/>
      <c r="BN60" s="87"/>
      <c r="BO60" s="87"/>
      <c r="BP60" s="87"/>
      <c r="BQ60" s="87"/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98"/>
    </row>
    <row r="61" s="99" customFormat="true" ht="12" hidden="false" customHeight="true" outlineLevel="0" collapsed="false">
      <c r="A61" s="45" t="n">
        <v>104</v>
      </c>
      <c r="B61" s="45" t="s">
        <v>117</v>
      </c>
      <c r="C61" s="45" t="s">
        <v>190</v>
      </c>
      <c r="D61" s="45" t="s">
        <v>60</v>
      </c>
      <c r="E61" s="45" t="s">
        <v>310</v>
      </c>
      <c r="F61" s="45" t="s">
        <v>396</v>
      </c>
      <c r="G61" s="45" t="s">
        <v>397</v>
      </c>
      <c r="H61" s="94" t="n">
        <v>360</v>
      </c>
      <c r="I61" s="95" t="n">
        <v>6.122</v>
      </c>
      <c r="J61" s="95" t="n">
        <v>0.017</v>
      </c>
      <c r="K61" s="95" t="n">
        <v>0.309</v>
      </c>
      <c r="L61" s="94" t="n">
        <v>95</v>
      </c>
      <c r="M61" s="96" t="n">
        <v>21</v>
      </c>
      <c r="N61" s="94" t="n">
        <v>31</v>
      </c>
      <c r="O61" s="95" t="n">
        <v>0.396</v>
      </c>
      <c r="P61" s="95" t="n">
        <v>0.013</v>
      </c>
      <c r="Q61" s="95" t="n">
        <v>0.296</v>
      </c>
      <c r="R61" s="94" t="n">
        <v>7.6</v>
      </c>
      <c r="S61" s="96" t="n">
        <v>1787</v>
      </c>
      <c r="T61" s="94" t="n">
        <v>10.1</v>
      </c>
      <c r="U61" s="94" t="n">
        <v>9.3</v>
      </c>
      <c r="V61" s="96" t="n">
        <v>26</v>
      </c>
      <c r="W61" s="94" t="n">
        <v>117.3</v>
      </c>
      <c r="X61" s="95" t="n">
        <v>1.343</v>
      </c>
      <c r="Y61" s="95" t="n">
        <v>0.011</v>
      </c>
      <c r="Z61" s="95" t="n">
        <v>0.291</v>
      </c>
      <c r="AA61" s="94" t="n">
        <v>66.5</v>
      </c>
      <c r="AB61" s="96" t="n">
        <v>6027</v>
      </c>
      <c r="AC61" s="94" t="n">
        <v>51.7</v>
      </c>
      <c r="AD61" s="94" t="n">
        <v>78.4</v>
      </c>
      <c r="AE61" s="96" t="n">
        <v>10</v>
      </c>
      <c r="AF61" s="94" t="n">
        <v>30.9</v>
      </c>
      <c r="AG61" s="95" t="n">
        <v>1.521</v>
      </c>
      <c r="AH61" s="95" t="n">
        <v>0.049</v>
      </c>
      <c r="AI61" s="94" t="n">
        <v>10</v>
      </c>
      <c r="AJ61" s="96" t="n">
        <v>11</v>
      </c>
      <c r="AK61" s="94" t="n">
        <v>329.1</v>
      </c>
      <c r="AL61" s="95" t="n">
        <v>4.601</v>
      </c>
      <c r="AM61" s="95" t="n">
        <v>0.014</v>
      </c>
      <c r="AN61" s="94" t="n">
        <v>85</v>
      </c>
      <c r="AO61" s="43"/>
      <c r="AP61" s="43"/>
      <c r="AQ61" s="43"/>
      <c r="AR61" s="43"/>
      <c r="AS61" s="42"/>
      <c r="AT61" s="42" t="n">
        <f aca="false">Table2[[#This Row],[Object_A_._head_time]]+Table2[[#This Row],[Object_B_._head_time]]</f>
        <v>148.3</v>
      </c>
      <c r="AU61" s="42" t="n">
        <f aca="false">Table2[[#This Row],[Object_B_._head_time]]-Table2[[#This Row],[Object_A_._head_time]]</f>
        <v>86.3</v>
      </c>
      <c r="AV61" s="40" t="n">
        <f aca="false">Table2[[#This Row],[D1: Absolute discrimination measure (D1 = B2- A2)]]/Table2[[#This Row],[E2: total exploration time in second trial E2 ( E2 = A2 + B2)]]</f>
        <v>0.581928523263655</v>
      </c>
      <c r="AW61" s="43" t="n">
        <f aca="false">(W61/AT61)</f>
        <v>0.790964261631827</v>
      </c>
      <c r="AX61" s="42"/>
      <c r="AY61" s="45" t="s">
        <v>64</v>
      </c>
      <c r="AZ61" s="45" t="s">
        <v>65</v>
      </c>
      <c r="BA61" s="45" t="s">
        <v>66</v>
      </c>
      <c r="BB61" s="96" t="n">
        <v>159</v>
      </c>
      <c r="BC61" s="94" t="n">
        <v>5.3</v>
      </c>
      <c r="BD61" s="45" t="s">
        <v>67</v>
      </c>
      <c r="BE61" s="97" t="n">
        <v>3</v>
      </c>
      <c r="BF61" s="45"/>
      <c r="BG61" s="87"/>
      <c r="BH61" s="87"/>
      <c r="BI61" s="87"/>
      <c r="BJ61" s="87"/>
      <c r="BK61" s="87"/>
      <c r="BL61" s="87"/>
      <c r="BM61" s="87"/>
      <c r="BN61" s="87"/>
      <c r="BO61" s="87"/>
      <c r="BP61" s="87"/>
      <c r="BQ61" s="87"/>
      <c r="BR61" s="87"/>
      <c r="BS61" s="87"/>
      <c r="BT61" s="87"/>
      <c r="BU61" s="87"/>
      <c r="BV61" s="87"/>
      <c r="BW61" s="87"/>
      <c r="BX61" s="87"/>
      <c r="BY61" s="87"/>
      <c r="BZ61" s="87"/>
      <c r="CA61" s="87"/>
      <c r="CB61" s="87"/>
      <c r="CC61" s="87"/>
      <c r="CD61" s="87"/>
      <c r="CE61" s="87"/>
      <c r="CF61" s="87"/>
      <c r="CG61" s="87"/>
      <c r="CH61" s="87"/>
      <c r="CI61" s="87"/>
      <c r="CJ61" s="87"/>
      <c r="CK61" s="87"/>
      <c r="CL61" s="87"/>
      <c r="CM61" s="87"/>
      <c r="CN61" s="87"/>
      <c r="CO61" s="87"/>
      <c r="CP61" s="87"/>
      <c r="CQ61" s="87"/>
      <c r="CR61" s="87"/>
      <c r="CS61" s="87"/>
      <c r="CT61" s="87"/>
      <c r="CU61" s="98"/>
    </row>
    <row r="62" s="99" customFormat="true" ht="12" hidden="false" customHeight="true" outlineLevel="0" collapsed="false">
      <c r="A62" s="45" t="n">
        <v>103</v>
      </c>
      <c r="B62" s="45" t="s">
        <v>119</v>
      </c>
      <c r="C62" s="45" t="s">
        <v>190</v>
      </c>
      <c r="D62" s="45" t="s">
        <v>69</v>
      </c>
      <c r="E62" s="45" t="s">
        <v>310</v>
      </c>
      <c r="F62" s="45" t="s">
        <v>396</v>
      </c>
      <c r="G62" s="45" t="s">
        <v>398</v>
      </c>
      <c r="H62" s="94" t="n">
        <v>360</v>
      </c>
      <c r="I62" s="95" t="n">
        <v>7.92</v>
      </c>
      <c r="J62" s="95" t="n">
        <v>0.022</v>
      </c>
      <c r="K62" s="95" t="n">
        <v>0.208</v>
      </c>
      <c r="L62" s="94" t="n">
        <v>65.4</v>
      </c>
      <c r="M62" s="96" t="n">
        <v>27</v>
      </c>
      <c r="N62" s="94" t="n">
        <v>65.9</v>
      </c>
      <c r="O62" s="95" t="n">
        <v>1.077</v>
      </c>
      <c r="P62" s="95" t="n">
        <v>0.016</v>
      </c>
      <c r="Q62" s="95" t="n">
        <v>0.206</v>
      </c>
      <c r="R62" s="94" t="n">
        <v>11.1</v>
      </c>
      <c r="S62" s="96" t="n">
        <v>3190</v>
      </c>
      <c r="T62" s="94" t="n">
        <v>10.1</v>
      </c>
      <c r="U62" s="94" t="n">
        <v>14.9</v>
      </c>
      <c r="V62" s="96" t="n">
        <v>16</v>
      </c>
      <c r="W62" s="94" t="n">
        <v>22</v>
      </c>
      <c r="X62" s="95" t="n">
        <v>1.043</v>
      </c>
      <c r="Y62" s="95" t="n">
        <v>0.047</v>
      </c>
      <c r="Z62" s="95" t="n">
        <v>0.189</v>
      </c>
      <c r="AA62" s="94" t="n">
        <v>7</v>
      </c>
      <c r="AB62" s="96" t="n">
        <v>1444</v>
      </c>
      <c r="AC62" s="94" t="n">
        <v>1.1</v>
      </c>
      <c r="AD62" s="94" t="n">
        <v>3.1</v>
      </c>
      <c r="AE62" s="96" t="n">
        <v>8</v>
      </c>
      <c r="AF62" s="94" t="n">
        <v>56.9</v>
      </c>
      <c r="AG62" s="95" t="n">
        <v>1.985</v>
      </c>
      <c r="AH62" s="95" t="n">
        <v>0.035</v>
      </c>
      <c r="AI62" s="94" t="n">
        <v>5.1</v>
      </c>
      <c r="AJ62" s="96" t="n">
        <v>8</v>
      </c>
      <c r="AK62" s="94" t="n">
        <v>303.1</v>
      </c>
      <c r="AL62" s="95" t="n">
        <v>5.935</v>
      </c>
      <c r="AM62" s="95" t="n">
        <v>0.02</v>
      </c>
      <c r="AN62" s="94" t="n">
        <v>60.4</v>
      </c>
      <c r="AO62" s="43"/>
      <c r="AP62" s="43"/>
      <c r="AQ62" s="43"/>
      <c r="AR62" s="43"/>
      <c r="AS62" s="42"/>
      <c r="AT62" s="42" t="n">
        <f aca="false">Table2[[#This Row],[Object_A_._head_time]]+Table2[[#This Row],[Object_B_._head_time]]</f>
        <v>87.9</v>
      </c>
      <c r="AU62" s="42" t="n">
        <f aca="false">Table2[[#This Row],[Object_B_._head_time]]-Table2[[#This Row],[Object_A_._head_time]]</f>
        <v>-43.9</v>
      </c>
      <c r="AV62" s="40" t="n">
        <f aca="false">Table2[[#This Row],[D1: Absolute discrimination measure (D1 = B2- A2)]]/Table2[[#This Row],[E2: total exploration time in second trial E2 ( E2 = A2 + B2)]]</f>
        <v>-0.499431171786121</v>
      </c>
      <c r="AW62" s="43" t="n">
        <f aca="false">(W62/AT62)</f>
        <v>0.25028441410694</v>
      </c>
      <c r="AX62" s="42"/>
      <c r="AY62" s="45" t="s">
        <v>64</v>
      </c>
      <c r="AZ62" s="45" t="s">
        <v>76</v>
      </c>
      <c r="BA62" s="45" t="s">
        <v>66</v>
      </c>
      <c r="BB62" s="96" t="n">
        <v>159</v>
      </c>
      <c r="BC62" s="94" t="n">
        <v>5.3</v>
      </c>
      <c r="BD62" s="45" t="s">
        <v>81</v>
      </c>
      <c r="BE62" s="97" t="n">
        <v>8</v>
      </c>
      <c r="BF62" s="45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7"/>
      <c r="BY62" s="87"/>
      <c r="BZ62" s="87"/>
      <c r="CA62" s="87"/>
      <c r="CB62" s="87"/>
      <c r="CC62" s="87"/>
      <c r="CD62" s="87"/>
      <c r="CE62" s="87"/>
      <c r="CF62" s="87"/>
      <c r="CG62" s="87"/>
      <c r="CH62" s="87"/>
      <c r="CI62" s="87"/>
      <c r="CJ62" s="87"/>
      <c r="CK62" s="87"/>
      <c r="CL62" s="87"/>
      <c r="CM62" s="87"/>
      <c r="CN62" s="87"/>
      <c r="CO62" s="87"/>
      <c r="CP62" s="87"/>
      <c r="CQ62" s="87"/>
      <c r="CR62" s="87"/>
      <c r="CS62" s="87"/>
      <c r="CT62" s="87"/>
      <c r="CU62" s="98"/>
    </row>
    <row r="63" s="99" customFormat="true" ht="12" hidden="false" customHeight="true" outlineLevel="0" collapsed="false">
      <c r="A63" s="45" t="n">
        <v>105</v>
      </c>
      <c r="B63" s="45" t="s">
        <v>121</v>
      </c>
      <c r="C63" s="45" t="s">
        <v>190</v>
      </c>
      <c r="D63" s="45" t="s">
        <v>74</v>
      </c>
      <c r="E63" s="45" t="s">
        <v>310</v>
      </c>
      <c r="F63" s="45" t="s">
        <v>399</v>
      </c>
      <c r="G63" s="45" t="s">
        <v>400</v>
      </c>
      <c r="H63" s="94" t="n">
        <v>360</v>
      </c>
      <c r="I63" s="95" t="n">
        <v>4.367</v>
      </c>
      <c r="J63" s="95" t="n">
        <v>0.012</v>
      </c>
      <c r="K63" s="95" t="n">
        <v>0.253</v>
      </c>
      <c r="L63" s="94" t="n">
        <v>201.7</v>
      </c>
      <c r="M63" s="96" t="n">
        <v>10</v>
      </c>
      <c r="N63" s="94" t="n">
        <v>7.7</v>
      </c>
      <c r="O63" s="95" t="n">
        <v>0.094</v>
      </c>
      <c r="P63" s="95" t="n">
        <v>0.012</v>
      </c>
      <c r="Q63" s="95" t="n">
        <v>0.17</v>
      </c>
      <c r="R63" s="94" t="n">
        <v>4.4</v>
      </c>
      <c r="S63" s="96" t="n">
        <v>437</v>
      </c>
      <c r="T63" s="94" t="n">
        <v>0</v>
      </c>
      <c r="U63" s="94" t="n">
        <v>7.6</v>
      </c>
      <c r="V63" s="96" t="n">
        <v>2</v>
      </c>
      <c r="W63" s="94" t="n">
        <v>1.8</v>
      </c>
      <c r="X63" s="95" t="n">
        <v>0</v>
      </c>
      <c r="Y63" s="95" t="n">
        <v>0</v>
      </c>
      <c r="Z63" s="95" t="n">
        <v>0.096</v>
      </c>
      <c r="AA63" s="94" t="n">
        <v>0.3</v>
      </c>
      <c r="AB63" s="96" t="n">
        <v>83</v>
      </c>
      <c r="AC63" s="94" t="n">
        <v>0</v>
      </c>
      <c r="AD63" s="94" t="n">
        <v>0.6</v>
      </c>
      <c r="AE63" s="96" t="n">
        <v>1</v>
      </c>
      <c r="AF63" s="94" t="n">
        <v>2</v>
      </c>
      <c r="AG63" s="95" t="n">
        <v>0.057</v>
      </c>
      <c r="AH63" s="95" t="n">
        <v>0.028</v>
      </c>
      <c r="AI63" s="94" t="n">
        <v>0</v>
      </c>
      <c r="AJ63" s="96" t="n">
        <v>1</v>
      </c>
      <c r="AK63" s="94" t="n">
        <v>358</v>
      </c>
      <c r="AL63" s="95" t="n">
        <v>4.31</v>
      </c>
      <c r="AM63" s="95" t="n">
        <v>0.012</v>
      </c>
      <c r="AN63" s="94" t="n">
        <v>201.7</v>
      </c>
      <c r="AO63" s="43"/>
      <c r="AP63" s="43"/>
      <c r="AQ63" s="43"/>
      <c r="AR63" s="43"/>
      <c r="AS63" s="42"/>
      <c r="AT63" s="42" t="n">
        <f aca="false">Table2[[#This Row],[Object_A_._head_time]]+Table2[[#This Row],[Object_B_._head_time]]</f>
        <v>9.5</v>
      </c>
      <c r="AU63" s="42" t="n">
        <f aca="false">Table2[[#This Row],[Object_B_._head_time]]-Table2[[#This Row],[Object_A_._head_time]]</f>
        <v>-5.9</v>
      </c>
      <c r="AV63" s="40" t="n">
        <f aca="false">Table2[[#This Row],[D1: Absolute discrimination measure (D1 = B2- A2)]]/Table2[[#This Row],[E2: total exploration time in second trial E2 ( E2 = A2 + B2)]]</f>
        <v>-0.621052631578947</v>
      </c>
      <c r="AW63" s="43" t="n">
        <f aca="false">(W63/AT63)</f>
        <v>0.189473684210526</v>
      </c>
      <c r="AX63" s="42"/>
      <c r="AY63" s="45" t="s">
        <v>71</v>
      </c>
      <c r="AZ63" s="45" t="s">
        <v>65</v>
      </c>
      <c r="BA63" s="45" t="s">
        <v>66</v>
      </c>
      <c r="BB63" s="96" t="n">
        <v>159</v>
      </c>
      <c r="BC63" s="94" t="n">
        <v>5.3</v>
      </c>
      <c r="BD63" s="45" t="s">
        <v>67</v>
      </c>
      <c r="BE63" s="97" t="n">
        <v>3</v>
      </c>
      <c r="BF63" s="45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7"/>
      <c r="BY63" s="87"/>
      <c r="BZ63" s="87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98"/>
    </row>
    <row r="64" s="99" customFormat="true" ht="12" hidden="false" customHeight="true" outlineLevel="0" collapsed="false">
      <c r="A64" s="45" t="n">
        <v>106</v>
      </c>
      <c r="B64" s="45" t="s">
        <v>123</v>
      </c>
      <c r="C64" s="45" t="s">
        <v>190</v>
      </c>
      <c r="D64" s="45" t="s">
        <v>79</v>
      </c>
      <c r="E64" s="45" t="s">
        <v>310</v>
      </c>
      <c r="F64" s="45" t="s">
        <v>399</v>
      </c>
      <c r="G64" s="45" t="s">
        <v>401</v>
      </c>
      <c r="H64" s="94" t="n">
        <v>360</v>
      </c>
      <c r="I64" s="95" t="n">
        <v>6.827</v>
      </c>
      <c r="J64" s="95" t="n">
        <v>0.019</v>
      </c>
      <c r="K64" s="95" t="n">
        <v>0.276</v>
      </c>
      <c r="L64" s="94" t="n">
        <v>121.2</v>
      </c>
      <c r="M64" s="96" t="n">
        <v>8</v>
      </c>
      <c r="N64" s="94" t="n">
        <v>6.5</v>
      </c>
      <c r="O64" s="95" t="n">
        <v>0.23</v>
      </c>
      <c r="P64" s="95" t="n">
        <v>0.036</v>
      </c>
      <c r="Q64" s="95" t="n">
        <v>0.161</v>
      </c>
      <c r="R64" s="94" t="n">
        <v>4.3</v>
      </c>
      <c r="S64" s="96" t="n">
        <v>431</v>
      </c>
      <c r="T64" s="94" t="n">
        <v>0</v>
      </c>
      <c r="U64" s="94" t="n">
        <v>5.4</v>
      </c>
      <c r="V64" s="96" t="n">
        <v>85</v>
      </c>
      <c r="W64" s="94" t="n">
        <v>82.8</v>
      </c>
      <c r="X64" s="95" t="n">
        <v>0.281</v>
      </c>
      <c r="Y64" s="95" t="n">
        <v>0.003</v>
      </c>
      <c r="Z64" s="95" t="n">
        <v>0.228</v>
      </c>
      <c r="AA64" s="94" t="n">
        <v>79.8</v>
      </c>
      <c r="AB64" s="96" t="n">
        <v>4556</v>
      </c>
      <c r="AC64" s="94" t="n">
        <v>29.5</v>
      </c>
      <c r="AD64" s="94" t="n">
        <v>79.2</v>
      </c>
      <c r="AE64" s="96" t="n">
        <v>6</v>
      </c>
      <c r="AF64" s="94" t="n">
        <v>13.1</v>
      </c>
      <c r="AG64" s="95" t="n">
        <v>0.76</v>
      </c>
      <c r="AH64" s="95" t="n">
        <v>0.058</v>
      </c>
      <c r="AI64" s="94" t="n">
        <v>0</v>
      </c>
      <c r="AJ64" s="96" t="n">
        <v>6</v>
      </c>
      <c r="AK64" s="94" t="n">
        <v>346.9</v>
      </c>
      <c r="AL64" s="95" t="n">
        <v>6.067</v>
      </c>
      <c r="AM64" s="95" t="n">
        <v>0.017</v>
      </c>
      <c r="AN64" s="94" t="n">
        <v>121.2</v>
      </c>
      <c r="AO64" s="43"/>
      <c r="AP64" s="43"/>
      <c r="AQ64" s="43"/>
      <c r="AR64" s="43"/>
      <c r="AS64" s="42"/>
      <c r="AT64" s="42" t="n">
        <f aca="false">Table2[[#This Row],[Object_A_._head_time]]+Table2[[#This Row],[Object_B_._head_time]]</f>
        <v>89.3</v>
      </c>
      <c r="AU64" s="42" t="n">
        <f aca="false">Table2[[#This Row],[Object_B_._head_time]]-Table2[[#This Row],[Object_A_._head_time]]</f>
        <v>76.3</v>
      </c>
      <c r="AV64" s="40" t="n">
        <f aca="false">Table2[[#This Row],[D1: Absolute discrimination measure (D1 = B2- A2)]]/Table2[[#This Row],[E2: total exploration time in second trial E2 ( E2 = A2 + B2)]]</f>
        <v>0.854423292273236</v>
      </c>
      <c r="AW64" s="43" t="n">
        <f aca="false">(W64/AT64)</f>
        <v>0.927211646136618</v>
      </c>
      <c r="AX64" s="42"/>
      <c r="AY64" s="45" t="s">
        <v>71</v>
      </c>
      <c r="AZ64" s="45" t="s">
        <v>76</v>
      </c>
      <c r="BA64" s="45" t="s">
        <v>72</v>
      </c>
      <c r="BB64" s="96" t="n">
        <v>159</v>
      </c>
      <c r="BC64" s="94" t="n">
        <v>5.3</v>
      </c>
      <c r="BD64" s="45" t="s">
        <v>67</v>
      </c>
      <c r="BE64" s="97" t="n">
        <v>5</v>
      </c>
      <c r="BF64" s="45"/>
      <c r="BG64" s="87"/>
      <c r="BH64" s="87"/>
      <c r="BI64" s="87"/>
      <c r="BJ64" s="87"/>
      <c r="BK64" s="87"/>
      <c r="BL64" s="87"/>
      <c r="BM64" s="87"/>
      <c r="BN64" s="87"/>
      <c r="BO64" s="87"/>
      <c r="BP64" s="87"/>
      <c r="BQ64" s="87"/>
      <c r="BR64" s="87"/>
      <c r="BS64" s="87"/>
      <c r="BT64" s="87"/>
      <c r="BU64" s="87"/>
      <c r="BV64" s="87"/>
      <c r="BW64" s="87"/>
      <c r="BX64" s="87"/>
      <c r="BY64" s="87"/>
      <c r="BZ64" s="87"/>
      <c r="CA64" s="87"/>
      <c r="CB64" s="87"/>
      <c r="CC64" s="87"/>
      <c r="CD64" s="87"/>
      <c r="CE64" s="87"/>
      <c r="CF64" s="87"/>
      <c r="CG64" s="87"/>
      <c r="CH64" s="87"/>
      <c r="CI64" s="87"/>
      <c r="CJ64" s="87"/>
      <c r="CK64" s="87"/>
      <c r="CL64" s="87"/>
      <c r="CM64" s="87"/>
      <c r="CN64" s="87"/>
      <c r="CO64" s="87"/>
      <c r="CP64" s="87"/>
      <c r="CQ64" s="87"/>
      <c r="CR64" s="87"/>
      <c r="CS64" s="87"/>
      <c r="CT64" s="87"/>
      <c r="CU64" s="98"/>
    </row>
    <row r="65" s="99" customFormat="true" ht="12" hidden="false" customHeight="true" outlineLevel="0" collapsed="false">
      <c r="A65" s="45" t="n">
        <v>108</v>
      </c>
      <c r="B65" s="45" t="s">
        <v>128</v>
      </c>
      <c r="C65" s="45" t="s">
        <v>190</v>
      </c>
      <c r="D65" s="45" t="s">
        <v>60</v>
      </c>
      <c r="E65" s="45" t="s">
        <v>310</v>
      </c>
      <c r="F65" s="45" t="s">
        <v>402</v>
      </c>
      <c r="G65" s="45" t="s">
        <v>403</v>
      </c>
      <c r="H65" s="94" t="n">
        <v>360</v>
      </c>
      <c r="I65" s="95" t="n">
        <v>5.013</v>
      </c>
      <c r="J65" s="95" t="n">
        <v>0.014</v>
      </c>
      <c r="K65" s="95" t="n">
        <v>0.229</v>
      </c>
      <c r="L65" s="94" t="n">
        <v>185.1</v>
      </c>
      <c r="M65" s="96" t="n">
        <v>24</v>
      </c>
      <c r="N65" s="94" t="n">
        <v>22.2</v>
      </c>
      <c r="O65" s="95" t="n">
        <v>0.498</v>
      </c>
      <c r="P65" s="95" t="n">
        <v>0.022</v>
      </c>
      <c r="Q65" s="95" t="n">
        <v>0.216</v>
      </c>
      <c r="R65" s="94" t="n">
        <v>6.2</v>
      </c>
      <c r="S65" s="96" t="n">
        <v>1793</v>
      </c>
      <c r="T65" s="94" t="n">
        <v>2.1</v>
      </c>
      <c r="U65" s="94" t="n">
        <v>11</v>
      </c>
      <c r="V65" s="96" t="n">
        <v>41</v>
      </c>
      <c r="W65" s="94" t="n">
        <v>91</v>
      </c>
      <c r="X65" s="95" t="n">
        <v>0.503</v>
      </c>
      <c r="Y65" s="95" t="n">
        <v>0.006</v>
      </c>
      <c r="Z65" s="95" t="n">
        <v>0.203</v>
      </c>
      <c r="AA65" s="94" t="n">
        <v>48.7</v>
      </c>
      <c r="AB65" s="96" t="n">
        <v>3463</v>
      </c>
      <c r="AC65" s="94" t="n">
        <v>60.7</v>
      </c>
      <c r="AD65" s="94" t="n">
        <v>51.6</v>
      </c>
      <c r="AE65" s="96" t="n">
        <v>14</v>
      </c>
      <c r="AF65" s="94" t="n">
        <v>23.2</v>
      </c>
      <c r="AG65" s="95" t="n">
        <v>1.52</v>
      </c>
      <c r="AH65" s="95" t="n">
        <v>0.065</v>
      </c>
      <c r="AI65" s="94" t="n">
        <v>3.5</v>
      </c>
      <c r="AJ65" s="96" t="n">
        <v>14</v>
      </c>
      <c r="AK65" s="94" t="n">
        <v>336.8</v>
      </c>
      <c r="AL65" s="95" t="n">
        <v>3.493</v>
      </c>
      <c r="AM65" s="95" t="n">
        <v>0.01</v>
      </c>
      <c r="AN65" s="94" t="n">
        <v>181.6</v>
      </c>
      <c r="AO65" s="43"/>
      <c r="AP65" s="43"/>
      <c r="AQ65" s="43"/>
      <c r="AR65" s="43"/>
      <c r="AS65" s="42"/>
      <c r="AT65" s="42" t="n">
        <f aca="false">Table2[[#This Row],[Object_A_._head_time]]+Table2[[#This Row],[Object_B_._head_time]]</f>
        <v>113.2</v>
      </c>
      <c r="AU65" s="42" t="n">
        <f aca="false">Table2[[#This Row],[Object_B_._head_time]]-Table2[[#This Row],[Object_A_._head_time]]</f>
        <v>68.8</v>
      </c>
      <c r="AV65" s="40" t="n">
        <f aca="false">Table2[[#This Row],[D1: Absolute discrimination measure (D1 = B2- A2)]]/Table2[[#This Row],[E2: total exploration time in second trial E2 ( E2 = A2 + B2)]]</f>
        <v>0.607773851590106</v>
      </c>
      <c r="AW65" s="43" t="n">
        <f aca="false">(W65/AT65)</f>
        <v>0.803886925795053</v>
      </c>
      <c r="AX65" s="42"/>
      <c r="AY65" s="45" t="s">
        <v>64</v>
      </c>
      <c r="AZ65" s="45" t="s">
        <v>76</v>
      </c>
      <c r="BA65" s="45" t="s">
        <v>72</v>
      </c>
      <c r="BB65" s="96" t="n">
        <v>151</v>
      </c>
      <c r="BC65" s="94" t="n">
        <v>5.03333333333333</v>
      </c>
      <c r="BD65" s="45" t="s">
        <v>81</v>
      </c>
      <c r="BE65" s="97" t="n">
        <v>6</v>
      </c>
      <c r="BF65" s="45"/>
      <c r="BG65" s="87"/>
      <c r="BH65" s="87"/>
      <c r="BI65" s="87"/>
      <c r="BJ65" s="87"/>
      <c r="BK65" s="87"/>
      <c r="BL65" s="87"/>
      <c r="BM65" s="87"/>
      <c r="BN65" s="87"/>
      <c r="BO65" s="87"/>
      <c r="BP65" s="87"/>
      <c r="BQ65" s="87"/>
      <c r="BR65" s="87"/>
      <c r="BS65" s="87"/>
      <c r="BT65" s="87"/>
      <c r="BU65" s="87"/>
      <c r="BV65" s="87"/>
      <c r="BW65" s="87"/>
      <c r="BX65" s="87"/>
      <c r="BY65" s="87"/>
      <c r="BZ65" s="87"/>
      <c r="CA65" s="87"/>
      <c r="CB65" s="87"/>
      <c r="CC65" s="87"/>
      <c r="CD65" s="87"/>
      <c r="CE65" s="87"/>
      <c r="CF65" s="87"/>
      <c r="CG65" s="87"/>
      <c r="CH65" s="87"/>
      <c r="CI65" s="87"/>
      <c r="CJ65" s="87"/>
      <c r="CK65" s="87"/>
      <c r="CL65" s="87"/>
      <c r="CM65" s="87"/>
      <c r="CN65" s="87"/>
      <c r="CO65" s="87"/>
      <c r="CP65" s="87"/>
      <c r="CQ65" s="87"/>
      <c r="CR65" s="87"/>
      <c r="CS65" s="87"/>
      <c r="CT65" s="87"/>
      <c r="CU65" s="98"/>
    </row>
    <row r="66" s="99" customFormat="true" ht="12" hidden="false" customHeight="true" outlineLevel="0" collapsed="false">
      <c r="A66" s="45" t="n">
        <v>107</v>
      </c>
      <c r="B66" s="45" t="s">
        <v>130</v>
      </c>
      <c r="C66" s="45" t="s">
        <v>190</v>
      </c>
      <c r="D66" s="45" t="s">
        <v>69</v>
      </c>
      <c r="E66" s="45" t="s">
        <v>310</v>
      </c>
      <c r="F66" s="45" t="s">
        <v>402</v>
      </c>
      <c r="G66" s="45" t="s">
        <v>404</v>
      </c>
      <c r="H66" s="94" t="n">
        <v>360</v>
      </c>
      <c r="I66" s="95" t="n">
        <v>9.343</v>
      </c>
      <c r="J66" s="95" t="n">
        <v>0.026</v>
      </c>
      <c r="K66" s="95" t="n">
        <v>0.282</v>
      </c>
      <c r="L66" s="94" t="n">
        <v>124.1</v>
      </c>
      <c r="M66" s="96" t="n">
        <v>30</v>
      </c>
      <c r="N66" s="94" t="n">
        <v>43.6</v>
      </c>
      <c r="O66" s="95" t="n">
        <v>1.623</v>
      </c>
      <c r="P66" s="95" t="n">
        <v>0.037</v>
      </c>
      <c r="Q66" s="95" t="n">
        <v>0.264</v>
      </c>
      <c r="R66" s="94" t="n">
        <v>12.2</v>
      </c>
      <c r="S66" s="96" t="n">
        <v>4577</v>
      </c>
      <c r="T66" s="94" t="n">
        <v>2.8</v>
      </c>
      <c r="U66" s="94" t="n">
        <v>12.1</v>
      </c>
      <c r="V66" s="96" t="n">
        <v>14</v>
      </c>
      <c r="W66" s="94" t="n">
        <v>14.2</v>
      </c>
      <c r="X66" s="95" t="n">
        <v>0.93</v>
      </c>
      <c r="Y66" s="95" t="n">
        <v>0.066</v>
      </c>
      <c r="Z66" s="95" t="n">
        <v>0.264</v>
      </c>
      <c r="AA66" s="94" t="n">
        <v>1.9</v>
      </c>
      <c r="AB66" s="96" t="n">
        <v>1188</v>
      </c>
      <c r="AC66" s="94" t="n">
        <v>1.1</v>
      </c>
      <c r="AD66" s="94" t="n">
        <v>3.6</v>
      </c>
      <c r="AE66" s="96" t="n">
        <v>22</v>
      </c>
      <c r="AF66" s="94" t="n">
        <v>29.2</v>
      </c>
      <c r="AG66" s="95" t="n">
        <v>1.992</v>
      </c>
      <c r="AH66" s="95" t="n">
        <v>0.068</v>
      </c>
      <c r="AI66" s="94" t="n">
        <v>0</v>
      </c>
      <c r="AJ66" s="96" t="n">
        <v>23</v>
      </c>
      <c r="AK66" s="94" t="n">
        <v>330.8</v>
      </c>
      <c r="AL66" s="95" t="n">
        <v>7.351</v>
      </c>
      <c r="AM66" s="95" t="n">
        <v>0.022</v>
      </c>
      <c r="AN66" s="94" t="n">
        <v>124.1</v>
      </c>
      <c r="AO66" s="43"/>
      <c r="AP66" s="43"/>
      <c r="AQ66" s="43"/>
      <c r="AR66" s="43"/>
      <c r="AS66" s="42"/>
      <c r="AT66" s="42" t="n">
        <f aca="false">Table2[[#This Row],[Object_A_._head_time]]+Table2[[#This Row],[Object_B_._head_time]]</f>
        <v>57.8</v>
      </c>
      <c r="AU66" s="42" t="n">
        <f aca="false">Table2[[#This Row],[Object_B_._head_time]]-Table2[[#This Row],[Object_A_._head_time]]</f>
        <v>-29.4</v>
      </c>
      <c r="AV66" s="40" t="n">
        <f aca="false">Table2[[#This Row],[D1: Absolute discrimination measure (D1 = B2- A2)]]/Table2[[#This Row],[E2: total exploration time in second trial E2 ( E2 = A2 + B2)]]</f>
        <v>-0.508650519031142</v>
      </c>
      <c r="AW66" s="43" t="n">
        <f aca="false">(W66/AT66)</f>
        <v>0.245674740484429</v>
      </c>
      <c r="AX66" s="42"/>
      <c r="AY66" s="45" t="s">
        <v>64</v>
      </c>
      <c r="AZ66" s="45" t="s">
        <v>76</v>
      </c>
      <c r="BA66" s="45" t="s">
        <v>72</v>
      </c>
      <c r="BB66" s="96" t="n">
        <v>151</v>
      </c>
      <c r="BC66" s="94" t="n">
        <v>5.03333333333333</v>
      </c>
      <c r="BD66" s="45" t="s">
        <v>67</v>
      </c>
      <c r="BE66" s="97" t="n">
        <v>5</v>
      </c>
      <c r="BF66" s="45"/>
      <c r="BG66" s="87"/>
      <c r="BH66" s="87"/>
      <c r="BI66" s="87"/>
      <c r="BJ66" s="87"/>
      <c r="BK66" s="87"/>
      <c r="BL66" s="87"/>
      <c r="BM66" s="87"/>
      <c r="BN66" s="87"/>
      <c r="BO66" s="87"/>
      <c r="BP66" s="87"/>
      <c r="BQ66" s="87"/>
      <c r="BR66" s="87"/>
      <c r="BS66" s="87"/>
      <c r="BT66" s="87"/>
      <c r="BU66" s="87"/>
      <c r="BV66" s="87"/>
      <c r="BW66" s="87"/>
      <c r="BX66" s="87"/>
      <c r="BY66" s="87"/>
      <c r="BZ66" s="87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98"/>
    </row>
    <row r="67" s="99" customFormat="true" ht="12" hidden="false" customHeight="true" outlineLevel="0" collapsed="false">
      <c r="A67" s="45" t="n">
        <v>109</v>
      </c>
      <c r="B67" s="45" t="s">
        <v>135</v>
      </c>
      <c r="C67" s="45" t="s">
        <v>190</v>
      </c>
      <c r="D67" s="45" t="s">
        <v>74</v>
      </c>
      <c r="E67" s="45" t="s">
        <v>310</v>
      </c>
      <c r="F67" s="45" t="s">
        <v>402</v>
      </c>
      <c r="G67" s="45" t="s">
        <v>405</v>
      </c>
      <c r="H67" s="94" t="n">
        <v>360</v>
      </c>
      <c r="I67" s="95" t="n">
        <v>6.455</v>
      </c>
      <c r="J67" s="95" t="n">
        <v>0.018</v>
      </c>
      <c r="K67" s="95" t="n">
        <v>0.28</v>
      </c>
      <c r="L67" s="94" t="n">
        <v>132.1</v>
      </c>
      <c r="M67" s="96" t="n">
        <v>37</v>
      </c>
      <c r="N67" s="94" t="n">
        <v>68.6</v>
      </c>
      <c r="O67" s="95" t="n">
        <v>0.754</v>
      </c>
      <c r="P67" s="95" t="n">
        <v>0.011</v>
      </c>
      <c r="Q67" s="95" t="n">
        <v>0.276</v>
      </c>
      <c r="R67" s="94" t="n">
        <v>28</v>
      </c>
      <c r="S67" s="96" t="n">
        <v>4560</v>
      </c>
      <c r="T67" s="94" t="n">
        <v>33.5</v>
      </c>
      <c r="U67" s="94" t="n">
        <v>54</v>
      </c>
      <c r="V67" s="96" t="n">
        <v>19</v>
      </c>
      <c r="W67" s="94" t="n">
        <v>19.8</v>
      </c>
      <c r="X67" s="95" t="n">
        <v>0.588</v>
      </c>
      <c r="Y67" s="95" t="n">
        <v>0.03</v>
      </c>
      <c r="Z67" s="95" t="n">
        <v>0.264</v>
      </c>
      <c r="AA67" s="94" t="n">
        <v>14.2</v>
      </c>
      <c r="AB67" s="96" t="n">
        <v>1875</v>
      </c>
      <c r="AC67" s="94" t="n">
        <v>2.6</v>
      </c>
      <c r="AD67" s="94" t="n">
        <v>13.1</v>
      </c>
      <c r="AE67" s="96" t="n">
        <v>11</v>
      </c>
      <c r="AF67" s="94" t="n">
        <v>67.2</v>
      </c>
      <c r="AG67" s="95" t="n">
        <v>1.47</v>
      </c>
      <c r="AH67" s="95" t="n">
        <v>0.022</v>
      </c>
      <c r="AI67" s="94" t="n">
        <v>16.7</v>
      </c>
      <c r="AJ67" s="96" t="n">
        <v>12</v>
      </c>
      <c r="AK67" s="94" t="n">
        <v>292.8</v>
      </c>
      <c r="AL67" s="95" t="n">
        <v>4.985</v>
      </c>
      <c r="AM67" s="95" t="n">
        <v>0.017</v>
      </c>
      <c r="AN67" s="94" t="n">
        <v>115.4</v>
      </c>
      <c r="AO67" s="43"/>
      <c r="AP67" s="43"/>
      <c r="AQ67" s="43"/>
      <c r="AR67" s="43"/>
      <c r="AS67" s="42"/>
      <c r="AT67" s="42" t="n">
        <f aca="false">Table2[[#This Row],[Object_A_._head_time]]+Table2[[#This Row],[Object_B_._head_time]]</f>
        <v>88.4</v>
      </c>
      <c r="AU67" s="42" t="n">
        <f aca="false">Table2[[#This Row],[Object_B_._head_time]]-Table2[[#This Row],[Object_A_._head_time]]</f>
        <v>-48.8</v>
      </c>
      <c r="AV67" s="40" t="n">
        <f aca="false">Table2[[#This Row],[D1: Absolute discrimination measure (D1 = B2- A2)]]/Table2[[#This Row],[E2: total exploration time in second trial E2 ( E2 = A2 + B2)]]</f>
        <v>-0.552036199095023</v>
      </c>
      <c r="AW67" s="43" t="n">
        <f aca="false">(W67/AT67)</f>
        <v>0.223981900452489</v>
      </c>
      <c r="AX67" s="42"/>
      <c r="AY67" s="45" t="s">
        <v>64</v>
      </c>
      <c r="AZ67" s="45" t="s">
        <v>76</v>
      </c>
      <c r="BA67" s="45" t="s">
        <v>72</v>
      </c>
      <c r="BB67" s="96" t="n">
        <v>151</v>
      </c>
      <c r="BC67" s="94" t="n">
        <v>5.03333333333333</v>
      </c>
      <c r="BD67" s="45" t="s">
        <v>81</v>
      </c>
      <c r="BE67" s="97" t="n">
        <v>6</v>
      </c>
      <c r="BF67" s="45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98"/>
    </row>
    <row r="68" s="99" customFormat="true" ht="12" hidden="false" customHeight="true" outlineLevel="0" collapsed="false">
      <c r="A68" s="45" t="n">
        <v>110</v>
      </c>
      <c r="B68" s="45" t="s">
        <v>137</v>
      </c>
      <c r="C68" s="45" t="s">
        <v>190</v>
      </c>
      <c r="D68" s="45" t="s">
        <v>79</v>
      </c>
      <c r="E68" s="45" t="s">
        <v>310</v>
      </c>
      <c r="F68" s="45" t="s">
        <v>402</v>
      </c>
      <c r="G68" s="45" t="s">
        <v>406</v>
      </c>
      <c r="H68" s="94" t="n">
        <v>360</v>
      </c>
      <c r="I68" s="95" t="n">
        <v>6.148</v>
      </c>
      <c r="J68" s="95" t="n">
        <v>0.017</v>
      </c>
      <c r="K68" s="95" t="n">
        <v>0.279</v>
      </c>
      <c r="L68" s="94" t="n">
        <v>164.3</v>
      </c>
      <c r="M68" s="96" t="n">
        <v>34</v>
      </c>
      <c r="N68" s="94" t="n">
        <v>52.3</v>
      </c>
      <c r="O68" s="95" t="n">
        <v>0.505</v>
      </c>
      <c r="P68" s="95" t="n">
        <v>0.01</v>
      </c>
      <c r="Q68" s="95" t="n">
        <v>0.238</v>
      </c>
      <c r="R68" s="94" t="n">
        <v>31.6</v>
      </c>
      <c r="S68" s="96" t="n">
        <v>3728</v>
      </c>
      <c r="T68" s="94" t="n">
        <v>28.3</v>
      </c>
      <c r="U68" s="94" t="n">
        <v>27.5</v>
      </c>
      <c r="V68" s="96" t="n">
        <v>14</v>
      </c>
      <c r="W68" s="94" t="n">
        <v>19.6</v>
      </c>
      <c r="X68" s="95" t="n">
        <v>0.558</v>
      </c>
      <c r="Y68" s="95" t="n">
        <v>0.028</v>
      </c>
      <c r="Z68" s="95" t="n">
        <v>0.232</v>
      </c>
      <c r="AA68" s="94" t="n">
        <v>5.2</v>
      </c>
      <c r="AB68" s="96" t="n">
        <v>1627</v>
      </c>
      <c r="AC68" s="94" t="n">
        <v>1.1</v>
      </c>
      <c r="AD68" s="94" t="n">
        <v>7.7</v>
      </c>
      <c r="AE68" s="96" t="n">
        <v>5</v>
      </c>
      <c r="AF68" s="94" t="n">
        <v>11.9</v>
      </c>
      <c r="AG68" s="95" t="n">
        <v>0.725</v>
      </c>
      <c r="AH68" s="95" t="n">
        <v>0.061</v>
      </c>
      <c r="AI68" s="94" t="n">
        <v>0</v>
      </c>
      <c r="AJ68" s="96" t="n">
        <v>5</v>
      </c>
      <c r="AK68" s="94" t="n">
        <v>348.1</v>
      </c>
      <c r="AL68" s="95" t="n">
        <v>5.423</v>
      </c>
      <c r="AM68" s="95" t="n">
        <v>0.016</v>
      </c>
      <c r="AN68" s="94" t="n">
        <v>164.3</v>
      </c>
      <c r="AO68" s="43"/>
      <c r="AP68" s="43"/>
      <c r="AQ68" s="43"/>
      <c r="AR68" s="43"/>
      <c r="AS68" s="42"/>
      <c r="AT68" s="42" t="n">
        <f aca="false">Table2[[#This Row],[Object_A_._head_time]]+Table2[[#This Row],[Object_B_._head_time]]</f>
        <v>71.9</v>
      </c>
      <c r="AU68" s="42" t="n">
        <f aca="false">Table2[[#This Row],[Object_B_._head_time]]-Table2[[#This Row],[Object_A_._head_time]]</f>
        <v>-32.7</v>
      </c>
      <c r="AV68" s="40" t="n">
        <f aca="false">Table2[[#This Row],[D1: Absolute discrimination measure (D1 = B2- A2)]]/Table2[[#This Row],[E2: total exploration time in second trial E2 ( E2 = A2 + B2)]]</f>
        <v>-0.454798331015299</v>
      </c>
      <c r="AW68" s="43" t="n">
        <f aca="false">(W68/AT68)</f>
        <v>0.27260083449235</v>
      </c>
      <c r="AX68" s="42"/>
      <c r="AY68" s="45" t="s">
        <v>64</v>
      </c>
      <c r="AZ68" s="45" t="s">
        <v>76</v>
      </c>
      <c r="BA68" s="45" t="s">
        <v>66</v>
      </c>
      <c r="BB68" s="96" t="n">
        <v>151</v>
      </c>
      <c r="BC68" s="94" t="n">
        <v>5.03333333333333</v>
      </c>
      <c r="BD68" s="45" t="s">
        <v>81</v>
      </c>
      <c r="BE68" s="97" t="n">
        <v>8</v>
      </c>
      <c r="BF68" s="45"/>
      <c r="BG68" s="87"/>
      <c r="BH68" s="87"/>
      <c r="BI68" s="87"/>
      <c r="BJ68" s="87"/>
      <c r="BK68" s="87"/>
      <c r="BL68" s="87"/>
      <c r="BM68" s="87"/>
      <c r="BN68" s="87"/>
      <c r="BO68" s="87"/>
      <c r="BP68" s="87"/>
      <c r="BQ68" s="87"/>
      <c r="BR68" s="87"/>
      <c r="BS68" s="87"/>
      <c r="BT68" s="87"/>
      <c r="BU68" s="87"/>
      <c r="BV68" s="87"/>
      <c r="BW68" s="87"/>
      <c r="BX68" s="87"/>
      <c r="BY68" s="87"/>
      <c r="BZ68" s="87"/>
      <c r="CA68" s="87"/>
      <c r="CB68" s="87"/>
      <c r="CC68" s="87"/>
      <c r="CD68" s="87"/>
      <c r="CE68" s="87"/>
      <c r="CF68" s="87"/>
      <c r="CG68" s="87"/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98"/>
    </row>
    <row r="69" s="99" customFormat="true" ht="12" hidden="false" customHeight="true" outlineLevel="0" collapsed="false">
      <c r="A69" s="45" t="n">
        <v>112</v>
      </c>
      <c r="B69" s="45" t="s">
        <v>139</v>
      </c>
      <c r="C69" s="45" t="s">
        <v>190</v>
      </c>
      <c r="D69" s="45" t="s">
        <v>60</v>
      </c>
      <c r="E69" s="45" t="s">
        <v>310</v>
      </c>
      <c r="F69" s="45" t="s">
        <v>407</v>
      </c>
      <c r="G69" s="45" t="s">
        <v>408</v>
      </c>
      <c r="H69" s="94" t="n">
        <v>360</v>
      </c>
      <c r="I69" s="95" t="n">
        <v>5.155</v>
      </c>
      <c r="J69" s="95" t="n">
        <v>0.014</v>
      </c>
      <c r="K69" s="95" t="n">
        <v>0.215</v>
      </c>
      <c r="L69" s="94" t="n">
        <v>129.3</v>
      </c>
      <c r="M69" s="96" t="n">
        <v>8</v>
      </c>
      <c r="N69" s="94" t="n">
        <v>12.6</v>
      </c>
      <c r="O69" s="95" t="n">
        <v>0.575</v>
      </c>
      <c r="P69" s="95" t="n">
        <v>0.046</v>
      </c>
      <c r="Q69" s="95" t="n">
        <v>0.188</v>
      </c>
      <c r="R69" s="94" t="n">
        <v>5.3</v>
      </c>
      <c r="S69" s="96" t="n">
        <v>1048</v>
      </c>
      <c r="T69" s="94" t="n">
        <v>0</v>
      </c>
      <c r="U69" s="94" t="n">
        <v>3.2</v>
      </c>
      <c r="V69" s="96" t="n">
        <v>6</v>
      </c>
      <c r="W69" s="94" t="n">
        <v>13.9</v>
      </c>
      <c r="X69" s="95" t="n">
        <v>0.425</v>
      </c>
      <c r="Y69" s="95" t="n">
        <v>0.03</v>
      </c>
      <c r="Z69" s="95" t="n">
        <v>0.162</v>
      </c>
      <c r="AA69" s="94" t="n">
        <v>4.6</v>
      </c>
      <c r="AB69" s="96" t="n">
        <v>853</v>
      </c>
      <c r="AC69" s="94" t="n">
        <v>0</v>
      </c>
      <c r="AD69" s="94" t="n">
        <v>2.9</v>
      </c>
      <c r="AE69" s="96" t="n">
        <v>7</v>
      </c>
      <c r="AF69" s="94" t="n">
        <v>34.9</v>
      </c>
      <c r="AG69" s="95" t="n">
        <v>0.784</v>
      </c>
      <c r="AH69" s="95" t="n">
        <v>0.022</v>
      </c>
      <c r="AI69" s="94" t="n">
        <v>7</v>
      </c>
      <c r="AJ69" s="96" t="n">
        <v>7</v>
      </c>
      <c r="AK69" s="94" t="n">
        <v>325.1</v>
      </c>
      <c r="AL69" s="95" t="n">
        <v>4.372</v>
      </c>
      <c r="AM69" s="95" t="n">
        <v>0.013</v>
      </c>
      <c r="AN69" s="94" t="n">
        <v>122.3</v>
      </c>
      <c r="AO69" s="43"/>
      <c r="AP69" s="43"/>
      <c r="AQ69" s="43"/>
      <c r="AR69" s="43"/>
      <c r="AS69" s="42"/>
      <c r="AT69" s="42" t="n">
        <f aca="false">Table2[[#This Row],[Object_A_._head_time]]+Table2[[#This Row],[Object_B_._head_time]]</f>
        <v>26.5</v>
      </c>
      <c r="AU69" s="42" t="n">
        <f aca="false">Table2[[#This Row],[Object_B_._head_time]]-Table2[[#This Row],[Object_A_._head_time]]</f>
        <v>1.3</v>
      </c>
      <c r="AV69" s="40" t="n">
        <f aca="false">Table2[[#This Row],[D1: Absolute discrimination measure (D1 = B2- A2)]]/Table2[[#This Row],[E2: total exploration time in second trial E2 ( E2 = A2 + B2)]]</f>
        <v>0.0490566037735849</v>
      </c>
      <c r="AW69" s="43" t="n">
        <f aca="false">(W69/AT69)</f>
        <v>0.524528301886792</v>
      </c>
      <c r="AX69" s="42"/>
      <c r="AY69" s="45" t="s">
        <v>64</v>
      </c>
      <c r="AZ69" s="45" t="s">
        <v>76</v>
      </c>
      <c r="BA69" s="45" t="s">
        <v>72</v>
      </c>
      <c r="BB69" s="96" t="n">
        <v>151</v>
      </c>
      <c r="BC69" s="94" t="n">
        <v>5.03333333333333</v>
      </c>
      <c r="BD69" s="45" t="s">
        <v>67</v>
      </c>
      <c r="BE69" s="97" t="n">
        <v>5</v>
      </c>
      <c r="BF69" s="45" t="s">
        <v>141</v>
      </c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98"/>
    </row>
    <row r="70" s="99" customFormat="true" ht="12" hidden="false" customHeight="true" outlineLevel="0" collapsed="false">
      <c r="A70" s="45" t="n">
        <v>111</v>
      </c>
      <c r="B70" s="45" t="s">
        <v>142</v>
      </c>
      <c r="C70" s="45" t="s">
        <v>190</v>
      </c>
      <c r="D70" s="45" t="s">
        <v>69</v>
      </c>
      <c r="E70" s="45" t="s">
        <v>310</v>
      </c>
      <c r="F70" s="45" t="s">
        <v>207</v>
      </c>
      <c r="G70" s="45" t="s">
        <v>409</v>
      </c>
      <c r="H70" s="94" t="n">
        <v>360</v>
      </c>
      <c r="I70" s="95" t="n">
        <v>9.707</v>
      </c>
      <c r="J70" s="95" t="n">
        <v>0.027</v>
      </c>
      <c r="K70" s="95" t="n">
        <v>0.227</v>
      </c>
      <c r="L70" s="94" t="n">
        <v>105</v>
      </c>
      <c r="M70" s="96" t="n">
        <v>26</v>
      </c>
      <c r="N70" s="94" t="n">
        <v>48.2</v>
      </c>
      <c r="O70" s="95" t="n">
        <v>1.875</v>
      </c>
      <c r="P70" s="95" t="n">
        <v>0.039</v>
      </c>
      <c r="Q70" s="95" t="n">
        <v>0.226</v>
      </c>
      <c r="R70" s="94" t="n">
        <v>6.9</v>
      </c>
      <c r="S70" s="96" t="n">
        <v>3780</v>
      </c>
      <c r="T70" s="94" t="n">
        <v>1.1</v>
      </c>
      <c r="U70" s="94" t="n">
        <v>5.7</v>
      </c>
      <c r="V70" s="96" t="n">
        <v>19</v>
      </c>
      <c r="W70" s="94" t="n">
        <v>23</v>
      </c>
      <c r="X70" s="95" t="n">
        <v>1.483</v>
      </c>
      <c r="Y70" s="95" t="n">
        <v>0.064</v>
      </c>
      <c r="Z70" s="95" t="n">
        <v>0.196</v>
      </c>
      <c r="AA70" s="94" t="n">
        <v>7.4</v>
      </c>
      <c r="AB70" s="96" t="n">
        <v>1850</v>
      </c>
      <c r="AC70" s="94" t="n">
        <v>0</v>
      </c>
      <c r="AD70" s="94" t="n">
        <v>5.4</v>
      </c>
      <c r="AE70" s="96" t="n">
        <v>27</v>
      </c>
      <c r="AF70" s="94" t="n">
        <v>51.2</v>
      </c>
      <c r="AG70" s="95" t="n">
        <v>3.228</v>
      </c>
      <c r="AH70" s="95" t="n">
        <v>0.063</v>
      </c>
      <c r="AI70" s="94" t="n">
        <v>0</v>
      </c>
      <c r="AJ70" s="96" t="n">
        <v>28</v>
      </c>
      <c r="AK70" s="94" t="n">
        <v>308.8</v>
      </c>
      <c r="AL70" s="95" t="n">
        <v>6.478</v>
      </c>
      <c r="AM70" s="95" t="n">
        <v>0.021</v>
      </c>
      <c r="AN70" s="94" t="n">
        <v>105</v>
      </c>
      <c r="AO70" s="43"/>
      <c r="AP70" s="43"/>
      <c r="AQ70" s="43"/>
      <c r="AR70" s="43"/>
      <c r="AS70" s="42"/>
      <c r="AT70" s="42" t="n">
        <f aca="false">Table2[[#This Row],[Object_A_._head_time]]+Table2[[#This Row],[Object_B_._head_time]]</f>
        <v>71.2</v>
      </c>
      <c r="AU70" s="42" t="n">
        <f aca="false">Table2[[#This Row],[Object_B_._head_time]]-Table2[[#This Row],[Object_A_._head_time]]</f>
        <v>-25.2</v>
      </c>
      <c r="AV70" s="40" t="n">
        <f aca="false">Table2[[#This Row],[D1: Absolute discrimination measure (D1 = B2- A2)]]/Table2[[#This Row],[E2: total exploration time in second trial E2 ( E2 = A2 + B2)]]</f>
        <v>-0.353932584269663</v>
      </c>
      <c r="AW70" s="43" t="n">
        <f aca="false">(W70/AT70)</f>
        <v>0.323033707865169</v>
      </c>
      <c r="AX70" s="42"/>
      <c r="AY70" s="45" t="s">
        <v>64</v>
      </c>
      <c r="AZ70" s="45" t="s">
        <v>76</v>
      </c>
      <c r="BA70" s="45" t="s">
        <v>66</v>
      </c>
      <c r="BB70" s="96" t="n">
        <v>151</v>
      </c>
      <c r="BC70" s="94" t="n">
        <v>5.03333333333333</v>
      </c>
      <c r="BD70" s="45" t="s">
        <v>67</v>
      </c>
      <c r="BE70" s="97" t="n">
        <v>7</v>
      </c>
      <c r="BF70" s="45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98"/>
    </row>
    <row r="71" s="99" customFormat="true" ht="12" hidden="false" customHeight="true" outlineLevel="0" collapsed="false">
      <c r="A71" s="45" t="n">
        <v>113</v>
      </c>
      <c r="B71" s="45" t="s">
        <v>145</v>
      </c>
      <c r="C71" s="45" t="s">
        <v>190</v>
      </c>
      <c r="D71" s="45" t="s">
        <v>74</v>
      </c>
      <c r="E71" s="45" t="s">
        <v>310</v>
      </c>
      <c r="F71" s="45" t="s">
        <v>407</v>
      </c>
      <c r="G71" s="45" t="s">
        <v>410</v>
      </c>
      <c r="H71" s="94" t="n">
        <v>360</v>
      </c>
      <c r="I71" s="95" t="n">
        <v>4.331</v>
      </c>
      <c r="J71" s="95" t="n">
        <v>0.012</v>
      </c>
      <c r="K71" s="95" t="n">
        <v>0.223</v>
      </c>
      <c r="L71" s="94" t="n">
        <v>101.7</v>
      </c>
      <c r="M71" s="96" t="n">
        <v>43</v>
      </c>
      <c r="N71" s="94" t="n">
        <v>128</v>
      </c>
      <c r="O71" s="95" t="n">
        <v>0.709</v>
      </c>
      <c r="P71" s="95" t="n">
        <v>0.006</v>
      </c>
      <c r="Q71" s="95" t="n">
        <v>0.191</v>
      </c>
      <c r="R71" s="94" t="n">
        <v>21.1</v>
      </c>
      <c r="S71" s="96" t="n">
        <v>5115</v>
      </c>
      <c r="T71" s="94" t="n">
        <v>31.7</v>
      </c>
      <c r="U71" s="94" t="n">
        <v>96</v>
      </c>
      <c r="V71" s="96" t="n">
        <v>8</v>
      </c>
      <c r="W71" s="94" t="n">
        <v>9.4</v>
      </c>
      <c r="X71" s="95" t="n">
        <v>0.516</v>
      </c>
      <c r="Y71" s="95" t="n">
        <v>0.055</v>
      </c>
      <c r="Z71" s="95" t="n">
        <v>0.203</v>
      </c>
      <c r="AA71" s="94" t="n">
        <v>2.9</v>
      </c>
      <c r="AB71" s="96" t="n">
        <v>705</v>
      </c>
      <c r="AC71" s="94" t="n">
        <v>0</v>
      </c>
      <c r="AD71" s="94" t="n">
        <v>2.1</v>
      </c>
      <c r="AE71" s="96" t="n">
        <v>5</v>
      </c>
      <c r="AF71" s="94" t="n">
        <v>17.9</v>
      </c>
      <c r="AG71" s="95" t="n">
        <v>1.21</v>
      </c>
      <c r="AH71" s="95" t="n">
        <v>0.068</v>
      </c>
      <c r="AI71" s="94" t="n">
        <v>0</v>
      </c>
      <c r="AJ71" s="96" t="n">
        <v>6</v>
      </c>
      <c r="AK71" s="94" t="n">
        <v>342.1</v>
      </c>
      <c r="AL71" s="95" t="n">
        <v>3.121</v>
      </c>
      <c r="AM71" s="95" t="n">
        <v>0.009</v>
      </c>
      <c r="AN71" s="94" t="n">
        <v>101.7</v>
      </c>
      <c r="AO71" s="43"/>
      <c r="AP71" s="43"/>
      <c r="AQ71" s="43"/>
      <c r="AR71" s="43"/>
      <c r="AS71" s="42"/>
      <c r="AT71" s="42" t="n">
        <f aca="false">Table2[[#This Row],[Object_A_._head_time]]+Table2[[#This Row],[Object_B_._head_time]]</f>
        <v>137.4</v>
      </c>
      <c r="AU71" s="42" t="n">
        <f aca="false">Table2[[#This Row],[Object_B_._head_time]]-Table2[[#This Row],[Object_A_._head_time]]</f>
        <v>-118.6</v>
      </c>
      <c r="AV71" s="40" t="n">
        <f aca="false">Table2[[#This Row],[D1: Absolute discrimination measure (D1 = B2- A2)]]/Table2[[#This Row],[E2: total exploration time in second trial E2 ( E2 = A2 + B2)]]</f>
        <v>-0.863173216885007</v>
      </c>
      <c r="AW71" s="43" t="n">
        <f aca="false">(W71/AT71)</f>
        <v>0.0684133915574964</v>
      </c>
      <c r="AX71" s="42"/>
      <c r="AY71" s="45" t="s">
        <v>71</v>
      </c>
      <c r="AZ71" s="45" t="s">
        <v>76</v>
      </c>
      <c r="BA71" s="45" t="s">
        <v>72</v>
      </c>
      <c r="BB71" s="96" t="n">
        <v>151</v>
      </c>
      <c r="BC71" s="94" t="n">
        <v>5.03333333333333</v>
      </c>
      <c r="BD71" s="45" t="s">
        <v>81</v>
      </c>
      <c r="BE71" s="97" t="n">
        <v>6</v>
      </c>
      <c r="BF71" s="45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98"/>
    </row>
    <row r="72" s="99" customFormat="true" ht="12" hidden="false" customHeight="true" outlineLevel="0" collapsed="false">
      <c r="A72" s="45" t="n">
        <v>114</v>
      </c>
      <c r="B72" s="45" t="s">
        <v>147</v>
      </c>
      <c r="C72" s="45" t="s">
        <v>190</v>
      </c>
      <c r="D72" s="45" t="s">
        <v>79</v>
      </c>
      <c r="E72" s="45" t="s">
        <v>310</v>
      </c>
      <c r="F72" s="45" t="s">
        <v>407</v>
      </c>
      <c r="G72" s="45" t="s">
        <v>411</v>
      </c>
      <c r="H72" s="94" t="n">
        <v>360</v>
      </c>
      <c r="I72" s="95" t="n">
        <v>11.701</v>
      </c>
      <c r="J72" s="95" t="n">
        <v>0.033</v>
      </c>
      <c r="K72" s="95" t="n">
        <v>0.336</v>
      </c>
      <c r="L72" s="94" t="n">
        <v>21.9</v>
      </c>
      <c r="M72" s="96" t="n">
        <v>28</v>
      </c>
      <c r="N72" s="94" t="n">
        <v>17.4</v>
      </c>
      <c r="O72" s="95" t="n">
        <v>1.232</v>
      </c>
      <c r="P72" s="95" t="n">
        <v>0.071</v>
      </c>
      <c r="Q72" s="95" t="n">
        <v>0.336</v>
      </c>
      <c r="R72" s="94" t="n">
        <v>4.2</v>
      </c>
      <c r="S72" s="96" t="n">
        <v>1568</v>
      </c>
      <c r="T72" s="94" t="n">
        <v>0</v>
      </c>
      <c r="U72" s="94" t="n">
        <v>8.7</v>
      </c>
      <c r="V72" s="96" t="n">
        <v>29</v>
      </c>
      <c r="W72" s="94" t="n">
        <v>27.1</v>
      </c>
      <c r="X72" s="95" t="n">
        <v>1.87</v>
      </c>
      <c r="Y72" s="95" t="n">
        <v>0.069</v>
      </c>
      <c r="Z72" s="95" t="n">
        <v>0.308</v>
      </c>
      <c r="AA72" s="94" t="n">
        <v>6.8</v>
      </c>
      <c r="AB72" s="96" t="n">
        <v>2276</v>
      </c>
      <c r="AC72" s="94" t="n">
        <v>0</v>
      </c>
      <c r="AD72" s="94" t="n">
        <v>5.6</v>
      </c>
      <c r="AE72" s="96" t="n">
        <v>20</v>
      </c>
      <c r="AF72" s="94" t="n">
        <v>29.2</v>
      </c>
      <c r="AG72" s="95" t="n">
        <v>2.76</v>
      </c>
      <c r="AH72" s="95" t="n">
        <v>0.094</v>
      </c>
      <c r="AI72" s="94" t="n">
        <v>0</v>
      </c>
      <c r="AJ72" s="96" t="n">
        <v>21</v>
      </c>
      <c r="AK72" s="94" t="n">
        <v>330.8</v>
      </c>
      <c r="AL72" s="95" t="n">
        <v>8.941</v>
      </c>
      <c r="AM72" s="95" t="n">
        <v>0.027</v>
      </c>
      <c r="AN72" s="94" t="n">
        <v>21.9</v>
      </c>
      <c r="AO72" s="43"/>
      <c r="AP72" s="43"/>
      <c r="AQ72" s="43"/>
      <c r="AR72" s="43"/>
      <c r="AS72" s="42"/>
      <c r="AT72" s="42" t="n">
        <f aca="false">Table2[[#This Row],[Object_A_._head_time]]+Table2[[#This Row],[Object_B_._head_time]]</f>
        <v>44.5</v>
      </c>
      <c r="AU72" s="42" t="n">
        <f aca="false">Table2[[#This Row],[Object_B_._head_time]]-Table2[[#This Row],[Object_A_._head_time]]</f>
        <v>9.7</v>
      </c>
      <c r="AV72" s="40" t="n">
        <f aca="false">Table2[[#This Row],[D1: Absolute discrimination measure (D1 = B2- A2)]]/Table2[[#This Row],[E2: total exploration time in second trial E2 ( E2 = A2 + B2)]]</f>
        <v>0.217977528089888</v>
      </c>
      <c r="AW72" s="43" t="n">
        <f aca="false">(W72/AT72)</f>
        <v>0.608988764044944</v>
      </c>
      <c r="AX72" s="42"/>
      <c r="AY72" s="45" t="s">
        <v>71</v>
      </c>
      <c r="AZ72" s="45" t="s">
        <v>76</v>
      </c>
      <c r="BA72" s="45" t="s">
        <v>66</v>
      </c>
      <c r="BB72" s="96" t="n">
        <v>151</v>
      </c>
      <c r="BC72" s="94" t="n">
        <v>5.03333333333333</v>
      </c>
      <c r="BD72" s="45" t="s">
        <v>81</v>
      </c>
      <c r="BE72" s="97" t="n">
        <v>8</v>
      </c>
      <c r="BF72" s="45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98"/>
    </row>
    <row r="73" s="99" customFormat="true" ht="12" hidden="false" customHeight="true" outlineLevel="0" collapsed="false">
      <c r="A73" s="45" t="n">
        <v>116</v>
      </c>
      <c r="B73" s="45" t="s">
        <v>149</v>
      </c>
      <c r="C73" s="45" t="s">
        <v>190</v>
      </c>
      <c r="D73" s="45" t="s">
        <v>60</v>
      </c>
      <c r="E73" s="45" t="s">
        <v>310</v>
      </c>
      <c r="F73" s="45" t="s">
        <v>412</v>
      </c>
      <c r="G73" s="45" t="s">
        <v>413</v>
      </c>
      <c r="H73" s="94" t="n">
        <v>360</v>
      </c>
      <c r="I73" s="95" t="n">
        <v>7.139</v>
      </c>
      <c r="J73" s="95" t="n">
        <v>0.02</v>
      </c>
      <c r="K73" s="95" t="n">
        <v>0.293</v>
      </c>
      <c r="L73" s="94" t="n">
        <v>122.2</v>
      </c>
      <c r="M73" s="96" t="n">
        <v>11</v>
      </c>
      <c r="N73" s="94" t="n">
        <v>8.8</v>
      </c>
      <c r="O73" s="95" t="n">
        <v>0.379</v>
      </c>
      <c r="P73" s="95" t="n">
        <v>0.043</v>
      </c>
      <c r="Q73" s="95" t="n">
        <v>0.211</v>
      </c>
      <c r="R73" s="94" t="n">
        <v>0.9</v>
      </c>
      <c r="S73" s="96" t="n">
        <v>815</v>
      </c>
      <c r="T73" s="94" t="n">
        <v>0</v>
      </c>
      <c r="U73" s="94" t="n">
        <v>5.1</v>
      </c>
      <c r="V73" s="96" t="n">
        <v>142</v>
      </c>
      <c r="W73" s="94" t="n">
        <v>104.3</v>
      </c>
      <c r="X73" s="95" t="n">
        <v>1.397</v>
      </c>
      <c r="Y73" s="95" t="n">
        <v>0.013</v>
      </c>
      <c r="Z73" s="95" t="n">
        <v>0.213</v>
      </c>
      <c r="AA73" s="94" t="n">
        <v>49.7</v>
      </c>
      <c r="AB73" s="96" t="n">
        <v>9079</v>
      </c>
      <c r="AC73" s="94" t="n">
        <v>49.3</v>
      </c>
      <c r="AD73" s="94" t="n">
        <v>66.3</v>
      </c>
      <c r="AE73" s="96" t="n">
        <v>10</v>
      </c>
      <c r="AF73" s="94" t="n">
        <v>25.7</v>
      </c>
      <c r="AG73" s="95" t="n">
        <v>1.506</v>
      </c>
      <c r="AH73" s="95" t="n">
        <v>0.059</v>
      </c>
      <c r="AI73" s="94" t="n">
        <v>0</v>
      </c>
      <c r="AJ73" s="96" t="n">
        <v>11</v>
      </c>
      <c r="AK73" s="94" t="n">
        <v>334.3</v>
      </c>
      <c r="AL73" s="95" t="n">
        <v>5.633</v>
      </c>
      <c r="AM73" s="95" t="n">
        <v>0.017</v>
      </c>
      <c r="AN73" s="94" t="n">
        <v>122.2</v>
      </c>
      <c r="AO73" s="43"/>
      <c r="AP73" s="43"/>
      <c r="AQ73" s="43"/>
      <c r="AR73" s="43"/>
      <c r="AS73" s="42"/>
      <c r="AT73" s="42" t="n">
        <f aca="false">Table2[[#This Row],[Object_A_._head_time]]+Table2[[#This Row],[Object_B_._head_time]]</f>
        <v>113.1</v>
      </c>
      <c r="AU73" s="42" t="n">
        <f aca="false">Table2[[#This Row],[Object_B_._head_time]]-Table2[[#This Row],[Object_A_._head_time]]</f>
        <v>95.5</v>
      </c>
      <c r="AV73" s="40" t="n">
        <f aca="false">Table2[[#This Row],[D1: Absolute discrimination measure (D1 = B2- A2)]]/Table2[[#This Row],[E2: total exploration time in second trial E2 ( E2 = A2 + B2)]]</f>
        <v>0.844385499557913</v>
      </c>
      <c r="AW73" s="43" t="n">
        <f aca="false">(W73/AT73)</f>
        <v>0.922192749778957</v>
      </c>
      <c r="AX73" s="42"/>
      <c r="AY73" s="45" t="s">
        <v>71</v>
      </c>
      <c r="AZ73" s="45" t="s">
        <v>76</v>
      </c>
      <c r="BA73" s="45" t="s">
        <v>66</v>
      </c>
      <c r="BB73" s="96" t="n">
        <v>151</v>
      </c>
      <c r="BC73" s="94" t="n">
        <v>5.03333333333333</v>
      </c>
      <c r="BD73" s="45" t="s">
        <v>67</v>
      </c>
      <c r="BE73" s="97" t="n">
        <v>7</v>
      </c>
      <c r="BF73" s="45"/>
      <c r="BG73" s="87"/>
      <c r="BH73" s="87"/>
      <c r="BI73" s="87"/>
      <c r="BJ73" s="87"/>
      <c r="BK73" s="87"/>
      <c r="BL73" s="87"/>
      <c r="BM73" s="87"/>
      <c r="BN73" s="87"/>
      <c r="BO73" s="87"/>
      <c r="BP73" s="87"/>
      <c r="BQ73" s="87"/>
      <c r="BR73" s="87"/>
      <c r="BS73" s="87"/>
      <c r="BT73" s="87"/>
      <c r="BU73" s="87"/>
      <c r="BV73" s="87"/>
      <c r="BW73" s="87"/>
      <c r="BX73" s="87"/>
      <c r="BY73" s="87"/>
      <c r="BZ73" s="87"/>
      <c r="CA73" s="87"/>
      <c r="CB73" s="87"/>
      <c r="CC73" s="87"/>
      <c r="CD73" s="87"/>
      <c r="CE73" s="87"/>
      <c r="CF73" s="87"/>
      <c r="CG73" s="87"/>
      <c r="CH73" s="87"/>
      <c r="CI73" s="87"/>
      <c r="CJ73" s="87"/>
      <c r="CK73" s="87"/>
      <c r="CL73" s="87"/>
      <c r="CM73" s="87"/>
      <c r="CN73" s="87"/>
      <c r="CO73" s="87"/>
      <c r="CP73" s="87"/>
      <c r="CQ73" s="87"/>
      <c r="CR73" s="87"/>
      <c r="CS73" s="87"/>
      <c r="CT73" s="87"/>
      <c r="CU73" s="98"/>
    </row>
    <row r="74" s="99" customFormat="true" ht="12" hidden="false" customHeight="true" outlineLevel="0" collapsed="false">
      <c r="A74" s="45" t="n">
        <v>115</v>
      </c>
      <c r="B74" s="45" t="s">
        <v>151</v>
      </c>
      <c r="C74" s="45" t="s">
        <v>190</v>
      </c>
      <c r="D74" s="45" t="s">
        <v>69</v>
      </c>
      <c r="E74" s="45" t="s">
        <v>310</v>
      </c>
      <c r="F74" s="45" t="s">
        <v>412</v>
      </c>
      <c r="G74" s="45" t="s">
        <v>414</v>
      </c>
      <c r="H74" s="94" t="n">
        <v>360</v>
      </c>
      <c r="I74" s="95" t="n">
        <v>10.476</v>
      </c>
      <c r="J74" s="95" t="n">
        <v>0.029</v>
      </c>
      <c r="K74" s="95" t="n">
        <v>0.252</v>
      </c>
      <c r="L74" s="94" t="n">
        <v>61.1</v>
      </c>
      <c r="M74" s="96" t="n">
        <v>63</v>
      </c>
      <c r="N74" s="94" t="n">
        <v>64.1</v>
      </c>
      <c r="O74" s="95" t="n">
        <v>1.231</v>
      </c>
      <c r="P74" s="95" t="n">
        <v>0.019</v>
      </c>
      <c r="Q74" s="95" t="n">
        <v>0.222</v>
      </c>
      <c r="R74" s="94" t="n">
        <v>6.7</v>
      </c>
      <c r="S74" s="96" t="n">
        <v>6221</v>
      </c>
      <c r="T74" s="94" t="n">
        <v>10.1</v>
      </c>
      <c r="U74" s="94" t="n">
        <v>7</v>
      </c>
      <c r="V74" s="96" t="n">
        <v>21</v>
      </c>
      <c r="W74" s="94" t="n">
        <v>25.8</v>
      </c>
      <c r="X74" s="95" t="n">
        <v>1.137</v>
      </c>
      <c r="Y74" s="95" t="n">
        <v>0.044</v>
      </c>
      <c r="Z74" s="95" t="n">
        <v>0.209</v>
      </c>
      <c r="AA74" s="94" t="n">
        <v>3.7</v>
      </c>
      <c r="AB74" s="96" t="n">
        <v>2571</v>
      </c>
      <c r="AC74" s="94" t="n">
        <v>0</v>
      </c>
      <c r="AD74" s="94" t="n">
        <v>3.6</v>
      </c>
      <c r="AE74" s="96" t="n">
        <v>19</v>
      </c>
      <c r="AF74" s="94" t="n">
        <v>61.2</v>
      </c>
      <c r="AG74" s="95" t="n">
        <v>1.656</v>
      </c>
      <c r="AH74" s="95" t="n">
        <v>0.027</v>
      </c>
      <c r="AI74" s="94" t="n">
        <v>12.6</v>
      </c>
      <c r="AJ74" s="96" t="n">
        <v>20</v>
      </c>
      <c r="AK74" s="94" t="n">
        <v>298.8</v>
      </c>
      <c r="AL74" s="95" t="n">
        <v>8.82</v>
      </c>
      <c r="AM74" s="95" t="n">
        <v>0.03</v>
      </c>
      <c r="AN74" s="94" t="n">
        <v>48.5</v>
      </c>
      <c r="AO74" s="43"/>
      <c r="AP74" s="43"/>
      <c r="AQ74" s="43"/>
      <c r="AR74" s="43"/>
      <c r="AS74" s="42"/>
      <c r="AT74" s="42" t="n">
        <f aca="false">Table2[[#This Row],[Object_A_._head_time]]+Table2[[#This Row],[Object_B_._head_time]]</f>
        <v>89.9</v>
      </c>
      <c r="AU74" s="42" t="n">
        <f aca="false">Table2[[#This Row],[Object_B_._head_time]]-Table2[[#This Row],[Object_A_._head_time]]</f>
        <v>-38.3</v>
      </c>
      <c r="AV74" s="40" t="n">
        <f aca="false">Table2[[#This Row],[D1: Absolute discrimination measure (D1 = B2- A2)]]/Table2[[#This Row],[E2: total exploration time in second trial E2 ( E2 = A2 + B2)]]</f>
        <v>-0.426028921023359</v>
      </c>
      <c r="AW74" s="43" t="n">
        <f aca="false">(W74/AT74)</f>
        <v>0.28698553948832</v>
      </c>
      <c r="AX74" s="42"/>
      <c r="AY74" s="45" t="s">
        <v>71</v>
      </c>
      <c r="AZ74" s="45" t="s">
        <v>76</v>
      </c>
      <c r="BA74" s="45" t="s">
        <v>72</v>
      </c>
      <c r="BB74" s="96" t="n">
        <v>151</v>
      </c>
      <c r="BC74" s="94" t="n">
        <v>5.03333333333333</v>
      </c>
      <c r="BD74" s="45" t="s">
        <v>67</v>
      </c>
      <c r="BE74" s="97" t="n">
        <v>5</v>
      </c>
      <c r="BF74" s="45" t="s">
        <v>154</v>
      </c>
      <c r="BG74" s="87"/>
      <c r="BH74" s="87"/>
      <c r="BI74" s="87"/>
      <c r="BJ74" s="87"/>
      <c r="BK74" s="87"/>
      <c r="BL74" s="87"/>
      <c r="BM74" s="87"/>
      <c r="BN74" s="87"/>
      <c r="BO74" s="87"/>
      <c r="BP74" s="87"/>
      <c r="BQ74" s="87"/>
      <c r="BR74" s="87"/>
      <c r="BS74" s="87"/>
      <c r="BT74" s="87"/>
      <c r="BU74" s="87"/>
      <c r="BV74" s="87"/>
      <c r="BW74" s="87"/>
      <c r="BX74" s="87"/>
      <c r="BY74" s="87"/>
      <c r="BZ74" s="87"/>
      <c r="CA74" s="87"/>
      <c r="CB74" s="87"/>
      <c r="CC74" s="87"/>
      <c r="CD74" s="87"/>
      <c r="CE74" s="87"/>
      <c r="CF74" s="87"/>
      <c r="CG74" s="87"/>
      <c r="CH74" s="87"/>
      <c r="CI74" s="87"/>
      <c r="CJ74" s="87"/>
      <c r="CK74" s="87"/>
      <c r="CL74" s="87"/>
      <c r="CM74" s="87"/>
      <c r="CN74" s="87"/>
      <c r="CO74" s="87"/>
      <c r="CP74" s="87"/>
      <c r="CQ74" s="87"/>
      <c r="CR74" s="87"/>
      <c r="CS74" s="87"/>
      <c r="CT74" s="87"/>
      <c r="CU74" s="98"/>
    </row>
    <row r="75" s="99" customFormat="true" ht="12" hidden="false" customHeight="true" outlineLevel="0" collapsed="false">
      <c r="A75" s="45" t="n">
        <v>118</v>
      </c>
      <c r="B75" s="45" t="s">
        <v>155</v>
      </c>
      <c r="C75" s="45" t="s">
        <v>190</v>
      </c>
      <c r="D75" s="45" t="s">
        <v>74</v>
      </c>
      <c r="E75" s="45" t="s">
        <v>310</v>
      </c>
      <c r="F75" s="45" t="s">
        <v>412</v>
      </c>
      <c r="G75" s="45" t="s">
        <v>415</v>
      </c>
      <c r="H75" s="94" t="n">
        <v>360</v>
      </c>
      <c r="I75" s="95" t="n">
        <v>11.92</v>
      </c>
      <c r="J75" s="95" t="n">
        <v>0.033</v>
      </c>
      <c r="K75" s="95" t="n">
        <v>0.375</v>
      </c>
      <c r="L75" s="94" t="n">
        <v>47.7</v>
      </c>
      <c r="M75" s="96" t="n">
        <v>35</v>
      </c>
      <c r="N75" s="94" t="n">
        <v>30.9</v>
      </c>
      <c r="O75" s="95" t="n">
        <v>1.465</v>
      </c>
      <c r="P75" s="95" t="n">
        <v>0.047</v>
      </c>
      <c r="Q75" s="95" t="n">
        <v>0.373</v>
      </c>
      <c r="R75" s="94" t="n">
        <v>6.2</v>
      </c>
      <c r="S75" s="96" t="n">
        <v>3176</v>
      </c>
      <c r="T75" s="94" t="n">
        <v>2.2</v>
      </c>
      <c r="U75" s="94" t="n">
        <v>13.4</v>
      </c>
      <c r="V75" s="96" t="n">
        <v>44</v>
      </c>
      <c r="W75" s="94" t="n">
        <v>56.6</v>
      </c>
      <c r="X75" s="95" t="n">
        <v>1.009</v>
      </c>
      <c r="Y75" s="95" t="n">
        <v>0.018</v>
      </c>
      <c r="Z75" s="95" t="n">
        <v>0.35</v>
      </c>
      <c r="AA75" s="94" t="n">
        <v>14.7</v>
      </c>
      <c r="AB75" s="96" t="n">
        <v>4607</v>
      </c>
      <c r="AC75" s="94" t="n">
        <v>12.2</v>
      </c>
      <c r="AD75" s="94" t="n">
        <v>32.9</v>
      </c>
      <c r="AE75" s="96" t="n">
        <v>17</v>
      </c>
      <c r="AF75" s="94" t="n">
        <v>61.6</v>
      </c>
      <c r="AG75" s="95" t="n">
        <v>2.056</v>
      </c>
      <c r="AH75" s="95" t="n">
        <v>0.033</v>
      </c>
      <c r="AI75" s="94" t="n">
        <v>8.3</v>
      </c>
      <c r="AJ75" s="96" t="n">
        <v>17</v>
      </c>
      <c r="AK75" s="94" t="n">
        <v>298.4</v>
      </c>
      <c r="AL75" s="95" t="n">
        <v>9.863</v>
      </c>
      <c r="AM75" s="95" t="n">
        <v>0.033</v>
      </c>
      <c r="AN75" s="94" t="n">
        <v>39.4</v>
      </c>
      <c r="AO75" s="43"/>
      <c r="AP75" s="43"/>
      <c r="AQ75" s="43"/>
      <c r="AR75" s="43"/>
      <c r="AS75" s="42"/>
      <c r="AT75" s="42" t="n">
        <f aca="false">Table2[[#This Row],[Object_A_._head_time]]+Table2[[#This Row],[Object_B_._head_time]]</f>
        <v>87.5</v>
      </c>
      <c r="AU75" s="42" t="n">
        <f aca="false">Table2[[#This Row],[Object_B_._head_time]]-Table2[[#This Row],[Object_A_._head_time]]</f>
        <v>25.7</v>
      </c>
      <c r="AV75" s="40" t="n">
        <f aca="false">Table2[[#This Row],[D1: Absolute discrimination measure (D1 = B2- A2)]]/Table2[[#This Row],[E2: total exploration time in second trial E2 ( E2 = A2 + B2)]]</f>
        <v>0.293714285714286</v>
      </c>
      <c r="AW75" s="43" t="n">
        <f aca="false">(W75/AT75)</f>
        <v>0.646857142857143</v>
      </c>
      <c r="AX75" s="42"/>
      <c r="AY75" s="45" t="s">
        <v>64</v>
      </c>
      <c r="AZ75" s="45" t="s">
        <v>65</v>
      </c>
      <c r="BA75" s="45" t="s">
        <v>72</v>
      </c>
      <c r="BB75" s="96" t="n">
        <v>144</v>
      </c>
      <c r="BC75" s="94" t="n">
        <v>4.8</v>
      </c>
      <c r="BD75" s="45" t="s">
        <v>67</v>
      </c>
      <c r="BE75" s="97" t="n">
        <v>1</v>
      </c>
      <c r="BF75" s="45" t="s">
        <v>157</v>
      </c>
      <c r="BG75" s="87"/>
      <c r="BH75" s="87"/>
      <c r="BI75" s="87"/>
      <c r="BJ75" s="87"/>
      <c r="BK75" s="87"/>
      <c r="BL75" s="87"/>
      <c r="BM75" s="87"/>
      <c r="BN75" s="87"/>
      <c r="BO75" s="87"/>
      <c r="BP75" s="87"/>
      <c r="BQ75" s="87"/>
      <c r="BR75" s="87"/>
      <c r="BS75" s="87"/>
      <c r="BT75" s="87"/>
      <c r="BU75" s="87"/>
      <c r="BV75" s="87"/>
      <c r="BW75" s="87"/>
      <c r="BX75" s="87"/>
      <c r="BY75" s="87"/>
      <c r="BZ75" s="87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98"/>
    </row>
    <row r="76" s="99" customFormat="true" ht="12" hidden="false" customHeight="true" outlineLevel="0" collapsed="false">
      <c r="A76" s="45" t="n">
        <v>117</v>
      </c>
      <c r="B76" s="45" t="s">
        <v>158</v>
      </c>
      <c r="C76" s="45" t="s">
        <v>190</v>
      </c>
      <c r="D76" s="45" t="s">
        <v>79</v>
      </c>
      <c r="E76" s="45" t="s">
        <v>310</v>
      </c>
      <c r="F76" s="45" t="s">
        <v>412</v>
      </c>
      <c r="G76" s="45" t="s">
        <v>416</v>
      </c>
      <c r="H76" s="94" t="n">
        <v>360</v>
      </c>
      <c r="I76" s="95" t="n">
        <v>83.535</v>
      </c>
      <c r="J76" s="95" t="n">
        <v>0.232</v>
      </c>
      <c r="K76" s="95" t="n">
        <v>0.454</v>
      </c>
      <c r="L76" s="94" t="n">
        <v>10.8</v>
      </c>
      <c r="M76" s="96" t="n">
        <v>114</v>
      </c>
      <c r="N76" s="94" t="n">
        <v>53.8</v>
      </c>
      <c r="O76" s="95" t="n">
        <v>11.886</v>
      </c>
      <c r="P76" s="95" t="n">
        <v>0.221</v>
      </c>
      <c r="Q76" s="95" t="n">
        <v>0.442</v>
      </c>
      <c r="R76" s="94" t="n">
        <v>10.1</v>
      </c>
      <c r="S76" s="96" t="n">
        <v>11341</v>
      </c>
      <c r="T76" s="94" t="n">
        <v>1.3</v>
      </c>
      <c r="U76" s="94" t="n">
        <v>17.9</v>
      </c>
      <c r="V76" s="96" t="n">
        <v>152</v>
      </c>
      <c r="W76" s="94" t="n">
        <v>74.7</v>
      </c>
      <c r="X76" s="95" t="n">
        <v>19.622</v>
      </c>
      <c r="Y76" s="95" t="n">
        <v>0.263</v>
      </c>
      <c r="Z76" s="95" t="n">
        <v>0.428</v>
      </c>
      <c r="AA76" s="94" t="n">
        <v>5.5</v>
      </c>
      <c r="AB76" s="96" t="n">
        <v>16390</v>
      </c>
      <c r="AC76" s="94" t="n">
        <v>0</v>
      </c>
      <c r="AD76" s="94" t="n">
        <v>20</v>
      </c>
      <c r="AE76" s="96" t="n">
        <v>181</v>
      </c>
      <c r="AF76" s="94" t="n">
        <v>128.9</v>
      </c>
      <c r="AG76" s="95" t="n">
        <v>30.204</v>
      </c>
      <c r="AH76" s="95" t="n">
        <v>0.234</v>
      </c>
      <c r="AI76" s="94" t="n">
        <v>2.2</v>
      </c>
      <c r="AJ76" s="96" t="n">
        <v>182</v>
      </c>
      <c r="AK76" s="94" t="n">
        <v>231.1</v>
      </c>
      <c r="AL76" s="95" t="n">
        <v>53.331</v>
      </c>
      <c r="AM76" s="95" t="n">
        <v>0.231</v>
      </c>
      <c r="AN76" s="94" t="n">
        <v>8.6</v>
      </c>
      <c r="AO76" s="43"/>
      <c r="AP76" s="43"/>
      <c r="AQ76" s="43"/>
      <c r="AR76" s="43"/>
      <c r="AS76" s="42"/>
      <c r="AT76" s="42" t="n">
        <f aca="false">Table2[[#This Row],[Object_A_._head_time]]+Table2[[#This Row],[Object_B_._head_time]]</f>
        <v>128.5</v>
      </c>
      <c r="AU76" s="42" t="n">
        <f aca="false">Table2[[#This Row],[Object_B_._head_time]]-Table2[[#This Row],[Object_A_._head_time]]</f>
        <v>20.9</v>
      </c>
      <c r="AV76" s="40" t="n">
        <f aca="false">Table2[[#This Row],[D1: Absolute discrimination measure (D1 = B2- A2)]]/Table2[[#This Row],[E2: total exploration time in second trial E2 ( E2 = A2 + B2)]]</f>
        <v>0.162645914396887</v>
      </c>
      <c r="AW76" s="43" t="n">
        <f aca="false">(W76/AT76)</f>
        <v>0.581322957198444</v>
      </c>
      <c r="AX76" s="42"/>
      <c r="AY76" s="45" t="s">
        <v>64</v>
      </c>
      <c r="AZ76" s="45" t="s">
        <v>65</v>
      </c>
      <c r="BA76" s="45" t="s">
        <v>66</v>
      </c>
      <c r="BB76" s="96" t="n">
        <v>144</v>
      </c>
      <c r="BC76" s="94" t="n">
        <v>4.8</v>
      </c>
      <c r="BD76" s="45" t="s">
        <v>81</v>
      </c>
      <c r="BE76" s="97" t="n">
        <v>4</v>
      </c>
      <c r="BF76" s="45" t="s">
        <v>160</v>
      </c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87"/>
      <c r="BU76" s="87"/>
      <c r="BV76" s="87"/>
      <c r="BW76" s="87"/>
      <c r="BX76" s="87"/>
      <c r="BY76" s="87"/>
      <c r="BZ76" s="87"/>
      <c r="CA76" s="87"/>
      <c r="CB76" s="87"/>
      <c r="CC76" s="87"/>
      <c r="CD76" s="87"/>
      <c r="CE76" s="87"/>
      <c r="CF76" s="87"/>
      <c r="CG76" s="87"/>
      <c r="CH76" s="87"/>
      <c r="CI76" s="87"/>
      <c r="CJ76" s="87"/>
      <c r="CK76" s="87"/>
      <c r="CL76" s="87"/>
      <c r="CM76" s="87"/>
      <c r="CN76" s="87"/>
      <c r="CO76" s="87"/>
      <c r="CP76" s="87"/>
      <c r="CQ76" s="87"/>
      <c r="CR76" s="87"/>
      <c r="CS76" s="87"/>
      <c r="CT76" s="87"/>
      <c r="CU76" s="98"/>
    </row>
    <row r="77" s="99" customFormat="true" ht="12" hidden="false" customHeight="true" outlineLevel="0" collapsed="false">
      <c r="A77" s="45" t="n">
        <v>120</v>
      </c>
      <c r="B77" s="45" t="s">
        <v>161</v>
      </c>
      <c r="C77" s="45" t="s">
        <v>190</v>
      </c>
      <c r="D77" s="45" t="s">
        <v>60</v>
      </c>
      <c r="E77" s="45" t="s">
        <v>310</v>
      </c>
      <c r="F77" s="45" t="s">
        <v>417</v>
      </c>
      <c r="G77" s="45" t="s">
        <v>418</v>
      </c>
      <c r="H77" s="94" t="n">
        <v>360</v>
      </c>
      <c r="I77" s="95" t="n">
        <v>18.804</v>
      </c>
      <c r="J77" s="95" t="n">
        <v>0.052</v>
      </c>
      <c r="K77" s="95" t="n">
        <v>0.308</v>
      </c>
      <c r="L77" s="94" t="n">
        <v>1.1</v>
      </c>
      <c r="M77" s="96" t="n">
        <v>42</v>
      </c>
      <c r="N77" s="94" t="n">
        <v>48.8</v>
      </c>
      <c r="O77" s="95" t="n">
        <v>2.079</v>
      </c>
      <c r="P77" s="95" t="n">
        <v>0.043</v>
      </c>
      <c r="Q77" s="95" t="n">
        <v>0.308</v>
      </c>
      <c r="R77" s="94" t="n">
        <v>10</v>
      </c>
      <c r="S77" s="96" t="n">
        <v>4354</v>
      </c>
      <c r="T77" s="94" t="n">
        <v>0</v>
      </c>
      <c r="U77" s="94" t="n">
        <v>17.2</v>
      </c>
      <c r="V77" s="96" t="n">
        <v>39</v>
      </c>
      <c r="W77" s="94" t="n">
        <v>54.4</v>
      </c>
      <c r="X77" s="95" t="n">
        <v>1.978</v>
      </c>
      <c r="Y77" s="95" t="n">
        <v>0.036</v>
      </c>
      <c r="Z77" s="95" t="n">
        <v>0.264</v>
      </c>
      <c r="AA77" s="94" t="n">
        <v>14</v>
      </c>
      <c r="AB77" s="96" t="n">
        <v>4823</v>
      </c>
      <c r="AC77" s="94" t="n">
        <v>0</v>
      </c>
      <c r="AD77" s="94" t="n">
        <v>16.5</v>
      </c>
      <c r="AE77" s="96" t="n">
        <v>38</v>
      </c>
      <c r="AF77" s="94" t="n">
        <v>92.2</v>
      </c>
      <c r="AG77" s="95" t="n">
        <v>4.54</v>
      </c>
      <c r="AH77" s="95" t="n">
        <v>0.049</v>
      </c>
      <c r="AI77" s="94" t="n">
        <v>0</v>
      </c>
      <c r="AJ77" s="96" t="n">
        <v>39</v>
      </c>
      <c r="AK77" s="94" t="n">
        <v>267.8</v>
      </c>
      <c r="AL77" s="95" t="n">
        <v>14.264</v>
      </c>
      <c r="AM77" s="95" t="n">
        <v>0.053</v>
      </c>
      <c r="AN77" s="94" t="n">
        <v>1.1</v>
      </c>
      <c r="AO77" s="43"/>
      <c r="AP77" s="43"/>
      <c r="AQ77" s="43"/>
      <c r="AR77" s="43"/>
      <c r="AS77" s="42"/>
      <c r="AT77" s="42" t="n">
        <f aca="false">Table2[[#This Row],[Object_A_._head_time]]+Table2[[#This Row],[Object_B_._head_time]]</f>
        <v>103.2</v>
      </c>
      <c r="AU77" s="42" t="n">
        <f aca="false">Table2[[#This Row],[Object_B_._head_time]]-Table2[[#This Row],[Object_A_._head_time]]</f>
        <v>5.6</v>
      </c>
      <c r="AV77" s="40" t="n">
        <f aca="false">Table2[[#This Row],[D1: Absolute discrimination measure (D1 = B2- A2)]]/Table2[[#This Row],[E2: total exploration time in second trial E2 ( E2 = A2 + B2)]]</f>
        <v>0.0542635658914729</v>
      </c>
      <c r="AW77" s="43" t="n">
        <f aca="false">(W77/AT77)</f>
        <v>0.527131782945737</v>
      </c>
      <c r="AX77" s="42"/>
      <c r="AY77" s="45" t="s">
        <v>64</v>
      </c>
      <c r="AZ77" s="45" t="s">
        <v>65</v>
      </c>
      <c r="BA77" s="45" t="s">
        <v>72</v>
      </c>
      <c r="BB77" s="96" t="n">
        <v>144</v>
      </c>
      <c r="BC77" s="94" t="n">
        <v>4.8</v>
      </c>
      <c r="BD77" s="45" t="s">
        <v>81</v>
      </c>
      <c r="BE77" s="97" t="n">
        <v>2</v>
      </c>
      <c r="BF77" s="45" t="s">
        <v>157</v>
      </c>
      <c r="BG77" s="87"/>
      <c r="BH77" s="87"/>
      <c r="BI77" s="87"/>
      <c r="BJ77" s="87"/>
      <c r="BK77" s="87"/>
      <c r="BL77" s="87"/>
      <c r="BM77" s="87"/>
      <c r="BN77" s="87"/>
      <c r="BO77" s="87"/>
      <c r="BP77" s="87"/>
      <c r="BQ77" s="87"/>
      <c r="BR77" s="87"/>
      <c r="BS77" s="87"/>
      <c r="BT77" s="87"/>
      <c r="BU77" s="87"/>
      <c r="BV77" s="87"/>
      <c r="BW77" s="87"/>
      <c r="BX77" s="87"/>
      <c r="BY77" s="87"/>
      <c r="BZ77" s="87"/>
      <c r="CA77" s="87"/>
      <c r="CB77" s="87"/>
      <c r="CC77" s="87"/>
      <c r="CD77" s="87"/>
      <c r="CE77" s="87"/>
      <c r="CF77" s="87"/>
      <c r="CG77" s="87"/>
      <c r="CH77" s="87"/>
      <c r="CI77" s="87"/>
      <c r="CJ77" s="87"/>
      <c r="CK77" s="87"/>
      <c r="CL77" s="87"/>
      <c r="CM77" s="87"/>
      <c r="CN77" s="87"/>
      <c r="CO77" s="87"/>
      <c r="CP77" s="87"/>
      <c r="CQ77" s="87"/>
      <c r="CR77" s="87"/>
      <c r="CS77" s="87"/>
      <c r="CT77" s="87"/>
      <c r="CU77" s="98"/>
    </row>
    <row r="78" s="99" customFormat="true" ht="12" hidden="false" customHeight="true" outlineLevel="0" collapsed="false">
      <c r="A78" s="45" t="n">
        <v>119</v>
      </c>
      <c r="B78" s="45" t="s">
        <v>163</v>
      </c>
      <c r="C78" s="45" t="s">
        <v>190</v>
      </c>
      <c r="D78" s="45" t="s">
        <v>69</v>
      </c>
      <c r="E78" s="45" t="s">
        <v>310</v>
      </c>
      <c r="F78" s="45" t="s">
        <v>417</v>
      </c>
      <c r="G78" s="45" t="s">
        <v>419</v>
      </c>
      <c r="H78" s="94" t="n">
        <v>360</v>
      </c>
      <c r="I78" s="95" t="n">
        <v>11.05</v>
      </c>
      <c r="J78" s="95" t="n">
        <v>0.031</v>
      </c>
      <c r="K78" s="95" t="n">
        <v>0.285</v>
      </c>
      <c r="L78" s="94" t="n">
        <v>144.6</v>
      </c>
      <c r="M78" s="96" t="n">
        <v>9</v>
      </c>
      <c r="N78" s="94" t="n">
        <v>10.7</v>
      </c>
      <c r="O78" s="95" t="n">
        <v>0.625</v>
      </c>
      <c r="P78" s="95" t="n">
        <v>0.058</v>
      </c>
      <c r="Q78" s="95" t="n">
        <v>0.251</v>
      </c>
      <c r="R78" s="94" t="n">
        <v>5</v>
      </c>
      <c r="S78" s="96" t="n">
        <v>1013</v>
      </c>
      <c r="T78" s="94" t="n">
        <v>1.5</v>
      </c>
      <c r="U78" s="94" t="n">
        <v>5.6</v>
      </c>
      <c r="V78" s="96" t="n">
        <v>77</v>
      </c>
      <c r="W78" s="94" t="n">
        <v>80.6</v>
      </c>
      <c r="X78" s="95" t="n">
        <v>0.86</v>
      </c>
      <c r="Y78" s="95" t="n">
        <v>0.011</v>
      </c>
      <c r="Z78" s="95" t="n">
        <v>0.219</v>
      </c>
      <c r="AA78" s="94" t="n">
        <v>19.2</v>
      </c>
      <c r="AB78" s="96" t="n">
        <v>3389</v>
      </c>
      <c r="AC78" s="94" t="n">
        <v>51.4</v>
      </c>
      <c r="AD78" s="94" t="n">
        <v>71.9</v>
      </c>
      <c r="AE78" s="96" t="n">
        <v>10</v>
      </c>
      <c r="AF78" s="94" t="n">
        <v>14.7</v>
      </c>
      <c r="AG78" s="95" t="n">
        <v>1.645</v>
      </c>
      <c r="AH78" s="95" t="n">
        <v>0.112</v>
      </c>
      <c r="AI78" s="94" t="n">
        <v>0</v>
      </c>
      <c r="AJ78" s="96" t="n">
        <v>11</v>
      </c>
      <c r="AK78" s="94" t="n">
        <v>345.3</v>
      </c>
      <c r="AL78" s="95" t="n">
        <v>9.405</v>
      </c>
      <c r="AM78" s="95" t="n">
        <v>0.027</v>
      </c>
      <c r="AN78" s="94" t="n">
        <v>144.6</v>
      </c>
      <c r="AO78" s="43"/>
      <c r="AP78" s="43"/>
      <c r="AQ78" s="43"/>
      <c r="AR78" s="43"/>
      <c r="AS78" s="42"/>
      <c r="AT78" s="42" t="n">
        <f aca="false">Table2[[#This Row],[Object_A_._head_time]]+Table2[[#This Row],[Object_B_._head_time]]</f>
        <v>91.3</v>
      </c>
      <c r="AU78" s="42" t="n">
        <f aca="false">Table2[[#This Row],[Object_B_._head_time]]-Table2[[#This Row],[Object_A_._head_time]]</f>
        <v>69.9</v>
      </c>
      <c r="AV78" s="40" t="n">
        <f aca="false">Table2[[#This Row],[D1: Absolute discrimination measure (D1 = B2- A2)]]/Table2[[#This Row],[E2: total exploration time in second trial E2 ( E2 = A2 + B2)]]</f>
        <v>0.765607886089814</v>
      </c>
      <c r="AW78" s="43" t="n">
        <f aca="false">(W78/AT78)</f>
        <v>0.882803943044907</v>
      </c>
      <c r="AX78" s="42"/>
      <c r="AY78" s="45" t="s">
        <v>64</v>
      </c>
      <c r="AZ78" s="45" t="s">
        <v>65</v>
      </c>
      <c r="BA78" s="45" t="s">
        <v>66</v>
      </c>
      <c r="BB78" s="96" t="n">
        <v>144</v>
      </c>
      <c r="BC78" s="94" t="n">
        <v>4.8</v>
      </c>
      <c r="BD78" s="45" t="s">
        <v>81</v>
      </c>
      <c r="BE78" s="97" t="n">
        <v>4</v>
      </c>
      <c r="BF78" s="45"/>
      <c r="BG78" s="87"/>
      <c r="BH78" s="87"/>
      <c r="BI78" s="87"/>
      <c r="BJ78" s="87"/>
      <c r="BK78" s="87"/>
      <c r="BL78" s="87"/>
      <c r="BM78" s="87"/>
      <c r="BN78" s="87"/>
      <c r="BO78" s="87"/>
      <c r="BP78" s="87"/>
      <c r="BQ78" s="87"/>
      <c r="BR78" s="87"/>
      <c r="BS78" s="87"/>
      <c r="BT78" s="87"/>
      <c r="BU78" s="87"/>
      <c r="BV78" s="87"/>
      <c r="BW78" s="87"/>
      <c r="BX78" s="87"/>
      <c r="BY78" s="87"/>
      <c r="BZ78" s="87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98"/>
    </row>
    <row r="79" s="99" customFormat="true" ht="12" hidden="false" customHeight="true" outlineLevel="0" collapsed="false">
      <c r="A79" s="45" t="n">
        <v>121</v>
      </c>
      <c r="B79" s="45" t="s">
        <v>166</v>
      </c>
      <c r="C79" s="45" t="s">
        <v>190</v>
      </c>
      <c r="D79" s="45" t="s">
        <v>74</v>
      </c>
      <c r="E79" s="45" t="s">
        <v>310</v>
      </c>
      <c r="F79" s="45" t="s">
        <v>420</v>
      </c>
      <c r="G79" s="45" t="s">
        <v>421</v>
      </c>
      <c r="H79" s="94" t="n">
        <v>360</v>
      </c>
      <c r="I79" s="95" t="n">
        <v>10.829</v>
      </c>
      <c r="J79" s="95" t="n">
        <v>0.03</v>
      </c>
      <c r="K79" s="95" t="n">
        <v>0.297</v>
      </c>
      <c r="L79" s="94" t="n">
        <v>147</v>
      </c>
      <c r="M79" s="96" t="n">
        <v>14</v>
      </c>
      <c r="N79" s="94" t="n">
        <v>10.7</v>
      </c>
      <c r="O79" s="95" t="n">
        <v>0.563</v>
      </c>
      <c r="P79" s="95" t="n">
        <v>0.052</v>
      </c>
      <c r="Q79" s="95" t="n">
        <v>0.235</v>
      </c>
      <c r="R79" s="94" t="n">
        <v>3.4</v>
      </c>
      <c r="S79" s="96" t="n">
        <v>1085</v>
      </c>
      <c r="T79" s="94" t="n">
        <v>0</v>
      </c>
      <c r="U79" s="94" t="n">
        <v>3.7</v>
      </c>
      <c r="V79" s="96" t="n">
        <v>40</v>
      </c>
      <c r="W79" s="94" t="n">
        <v>30.6</v>
      </c>
      <c r="X79" s="95" t="n">
        <v>0.749</v>
      </c>
      <c r="Y79" s="95" t="n">
        <v>0.024</v>
      </c>
      <c r="Z79" s="95" t="n">
        <v>0.296</v>
      </c>
      <c r="AA79" s="94" t="n">
        <v>16.6</v>
      </c>
      <c r="AB79" s="96" t="n">
        <v>2495</v>
      </c>
      <c r="AC79" s="94" t="n">
        <v>4.6</v>
      </c>
      <c r="AD79" s="94" t="n">
        <v>21.2</v>
      </c>
      <c r="AE79" s="96" t="n">
        <v>9</v>
      </c>
      <c r="AF79" s="94" t="n">
        <v>13</v>
      </c>
      <c r="AG79" s="95" t="n">
        <v>1.555</v>
      </c>
      <c r="AH79" s="95" t="n">
        <v>0.119</v>
      </c>
      <c r="AI79" s="94" t="n">
        <v>0</v>
      </c>
      <c r="AJ79" s="96" t="n">
        <v>10</v>
      </c>
      <c r="AK79" s="94" t="n">
        <v>347</v>
      </c>
      <c r="AL79" s="95" t="n">
        <v>9.275</v>
      </c>
      <c r="AM79" s="95" t="n">
        <v>0.027</v>
      </c>
      <c r="AN79" s="94" t="n">
        <v>147</v>
      </c>
      <c r="AO79" s="43"/>
      <c r="AP79" s="43"/>
      <c r="AQ79" s="43"/>
      <c r="AR79" s="43"/>
      <c r="AS79" s="42"/>
      <c r="AT79" s="42" t="n">
        <f aca="false">Table2[[#This Row],[Object_A_._head_time]]+Table2[[#This Row],[Object_B_._head_time]]</f>
        <v>41.3</v>
      </c>
      <c r="AU79" s="42" t="n">
        <f aca="false">Table2[[#This Row],[Object_B_._head_time]]-Table2[[#This Row],[Object_A_._head_time]]</f>
        <v>19.9</v>
      </c>
      <c r="AV79" s="40" t="n">
        <f aca="false">Table2[[#This Row],[D1: Absolute discrimination measure (D1 = B2- A2)]]/Table2[[#This Row],[E2: total exploration time in second trial E2 ( E2 = A2 + B2)]]</f>
        <v>0.481840193704601</v>
      </c>
      <c r="AW79" s="43" t="n">
        <f aca="false">(W79/AT79)</f>
        <v>0.7409200968523</v>
      </c>
      <c r="AX79" s="42"/>
      <c r="AY79" s="45" t="s">
        <v>64</v>
      </c>
      <c r="AZ79" s="45" t="s">
        <v>65</v>
      </c>
      <c r="BA79" s="45" t="s">
        <v>66</v>
      </c>
      <c r="BB79" s="96" t="n">
        <v>144</v>
      </c>
      <c r="BC79" s="94" t="n">
        <v>4.8</v>
      </c>
      <c r="BD79" s="45" t="s">
        <v>67</v>
      </c>
      <c r="BE79" s="97" t="n">
        <v>3</v>
      </c>
      <c r="BF79" s="45" t="s">
        <v>168</v>
      </c>
      <c r="BG79" s="87"/>
      <c r="BH79" s="87"/>
      <c r="BI79" s="87"/>
      <c r="BJ79" s="87"/>
      <c r="BK79" s="87"/>
      <c r="BL79" s="87"/>
      <c r="BM79" s="87"/>
      <c r="BN79" s="87"/>
      <c r="BO79" s="87"/>
      <c r="BP79" s="87"/>
      <c r="BQ79" s="87"/>
      <c r="BR79" s="87"/>
      <c r="BS79" s="87"/>
      <c r="BT79" s="87"/>
      <c r="BU79" s="87"/>
      <c r="BV79" s="87"/>
      <c r="BW79" s="87"/>
      <c r="BX79" s="87"/>
      <c r="BY79" s="87"/>
      <c r="BZ79" s="87"/>
      <c r="CA79" s="87"/>
      <c r="CB79" s="87"/>
      <c r="CC79" s="87"/>
      <c r="CD79" s="87"/>
      <c r="CE79" s="87"/>
      <c r="CF79" s="87"/>
      <c r="CG79" s="87"/>
      <c r="CH79" s="87"/>
      <c r="CI79" s="87"/>
      <c r="CJ79" s="87"/>
      <c r="CK79" s="87"/>
      <c r="CL79" s="87"/>
      <c r="CM79" s="87"/>
      <c r="CN79" s="87"/>
      <c r="CO79" s="87"/>
      <c r="CP79" s="87"/>
      <c r="CQ79" s="87"/>
      <c r="CR79" s="87"/>
      <c r="CS79" s="87"/>
      <c r="CT79" s="87"/>
      <c r="CU79" s="98"/>
    </row>
    <row r="80" s="99" customFormat="true" ht="12" hidden="false" customHeight="true" outlineLevel="0" collapsed="false">
      <c r="A80" s="45" t="n">
        <v>122</v>
      </c>
      <c r="B80" s="45" t="s">
        <v>169</v>
      </c>
      <c r="C80" s="45" t="s">
        <v>190</v>
      </c>
      <c r="D80" s="45" t="s">
        <v>79</v>
      </c>
      <c r="E80" s="45" t="s">
        <v>310</v>
      </c>
      <c r="F80" s="45" t="s">
        <v>420</v>
      </c>
      <c r="G80" s="45" t="s">
        <v>422</v>
      </c>
      <c r="H80" s="94" t="n">
        <v>360</v>
      </c>
      <c r="I80" s="95" t="n">
        <v>4.239</v>
      </c>
      <c r="J80" s="95" t="n">
        <v>0.012</v>
      </c>
      <c r="K80" s="95" t="n">
        <v>0.253</v>
      </c>
      <c r="L80" s="94" t="n">
        <v>242.1</v>
      </c>
      <c r="M80" s="96" t="n">
        <v>82</v>
      </c>
      <c r="N80" s="94" t="n">
        <v>53.4</v>
      </c>
      <c r="O80" s="95" t="n">
        <v>0.416</v>
      </c>
      <c r="P80" s="95" t="n">
        <v>0.008</v>
      </c>
      <c r="Q80" s="95" t="n">
        <v>0.243</v>
      </c>
      <c r="R80" s="94" t="n">
        <v>21.6</v>
      </c>
      <c r="S80" s="96" t="n">
        <v>2446</v>
      </c>
      <c r="T80" s="94" t="n">
        <v>28.6</v>
      </c>
      <c r="U80" s="94" t="n">
        <v>45.9</v>
      </c>
      <c r="V80" s="96" t="n">
        <v>26</v>
      </c>
      <c r="W80" s="94" t="n">
        <v>22</v>
      </c>
      <c r="X80" s="95" t="n">
        <v>0.517</v>
      </c>
      <c r="Y80" s="95" t="n">
        <v>0.024</v>
      </c>
      <c r="Z80" s="95" t="n">
        <v>0.232</v>
      </c>
      <c r="AA80" s="94" t="n">
        <v>12.2</v>
      </c>
      <c r="AB80" s="96" t="n">
        <v>1265</v>
      </c>
      <c r="AC80" s="94" t="n">
        <v>5</v>
      </c>
      <c r="AD80" s="94" t="n">
        <v>15.4</v>
      </c>
      <c r="AE80" s="96" t="n">
        <v>4</v>
      </c>
      <c r="AF80" s="94" t="n">
        <v>3.3</v>
      </c>
      <c r="AG80" s="95" t="n">
        <v>0.256</v>
      </c>
      <c r="AH80" s="95" t="n">
        <v>0.076</v>
      </c>
      <c r="AI80" s="94" t="n">
        <v>0</v>
      </c>
      <c r="AJ80" s="96" t="n">
        <v>5</v>
      </c>
      <c r="AK80" s="94" t="n">
        <v>356.7</v>
      </c>
      <c r="AL80" s="95" t="n">
        <v>3.983</v>
      </c>
      <c r="AM80" s="95" t="n">
        <v>0.011</v>
      </c>
      <c r="AN80" s="94" t="n">
        <v>242.1</v>
      </c>
      <c r="AO80" s="43"/>
      <c r="AP80" s="43"/>
      <c r="AQ80" s="43"/>
      <c r="AR80" s="43"/>
      <c r="AS80" s="42"/>
      <c r="AT80" s="42" t="n">
        <f aca="false">Table2[[#This Row],[Object_A_._head_time]]+Table2[[#This Row],[Object_B_._head_time]]</f>
        <v>75.4</v>
      </c>
      <c r="AU80" s="42" t="n">
        <f aca="false">Table2[[#This Row],[Object_B_._head_time]]-Table2[[#This Row],[Object_A_._head_time]]</f>
        <v>-31.4</v>
      </c>
      <c r="AV80" s="40" t="n">
        <f aca="false">Table2[[#This Row],[D1: Absolute discrimination measure (D1 = B2- A2)]]/Table2[[#This Row],[E2: total exploration time in second trial E2 ( E2 = A2 + B2)]]</f>
        <v>-0.416445623342175</v>
      </c>
      <c r="AW80" s="43" t="n">
        <f aca="false">(W80/AT80)</f>
        <v>0.291777188328912</v>
      </c>
      <c r="AX80" s="42"/>
      <c r="AY80" s="45" t="s">
        <v>71</v>
      </c>
      <c r="AZ80" s="45" t="s">
        <v>65</v>
      </c>
      <c r="BA80" s="45" t="s">
        <v>72</v>
      </c>
      <c r="BB80" s="96" t="n">
        <v>144</v>
      </c>
      <c r="BC80" s="94" t="n">
        <v>4.8</v>
      </c>
      <c r="BD80" s="45" t="s">
        <v>67</v>
      </c>
      <c r="BE80" s="97" t="n">
        <v>1</v>
      </c>
      <c r="BF80" s="45" t="s">
        <v>171</v>
      </c>
      <c r="BG80" s="87"/>
      <c r="BH80" s="87"/>
      <c r="BI80" s="87"/>
      <c r="BJ80" s="87"/>
      <c r="BK80" s="87"/>
      <c r="BL80" s="87"/>
      <c r="BM80" s="87"/>
      <c r="BN80" s="87"/>
      <c r="BO80" s="87"/>
      <c r="BP80" s="87"/>
      <c r="BQ80" s="87"/>
      <c r="BR80" s="87"/>
      <c r="BS80" s="87"/>
      <c r="BT80" s="87"/>
      <c r="BU80" s="87"/>
      <c r="BV80" s="87"/>
      <c r="BW80" s="87"/>
      <c r="BX80" s="87"/>
      <c r="BY80" s="87"/>
      <c r="BZ80" s="87"/>
      <c r="CA80" s="87"/>
      <c r="CB80" s="87"/>
      <c r="CC80" s="87"/>
      <c r="CD80" s="87"/>
      <c r="CE80" s="87"/>
      <c r="CF80" s="87"/>
      <c r="CG80" s="87"/>
      <c r="CH80" s="87"/>
      <c r="CI80" s="87"/>
      <c r="CJ80" s="87"/>
      <c r="CK80" s="87"/>
      <c r="CL80" s="87"/>
      <c r="CM80" s="87"/>
      <c r="CN80" s="87"/>
      <c r="CO80" s="87"/>
      <c r="CP80" s="87"/>
      <c r="CQ80" s="87"/>
      <c r="CR80" s="87"/>
      <c r="CS80" s="87"/>
      <c r="CT80" s="87"/>
      <c r="CU80" s="98"/>
    </row>
    <row r="81" s="99" customFormat="true" ht="12" hidden="false" customHeight="true" outlineLevel="0" collapsed="false">
      <c r="A81" s="45" t="n">
        <v>124</v>
      </c>
      <c r="B81" s="45" t="s">
        <v>172</v>
      </c>
      <c r="C81" s="45" t="s">
        <v>190</v>
      </c>
      <c r="D81" s="45" t="s">
        <v>60</v>
      </c>
      <c r="E81" s="45" t="s">
        <v>310</v>
      </c>
      <c r="F81" s="45" t="s">
        <v>282</v>
      </c>
      <c r="G81" s="45" t="s">
        <v>423</v>
      </c>
      <c r="H81" s="94" t="n">
        <v>360</v>
      </c>
      <c r="I81" s="95" t="n">
        <v>43.381</v>
      </c>
      <c r="J81" s="95" t="n">
        <v>0.121</v>
      </c>
      <c r="K81" s="95" t="n">
        <v>0.342</v>
      </c>
      <c r="L81" s="94" t="n">
        <v>1.1</v>
      </c>
      <c r="M81" s="96" t="n">
        <v>32</v>
      </c>
      <c r="N81" s="94" t="n">
        <v>18.8</v>
      </c>
      <c r="O81" s="95" t="n">
        <v>0.726</v>
      </c>
      <c r="P81" s="95" t="n">
        <v>0.039</v>
      </c>
      <c r="Q81" s="95" t="n">
        <v>0.267</v>
      </c>
      <c r="R81" s="94" t="n">
        <v>10.5</v>
      </c>
      <c r="S81" s="96" t="n">
        <v>1780</v>
      </c>
      <c r="T81" s="94" t="n">
        <v>0</v>
      </c>
      <c r="U81" s="94" t="n">
        <v>16.7</v>
      </c>
      <c r="V81" s="96" t="n">
        <v>30</v>
      </c>
      <c r="W81" s="94" t="n">
        <v>17.5</v>
      </c>
      <c r="X81" s="95" t="n">
        <v>1.257</v>
      </c>
      <c r="Y81" s="95" t="n">
        <v>0.072</v>
      </c>
      <c r="Z81" s="95" t="n">
        <v>0.26</v>
      </c>
      <c r="AA81" s="94" t="n">
        <v>12.7</v>
      </c>
      <c r="AB81" s="96" t="n">
        <v>1705</v>
      </c>
      <c r="AC81" s="94" t="n">
        <v>0</v>
      </c>
      <c r="AD81" s="94" t="n">
        <v>16.7</v>
      </c>
      <c r="AE81" s="96" t="n">
        <v>19</v>
      </c>
      <c r="AF81" s="94" t="n">
        <v>22</v>
      </c>
      <c r="AG81" s="95" t="n">
        <v>3.377</v>
      </c>
      <c r="AH81" s="95" t="n">
        <v>0.153</v>
      </c>
      <c r="AI81" s="94" t="n">
        <v>0</v>
      </c>
      <c r="AJ81" s="96" t="n">
        <v>19</v>
      </c>
      <c r="AK81" s="94" t="n">
        <v>338</v>
      </c>
      <c r="AL81" s="95" t="n">
        <v>40.004</v>
      </c>
      <c r="AM81" s="95" t="n">
        <v>0.118</v>
      </c>
      <c r="AN81" s="94" t="n">
        <v>1.1</v>
      </c>
      <c r="AO81" s="43"/>
      <c r="AP81" s="43"/>
      <c r="AQ81" s="43"/>
      <c r="AR81" s="43"/>
      <c r="AS81" s="42"/>
      <c r="AT81" s="42" t="n">
        <f aca="false">Table2[[#This Row],[Object_A_._head_time]]+Table2[[#This Row],[Object_B_._head_time]]</f>
        <v>36.3</v>
      </c>
      <c r="AU81" s="42" t="n">
        <f aca="false">Table2[[#This Row],[Object_B_._head_time]]-Table2[[#This Row],[Object_A_._head_time]]</f>
        <v>-1.3</v>
      </c>
      <c r="AV81" s="40" t="n">
        <f aca="false">Table2[[#This Row],[D1: Absolute discrimination measure (D1 = B2- A2)]]/Table2[[#This Row],[E2: total exploration time in second trial E2 ( E2 = A2 + B2)]]</f>
        <v>-0.0358126721763086</v>
      </c>
      <c r="AW81" s="43" t="n">
        <f aca="false">(W81/AT81)</f>
        <v>0.482093663911846</v>
      </c>
      <c r="AX81" s="42"/>
      <c r="AY81" s="45" t="s">
        <v>71</v>
      </c>
      <c r="AZ81" s="45" t="s">
        <v>65</v>
      </c>
      <c r="BA81" s="45" t="s">
        <v>66</v>
      </c>
      <c r="BB81" s="96" t="n">
        <v>144</v>
      </c>
      <c r="BC81" s="94" t="n">
        <v>4.8</v>
      </c>
      <c r="BD81" s="45" t="s">
        <v>81</v>
      </c>
      <c r="BE81" s="97" t="n">
        <v>4</v>
      </c>
      <c r="BF81" s="45"/>
      <c r="BG81" s="87"/>
      <c r="BH81" s="87"/>
      <c r="BI81" s="87"/>
      <c r="BJ81" s="87"/>
      <c r="BK81" s="87"/>
      <c r="BL81" s="87"/>
      <c r="BM81" s="87"/>
      <c r="BN81" s="87"/>
      <c r="BO81" s="87"/>
      <c r="BP81" s="87"/>
      <c r="BQ81" s="87"/>
      <c r="BR81" s="87"/>
      <c r="BS81" s="87"/>
      <c r="BT81" s="87"/>
      <c r="BU81" s="87"/>
      <c r="BV81" s="87"/>
      <c r="BW81" s="87"/>
      <c r="BX81" s="87"/>
      <c r="BY81" s="87"/>
      <c r="BZ81" s="87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87"/>
      <c r="CM81" s="87"/>
      <c r="CN81" s="87"/>
      <c r="CO81" s="87"/>
      <c r="CP81" s="87"/>
      <c r="CQ81" s="87"/>
      <c r="CR81" s="87"/>
      <c r="CS81" s="87"/>
      <c r="CT81" s="87"/>
      <c r="CU81" s="98"/>
    </row>
    <row r="82" s="99" customFormat="true" ht="12" hidden="false" customHeight="true" outlineLevel="0" collapsed="false">
      <c r="A82" s="45" t="n">
        <v>123</v>
      </c>
      <c r="B82" s="45" t="s">
        <v>174</v>
      </c>
      <c r="C82" s="45" t="s">
        <v>190</v>
      </c>
      <c r="D82" s="45" t="s">
        <v>69</v>
      </c>
      <c r="E82" s="45" t="s">
        <v>310</v>
      </c>
      <c r="F82" s="45" t="s">
        <v>282</v>
      </c>
      <c r="G82" s="45" t="s">
        <v>424</v>
      </c>
      <c r="H82" s="94" t="n">
        <v>360</v>
      </c>
      <c r="I82" s="95" t="n">
        <v>9.262</v>
      </c>
      <c r="J82" s="95" t="n">
        <v>0.026</v>
      </c>
      <c r="K82" s="95" t="n">
        <v>0.258</v>
      </c>
      <c r="L82" s="94" t="n">
        <v>110.9</v>
      </c>
      <c r="M82" s="96" t="n">
        <v>23</v>
      </c>
      <c r="N82" s="94" t="n">
        <v>40.2</v>
      </c>
      <c r="O82" s="95" t="n">
        <v>1.106</v>
      </c>
      <c r="P82" s="95" t="n">
        <v>0.028</v>
      </c>
      <c r="Q82" s="95" t="n">
        <v>0.205</v>
      </c>
      <c r="R82" s="94" t="n">
        <v>5</v>
      </c>
      <c r="S82" s="96" t="n">
        <v>2611</v>
      </c>
      <c r="T82" s="94" t="n">
        <v>8.1</v>
      </c>
      <c r="U82" s="94" t="n">
        <v>13.3</v>
      </c>
      <c r="V82" s="96" t="n">
        <v>21</v>
      </c>
      <c r="W82" s="94" t="n">
        <v>104.2</v>
      </c>
      <c r="X82" s="95" t="n">
        <v>1.289</v>
      </c>
      <c r="Y82" s="95" t="n">
        <v>0.012</v>
      </c>
      <c r="Z82" s="95" t="n">
        <v>0.237</v>
      </c>
      <c r="AA82" s="94" t="n">
        <v>56.5</v>
      </c>
      <c r="AB82" s="96" t="n">
        <v>4926</v>
      </c>
      <c r="AC82" s="94" t="n">
        <v>50.4</v>
      </c>
      <c r="AD82" s="94" t="n">
        <v>87.2</v>
      </c>
      <c r="AE82" s="96" t="n">
        <v>14</v>
      </c>
      <c r="AF82" s="94" t="n">
        <v>75.5</v>
      </c>
      <c r="AG82" s="95" t="n">
        <v>2.51</v>
      </c>
      <c r="AH82" s="95" t="n">
        <v>0.033</v>
      </c>
      <c r="AI82" s="94" t="n">
        <v>15.6</v>
      </c>
      <c r="AJ82" s="96" t="n">
        <v>15</v>
      </c>
      <c r="AK82" s="94" t="n">
        <v>284.5</v>
      </c>
      <c r="AL82" s="95" t="n">
        <v>6.753</v>
      </c>
      <c r="AM82" s="95" t="n">
        <v>0.024</v>
      </c>
      <c r="AN82" s="94" t="n">
        <v>95.3</v>
      </c>
      <c r="AO82" s="43"/>
      <c r="AP82" s="43"/>
      <c r="AQ82" s="43"/>
      <c r="AR82" s="43"/>
      <c r="AS82" s="42"/>
      <c r="AT82" s="42" t="n">
        <f aca="false">Table2[[#This Row],[Object_A_._head_time]]+Table2[[#This Row],[Object_B_._head_time]]</f>
        <v>144.4</v>
      </c>
      <c r="AU82" s="42" t="n">
        <f aca="false">Table2[[#This Row],[Object_B_._head_time]]-Table2[[#This Row],[Object_A_._head_time]]</f>
        <v>64</v>
      </c>
      <c r="AV82" s="40" t="n">
        <f aca="false">Table2[[#This Row],[D1: Absolute discrimination measure (D1 = B2- A2)]]/Table2[[#This Row],[E2: total exploration time in second trial E2 ( E2 = A2 + B2)]]</f>
        <v>0.443213296398892</v>
      </c>
      <c r="AW82" s="43" t="n">
        <f aca="false">(W82/AT82)</f>
        <v>0.721606648199446</v>
      </c>
      <c r="AX82" s="42"/>
      <c r="AY82" s="45" t="s">
        <v>71</v>
      </c>
      <c r="AZ82" s="45" t="s">
        <v>65</v>
      </c>
      <c r="BA82" s="45" t="s">
        <v>72</v>
      </c>
      <c r="BB82" s="96" t="n">
        <v>144</v>
      </c>
      <c r="BC82" s="94" t="n">
        <v>4.8</v>
      </c>
      <c r="BD82" s="45" t="s">
        <v>81</v>
      </c>
      <c r="BE82" s="97" t="n">
        <v>2</v>
      </c>
      <c r="BF82" s="45"/>
      <c r="BG82" s="87"/>
      <c r="BH82" s="87"/>
      <c r="BI82" s="87"/>
      <c r="BJ82" s="87"/>
      <c r="BK82" s="87"/>
      <c r="BL82" s="87"/>
      <c r="BM82" s="87"/>
      <c r="BN82" s="87"/>
      <c r="BO82" s="87"/>
      <c r="BP82" s="87"/>
      <c r="BQ82" s="87"/>
      <c r="BR82" s="87"/>
      <c r="BS82" s="87"/>
      <c r="BT82" s="87"/>
      <c r="BU82" s="87"/>
      <c r="BV82" s="87"/>
      <c r="BW82" s="87"/>
      <c r="BX82" s="87"/>
      <c r="BY82" s="87"/>
      <c r="BZ82" s="87"/>
      <c r="CA82" s="87"/>
      <c r="CB82" s="87"/>
      <c r="CC82" s="87"/>
      <c r="CD82" s="87"/>
      <c r="CE82" s="87"/>
      <c r="CF82" s="87"/>
      <c r="CG82" s="87"/>
      <c r="CH82" s="87"/>
      <c r="CI82" s="87"/>
      <c r="CJ82" s="87"/>
      <c r="CK82" s="87"/>
      <c r="CL82" s="87"/>
      <c r="CM82" s="87"/>
      <c r="CN82" s="87"/>
      <c r="CO82" s="87"/>
      <c r="CP82" s="87"/>
      <c r="CQ82" s="87"/>
      <c r="CR82" s="87"/>
      <c r="CS82" s="87"/>
      <c r="CT82" s="87"/>
      <c r="CU82" s="98"/>
    </row>
    <row r="83" s="99" customFormat="true" ht="12" hidden="false" customHeight="true" outlineLevel="0" collapsed="false">
      <c r="A83" s="45" t="n">
        <v>125</v>
      </c>
      <c r="B83" s="45" t="s">
        <v>177</v>
      </c>
      <c r="C83" s="45" t="s">
        <v>190</v>
      </c>
      <c r="D83" s="45" t="s">
        <v>74</v>
      </c>
      <c r="E83" s="45" t="s">
        <v>310</v>
      </c>
      <c r="F83" s="45" t="s">
        <v>282</v>
      </c>
      <c r="G83" s="45" t="s">
        <v>425</v>
      </c>
      <c r="H83" s="94" t="n">
        <v>360</v>
      </c>
      <c r="I83" s="95" t="n">
        <v>7.198</v>
      </c>
      <c r="J83" s="95" t="n">
        <v>0.02</v>
      </c>
      <c r="K83" s="95" t="n">
        <v>0.228</v>
      </c>
      <c r="L83" s="94" t="n">
        <v>105.2</v>
      </c>
      <c r="M83" s="96" t="n">
        <v>20</v>
      </c>
      <c r="N83" s="94" t="n">
        <v>28</v>
      </c>
      <c r="O83" s="95" t="n">
        <v>1.275</v>
      </c>
      <c r="P83" s="95" t="n">
        <v>0.046</v>
      </c>
      <c r="Q83" s="95" t="n">
        <v>0.204</v>
      </c>
      <c r="R83" s="94" t="n">
        <v>4.1</v>
      </c>
      <c r="S83" s="96" t="n">
        <v>2231</v>
      </c>
      <c r="T83" s="94" t="n">
        <v>0</v>
      </c>
      <c r="U83" s="94" t="n">
        <v>4.4</v>
      </c>
      <c r="V83" s="96" t="n">
        <v>8</v>
      </c>
      <c r="W83" s="94" t="n">
        <v>9.5</v>
      </c>
      <c r="X83" s="95" t="n">
        <v>0.506</v>
      </c>
      <c r="Y83" s="95" t="n">
        <v>0.053</v>
      </c>
      <c r="Z83" s="95" t="n">
        <v>0.183</v>
      </c>
      <c r="AA83" s="94" t="n">
        <v>3.3</v>
      </c>
      <c r="AB83" s="96" t="n">
        <v>874</v>
      </c>
      <c r="AC83" s="94" t="n">
        <v>0</v>
      </c>
      <c r="AD83" s="94" t="n">
        <v>2.7</v>
      </c>
      <c r="AE83" s="96" t="n">
        <v>7</v>
      </c>
      <c r="AF83" s="94" t="n">
        <v>17.1</v>
      </c>
      <c r="AG83" s="95" t="n">
        <v>1.058</v>
      </c>
      <c r="AH83" s="95" t="n">
        <v>0.062</v>
      </c>
      <c r="AI83" s="94" t="n">
        <v>0</v>
      </c>
      <c r="AJ83" s="96" t="n">
        <v>8</v>
      </c>
      <c r="AK83" s="94" t="n">
        <v>342.9</v>
      </c>
      <c r="AL83" s="95" t="n">
        <v>6.14</v>
      </c>
      <c r="AM83" s="95" t="n">
        <v>0.018</v>
      </c>
      <c r="AN83" s="94" t="n">
        <v>105.2</v>
      </c>
      <c r="AO83" s="43"/>
      <c r="AP83" s="43"/>
      <c r="AQ83" s="43"/>
      <c r="AR83" s="43"/>
      <c r="AS83" s="42"/>
      <c r="AT83" s="42" t="n">
        <f aca="false">Table2[[#This Row],[Object_A_._head_time]]+Table2[[#This Row],[Object_B_._head_time]]</f>
        <v>37.5</v>
      </c>
      <c r="AU83" s="42" t="n">
        <f aca="false">Table2[[#This Row],[Object_B_._head_time]]-Table2[[#This Row],[Object_A_._head_time]]</f>
        <v>-18.5</v>
      </c>
      <c r="AV83" s="40" t="n">
        <f aca="false">Table2[[#This Row],[D1: Absolute discrimination measure (D1 = B2- A2)]]/Table2[[#This Row],[E2: total exploration time in second trial E2 ( E2 = A2 + B2)]]</f>
        <v>-0.493333333333333</v>
      </c>
      <c r="AW83" s="43" t="n">
        <f aca="false">(W83/AT83)</f>
        <v>0.253333333333333</v>
      </c>
      <c r="AX83" s="42"/>
      <c r="AY83" s="45" t="s">
        <v>64</v>
      </c>
      <c r="AZ83" s="45" t="s">
        <v>65</v>
      </c>
      <c r="BA83" s="45" t="s">
        <v>72</v>
      </c>
      <c r="BB83" s="96" t="n">
        <v>143</v>
      </c>
      <c r="BC83" s="94" t="n">
        <v>4.76666666666667</v>
      </c>
      <c r="BD83" s="45" t="s">
        <v>67</v>
      </c>
      <c r="BE83" s="97" t="n">
        <v>1</v>
      </c>
      <c r="BF83" s="45" t="s">
        <v>179</v>
      </c>
      <c r="BG83" s="87"/>
      <c r="BH83" s="87"/>
      <c r="BI83" s="87"/>
      <c r="BJ83" s="87"/>
      <c r="BK83" s="87"/>
      <c r="BL83" s="87"/>
      <c r="BM83" s="87"/>
      <c r="BN83" s="87"/>
      <c r="BO83" s="87"/>
      <c r="BP83" s="87"/>
      <c r="BQ83" s="87"/>
      <c r="BR83" s="87"/>
      <c r="BS83" s="87"/>
      <c r="BT83" s="87"/>
      <c r="BU83" s="87"/>
      <c r="BV83" s="87"/>
      <c r="BW83" s="87"/>
      <c r="BX83" s="87"/>
      <c r="BY83" s="87"/>
      <c r="BZ83" s="87"/>
      <c r="CA83" s="87"/>
      <c r="CB83" s="87"/>
      <c r="CC83" s="87"/>
      <c r="CD83" s="87"/>
      <c r="CE83" s="87"/>
      <c r="CF83" s="87"/>
      <c r="CG83" s="87"/>
      <c r="CH83" s="87"/>
      <c r="CI83" s="87"/>
      <c r="CJ83" s="87"/>
      <c r="CK83" s="87"/>
      <c r="CL83" s="87"/>
      <c r="CM83" s="87"/>
      <c r="CN83" s="87"/>
      <c r="CO83" s="87"/>
      <c r="CP83" s="87"/>
      <c r="CQ83" s="87"/>
      <c r="CR83" s="87"/>
      <c r="CS83" s="87"/>
      <c r="CT83" s="87"/>
      <c r="CU83" s="98"/>
    </row>
    <row r="84" s="99" customFormat="true" ht="12" hidden="false" customHeight="true" outlineLevel="0" collapsed="false">
      <c r="A84" s="45" t="n">
        <v>126</v>
      </c>
      <c r="B84" s="45" t="s">
        <v>180</v>
      </c>
      <c r="C84" s="45" t="s">
        <v>190</v>
      </c>
      <c r="D84" s="45" t="s">
        <v>79</v>
      </c>
      <c r="E84" s="45" t="s">
        <v>310</v>
      </c>
      <c r="F84" s="45" t="s">
        <v>282</v>
      </c>
      <c r="G84" s="45" t="s">
        <v>426</v>
      </c>
      <c r="H84" s="94" t="n">
        <v>360</v>
      </c>
      <c r="I84" s="95" t="n">
        <v>19.149</v>
      </c>
      <c r="J84" s="95" t="n">
        <v>0.053</v>
      </c>
      <c r="K84" s="95" t="n">
        <v>0.284</v>
      </c>
      <c r="L84" s="94" t="n">
        <v>1.6</v>
      </c>
      <c r="M84" s="96" t="n">
        <v>28</v>
      </c>
      <c r="N84" s="94" t="n">
        <v>25.1</v>
      </c>
      <c r="O84" s="95" t="n">
        <v>1.084</v>
      </c>
      <c r="P84" s="95" t="n">
        <v>0.043</v>
      </c>
      <c r="Q84" s="95" t="n">
        <v>0.213</v>
      </c>
      <c r="R84" s="94" t="n">
        <v>12</v>
      </c>
      <c r="S84" s="96" t="n">
        <v>1936</v>
      </c>
      <c r="T84" s="94" t="n">
        <v>0</v>
      </c>
      <c r="U84" s="94" t="n">
        <v>12.3</v>
      </c>
      <c r="V84" s="96" t="n">
        <v>32</v>
      </c>
      <c r="W84" s="94" t="n">
        <v>63.6</v>
      </c>
      <c r="X84" s="95" t="n">
        <v>1.946</v>
      </c>
      <c r="Y84" s="95" t="n">
        <v>0.031</v>
      </c>
      <c r="Z84" s="95" t="n">
        <v>0.228</v>
      </c>
      <c r="AA84" s="94" t="n">
        <v>21.3</v>
      </c>
      <c r="AB84" s="96" t="n">
        <v>4379</v>
      </c>
      <c r="AC84" s="94" t="n">
        <v>0</v>
      </c>
      <c r="AD84" s="94" t="n">
        <v>16.7</v>
      </c>
      <c r="AE84" s="96" t="n">
        <v>22</v>
      </c>
      <c r="AF84" s="94" t="n">
        <v>38.2</v>
      </c>
      <c r="AG84" s="95" t="n">
        <v>3.014</v>
      </c>
      <c r="AH84" s="95" t="n">
        <v>0.079</v>
      </c>
      <c r="AI84" s="94" t="n">
        <v>0</v>
      </c>
      <c r="AJ84" s="96" t="n">
        <v>22</v>
      </c>
      <c r="AK84" s="94" t="n">
        <v>321.8</v>
      </c>
      <c r="AL84" s="95" t="n">
        <v>16.136</v>
      </c>
      <c r="AM84" s="95" t="n">
        <v>0.05</v>
      </c>
      <c r="AN84" s="94" t="n">
        <v>1.6</v>
      </c>
      <c r="AO84" s="43"/>
      <c r="AP84" s="43"/>
      <c r="AQ84" s="43"/>
      <c r="AR84" s="43"/>
      <c r="AS84" s="42"/>
      <c r="AT84" s="42" t="n">
        <f aca="false">Table2[[#This Row],[Object_A_._head_time]]+Table2[[#This Row],[Object_B_._head_time]]</f>
        <v>88.7</v>
      </c>
      <c r="AU84" s="42" t="n">
        <f aca="false">Table2[[#This Row],[Object_B_._head_time]]-Table2[[#This Row],[Object_A_._head_time]]</f>
        <v>38.5</v>
      </c>
      <c r="AV84" s="40" t="n">
        <f aca="false">Table2[[#This Row],[D1: Absolute discrimination measure (D1 = B2- A2)]]/Table2[[#This Row],[E2: total exploration time in second trial E2 ( E2 = A2 + B2)]]</f>
        <v>0.434047350620068</v>
      </c>
      <c r="AW84" s="43" t="n">
        <f aca="false">(W84/AT84)</f>
        <v>0.717023675310034</v>
      </c>
      <c r="AX84" s="42"/>
      <c r="AY84" s="45" t="s">
        <v>71</v>
      </c>
      <c r="AZ84" s="45" t="s">
        <v>65</v>
      </c>
      <c r="BA84" s="45" t="s">
        <v>72</v>
      </c>
      <c r="BB84" s="96" t="n">
        <v>136</v>
      </c>
      <c r="BC84" s="94" t="n">
        <v>4.53333333333333</v>
      </c>
      <c r="BD84" s="45" t="s">
        <v>81</v>
      </c>
      <c r="BE84" s="97" t="n">
        <v>2</v>
      </c>
      <c r="BF84" s="45" t="s">
        <v>182</v>
      </c>
      <c r="BG84" s="87"/>
      <c r="BH84" s="87"/>
      <c r="BI84" s="87"/>
      <c r="BJ84" s="87"/>
      <c r="BK84" s="87"/>
      <c r="BL84" s="87"/>
      <c r="BM84" s="87"/>
      <c r="BN84" s="87"/>
      <c r="BO84" s="87"/>
      <c r="BP84" s="87"/>
      <c r="BQ84" s="87"/>
      <c r="BR84" s="87"/>
      <c r="BS84" s="87"/>
      <c r="BT84" s="87"/>
      <c r="BU84" s="87"/>
      <c r="BV84" s="87"/>
      <c r="BW84" s="87"/>
      <c r="BX84" s="87"/>
      <c r="BY84" s="87"/>
      <c r="BZ84" s="87"/>
      <c r="CA84" s="87"/>
      <c r="CB84" s="87"/>
      <c r="CC84" s="87"/>
      <c r="CD84" s="87"/>
      <c r="CE84" s="87"/>
      <c r="CF84" s="87"/>
      <c r="CG84" s="87"/>
      <c r="CH84" s="87"/>
      <c r="CI84" s="87"/>
      <c r="CJ84" s="87"/>
      <c r="CK84" s="87"/>
      <c r="CL84" s="87"/>
      <c r="CM84" s="87"/>
      <c r="CN84" s="87"/>
      <c r="CO84" s="87"/>
      <c r="CP84" s="87"/>
      <c r="CQ84" s="87"/>
      <c r="CR84" s="87"/>
      <c r="CS84" s="87"/>
      <c r="CT84" s="87"/>
      <c r="CU84" s="98"/>
    </row>
    <row r="85" s="99" customFormat="true" ht="12" hidden="false" customHeight="true" outlineLevel="0" collapsed="false">
      <c r="A85" s="45" t="n">
        <v>128</v>
      </c>
      <c r="B85" s="45" t="s">
        <v>183</v>
      </c>
      <c r="C85" s="45" t="s">
        <v>190</v>
      </c>
      <c r="D85" s="45" t="s">
        <v>60</v>
      </c>
      <c r="E85" s="45" t="s">
        <v>310</v>
      </c>
      <c r="F85" s="45" t="s">
        <v>427</v>
      </c>
      <c r="G85" s="45" t="s">
        <v>428</v>
      </c>
      <c r="H85" s="94" t="n">
        <v>360</v>
      </c>
      <c r="I85" s="95" t="n">
        <v>10.755</v>
      </c>
      <c r="J85" s="95" t="n">
        <v>0.03</v>
      </c>
      <c r="K85" s="95" t="n">
        <v>0.265</v>
      </c>
      <c r="L85" s="94" t="n">
        <v>95.1</v>
      </c>
      <c r="M85" s="96" t="n">
        <v>13</v>
      </c>
      <c r="N85" s="94" t="n">
        <v>14.6</v>
      </c>
      <c r="O85" s="95" t="n">
        <v>0.517</v>
      </c>
      <c r="P85" s="95" t="n">
        <v>0.035</v>
      </c>
      <c r="Q85" s="95" t="n">
        <v>0.169</v>
      </c>
      <c r="R85" s="94" t="n">
        <v>7.2</v>
      </c>
      <c r="S85" s="96" t="n">
        <v>1136</v>
      </c>
      <c r="T85" s="94" t="n">
        <v>0</v>
      </c>
      <c r="U85" s="94" t="n">
        <v>8.7</v>
      </c>
      <c r="V85" s="96" t="n">
        <v>11</v>
      </c>
      <c r="W85" s="94" t="n">
        <v>11.8</v>
      </c>
      <c r="X85" s="95" t="n">
        <v>0.243</v>
      </c>
      <c r="Y85" s="95" t="n">
        <v>0.021</v>
      </c>
      <c r="Z85" s="95" t="n">
        <v>0.131</v>
      </c>
      <c r="AA85" s="94" t="n">
        <v>8.2</v>
      </c>
      <c r="AB85" s="96" t="n">
        <v>833</v>
      </c>
      <c r="AC85" s="94" t="n">
        <v>0</v>
      </c>
      <c r="AD85" s="94" t="n">
        <v>9.3</v>
      </c>
      <c r="AE85" s="96" t="n">
        <v>9</v>
      </c>
      <c r="AF85" s="94" t="n">
        <v>10.1</v>
      </c>
      <c r="AG85" s="95" t="n">
        <v>0.831</v>
      </c>
      <c r="AH85" s="95" t="n">
        <v>0.082</v>
      </c>
      <c r="AI85" s="94" t="n">
        <v>0</v>
      </c>
      <c r="AJ85" s="96" t="n">
        <v>10</v>
      </c>
      <c r="AK85" s="94" t="n">
        <v>349.9</v>
      </c>
      <c r="AL85" s="95" t="n">
        <v>9.924</v>
      </c>
      <c r="AM85" s="95" t="n">
        <v>0.028</v>
      </c>
      <c r="AN85" s="94" t="n">
        <v>95.1</v>
      </c>
      <c r="AO85" s="43"/>
      <c r="AP85" s="43"/>
      <c r="AQ85" s="43"/>
      <c r="AR85" s="43"/>
      <c r="AS85" s="42"/>
      <c r="AT85" s="42" t="n">
        <f aca="false">Table2[[#This Row],[Object_A_._head_time]]+Table2[[#This Row],[Object_B_._head_time]]</f>
        <v>26.4</v>
      </c>
      <c r="AU85" s="42" t="n">
        <f aca="false">Table2[[#This Row],[Object_B_._head_time]]-Table2[[#This Row],[Object_A_._head_time]]</f>
        <v>-2.8</v>
      </c>
      <c r="AV85" s="40" t="n">
        <f aca="false">Table2[[#This Row],[D1: Absolute discrimination measure (D1 = B2- A2)]]/Table2[[#This Row],[E2: total exploration time in second trial E2 ( E2 = A2 + B2)]]</f>
        <v>-0.106060606060606</v>
      </c>
      <c r="AW85" s="43" t="n">
        <f aca="false">(W85/AT85)</f>
        <v>0.446969696969697</v>
      </c>
      <c r="AX85" s="42"/>
      <c r="AY85" s="45" t="s">
        <v>71</v>
      </c>
      <c r="AZ85" s="45" t="s">
        <v>76</v>
      </c>
      <c r="BA85" s="45" t="s">
        <v>72</v>
      </c>
      <c r="BB85" s="96" t="n">
        <v>125</v>
      </c>
      <c r="BC85" s="94" t="n">
        <v>4.16666666666667</v>
      </c>
      <c r="BD85" s="94" t="s">
        <v>67</v>
      </c>
      <c r="BE85" s="97" t="n">
        <v>5</v>
      </c>
      <c r="BF85" s="45"/>
      <c r="BG85" s="87"/>
      <c r="BH85" s="87"/>
      <c r="BI85" s="87"/>
      <c r="BJ85" s="87"/>
      <c r="BK85" s="87"/>
      <c r="BL85" s="87"/>
      <c r="BM85" s="87"/>
      <c r="BN85" s="87"/>
      <c r="BO85" s="87"/>
      <c r="BP85" s="87"/>
      <c r="BQ85" s="87"/>
      <c r="BR85" s="87"/>
      <c r="BS85" s="87"/>
      <c r="BT85" s="87"/>
      <c r="BU85" s="87"/>
      <c r="BV85" s="87"/>
      <c r="BW85" s="87"/>
      <c r="BX85" s="87"/>
      <c r="BY85" s="87"/>
      <c r="BZ85" s="87"/>
      <c r="CA85" s="87"/>
      <c r="CB85" s="87"/>
      <c r="CC85" s="87"/>
      <c r="CD85" s="87"/>
      <c r="CE85" s="87"/>
      <c r="CF85" s="87"/>
      <c r="CG85" s="87"/>
      <c r="CH85" s="87"/>
      <c r="CI85" s="87"/>
      <c r="CJ85" s="87"/>
      <c r="CK85" s="87"/>
      <c r="CL85" s="87"/>
      <c r="CM85" s="87"/>
      <c r="CN85" s="87"/>
      <c r="CO85" s="87"/>
      <c r="CP85" s="87"/>
      <c r="CQ85" s="87"/>
      <c r="CR85" s="87"/>
      <c r="CS85" s="87"/>
      <c r="CT85" s="87"/>
      <c r="CU85" s="98"/>
    </row>
    <row r="86" s="99" customFormat="true" ht="12" hidden="false" customHeight="true" outlineLevel="0" collapsed="false">
      <c r="A86" s="45" t="n">
        <v>127</v>
      </c>
      <c r="B86" s="45" t="s">
        <v>185</v>
      </c>
      <c r="C86" s="45" t="s">
        <v>190</v>
      </c>
      <c r="D86" s="45" t="s">
        <v>69</v>
      </c>
      <c r="E86" s="45" t="s">
        <v>310</v>
      </c>
      <c r="F86" s="45" t="s">
        <v>427</v>
      </c>
      <c r="G86" s="45" t="s">
        <v>429</v>
      </c>
      <c r="H86" s="94" t="n">
        <v>360</v>
      </c>
      <c r="I86" s="95" t="n">
        <v>10.329</v>
      </c>
      <c r="J86" s="95" t="n">
        <v>0.029</v>
      </c>
      <c r="K86" s="95" t="n">
        <v>0.25</v>
      </c>
      <c r="L86" s="94" t="n">
        <v>32.1</v>
      </c>
      <c r="M86" s="96" t="n">
        <v>29</v>
      </c>
      <c r="N86" s="94" t="n">
        <v>37.6</v>
      </c>
      <c r="O86" s="95" t="n">
        <v>0.533</v>
      </c>
      <c r="P86" s="95" t="n">
        <v>0.014</v>
      </c>
      <c r="Q86" s="95" t="n">
        <v>0.151</v>
      </c>
      <c r="R86" s="94" t="n">
        <v>20.5</v>
      </c>
      <c r="S86" s="96" t="n">
        <v>2041</v>
      </c>
      <c r="T86" s="94" t="n">
        <v>2.7</v>
      </c>
      <c r="U86" s="94" t="n">
        <v>28.2</v>
      </c>
      <c r="V86" s="96" t="n">
        <v>17</v>
      </c>
      <c r="W86" s="94" t="n">
        <v>25.6</v>
      </c>
      <c r="X86" s="95" t="n">
        <v>0.306</v>
      </c>
      <c r="Y86" s="95" t="n">
        <v>0.012</v>
      </c>
      <c r="Z86" s="95" t="n">
        <v>0.172</v>
      </c>
      <c r="AA86" s="94" t="n">
        <v>10.1</v>
      </c>
      <c r="AB86" s="96" t="n">
        <v>1482</v>
      </c>
      <c r="AC86" s="94" t="n">
        <v>2.9</v>
      </c>
      <c r="AD86" s="94" t="n">
        <v>20.4</v>
      </c>
      <c r="AE86" s="96" t="n">
        <v>7</v>
      </c>
      <c r="AF86" s="94" t="n">
        <v>9.3</v>
      </c>
      <c r="AG86" s="95" t="n">
        <v>0.778</v>
      </c>
      <c r="AH86" s="95" t="n">
        <v>0.083</v>
      </c>
      <c r="AI86" s="94" t="n">
        <v>0</v>
      </c>
      <c r="AJ86" s="96" t="n">
        <v>7</v>
      </c>
      <c r="AK86" s="94" t="n">
        <v>350.7</v>
      </c>
      <c r="AL86" s="95" t="n">
        <v>9.551</v>
      </c>
      <c r="AM86" s="95" t="n">
        <v>0.027</v>
      </c>
      <c r="AN86" s="94" t="n">
        <v>32.1</v>
      </c>
      <c r="AO86" s="43"/>
      <c r="AP86" s="43"/>
      <c r="AQ86" s="43"/>
      <c r="AR86" s="43"/>
      <c r="AS86" s="42"/>
      <c r="AT86" s="42" t="n">
        <f aca="false">Table2[[#This Row],[Object_A_._head_time]]+Table2[[#This Row],[Object_B_._head_time]]</f>
        <v>63.2</v>
      </c>
      <c r="AU86" s="42" t="n">
        <f aca="false">Table2[[#This Row],[Object_B_._head_time]]-Table2[[#This Row],[Object_A_._head_time]]</f>
        <v>-12</v>
      </c>
      <c r="AV86" s="40" t="n">
        <f aca="false">Table2[[#This Row],[D1: Absolute discrimination measure (D1 = B2- A2)]]/Table2[[#This Row],[E2: total exploration time in second trial E2 ( E2 = A2 + B2)]]</f>
        <v>-0.189873417721519</v>
      </c>
      <c r="AW86" s="43" t="n">
        <f aca="false">(W86/AT86)</f>
        <v>0.40506329113924</v>
      </c>
      <c r="AX86" s="42"/>
      <c r="AY86" s="45" t="s">
        <v>71</v>
      </c>
      <c r="AZ86" s="45" t="s">
        <v>76</v>
      </c>
      <c r="BA86" s="45" t="s">
        <v>66</v>
      </c>
      <c r="BB86" s="96" t="n">
        <v>125</v>
      </c>
      <c r="BC86" s="94" t="n">
        <v>4.16666666666667</v>
      </c>
      <c r="BD86" s="94" t="s">
        <v>81</v>
      </c>
      <c r="BE86" s="97" t="n">
        <v>8</v>
      </c>
      <c r="BF86" s="45"/>
      <c r="BG86" s="87"/>
      <c r="BH86" s="87"/>
      <c r="BI86" s="87"/>
      <c r="BJ86" s="87"/>
      <c r="BK86" s="87"/>
      <c r="BL86" s="87"/>
      <c r="BM86" s="87"/>
      <c r="BN86" s="87"/>
      <c r="BO86" s="87"/>
      <c r="BP86" s="87"/>
      <c r="BQ86" s="87"/>
      <c r="BR86" s="87"/>
      <c r="BS86" s="87"/>
      <c r="BT86" s="87"/>
      <c r="BU86" s="87"/>
      <c r="BV86" s="87"/>
      <c r="BW86" s="87"/>
      <c r="BX86" s="87"/>
      <c r="BY86" s="87"/>
      <c r="BZ86" s="87"/>
      <c r="CA86" s="87"/>
      <c r="CB86" s="87"/>
      <c r="CC86" s="87"/>
      <c r="CD86" s="87"/>
      <c r="CE86" s="87"/>
      <c r="CF86" s="87"/>
      <c r="CG86" s="87"/>
      <c r="CH86" s="87"/>
      <c r="CI86" s="87"/>
      <c r="CJ86" s="87"/>
      <c r="CK86" s="87"/>
      <c r="CL86" s="87"/>
      <c r="CM86" s="87"/>
      <c r="CN86" s="87"/>
      <c r="CO86" s="87"/>
      <c r="CP86" s="87"/>
      <c r="CQ86" s="87"/>
      <c r="CR86" s="87"/>
      <c r="CS86" s="87"/>
      <c r="CT86" s="87"/>
      <c r="CU86" s="98"/>
    </row>
    <row r="87" s="99" customFormat="true" ht="12" hidden="false" customHeight="true" outlineLevel="0" collapsed="false">
      <c r="A87" s="45" t="n">
        <v>129</v>
      </c>
      <c r="B87" s="45" t="s">
        <v>188</v>
      </c>
      <c r="C87" s="45" t="s">
        <v>190</v>
      </c>
      <c r="D87" s="45" t="s">
        <v>74</v>
      </c>
      <c r="E87" s="45" t="s">
        <v>310</v>
      </c>
      <c r="F87" s="45" t="s">
        <v>430</v>
      </c>
      <c r="G87" s="45" t="s">
        <v>431</v>
      </c>
      <c r="H87" s="94" t="n">
        <v>360</v>
      </c>
      <c r="I87" s="95" t="n">
        <v>7.629</v>
      </c>
      <c r="J87" s="95" t="n">
        <v>0.021</v>
      </c>
      <c r="K87" s="95" t="n">
        <v>0.265</v>
      </c>
      <c r="L87" s="94" t="n">
        <v>135.4</v>
      </c>
      <c r="M87" s="96" t="n">
        <v>13</v>
      </c>
      <c r="N87" s="94" t="n">
        <v>14.8</v>
      </c>
      <c r="O87" s="95" t="n">
        <v>0.769</v>
      </c>
      <c r="P87" s="95" t="n">
        <v>0.052</v>
      </c>
      <c r="Q87" s="95" t="n">
        <v>0.212</v>
      </c>
      <c r="R87" s="94" t="n">
        <v>3.6</v>
      </c>
      <c r="S87" s="96" t="n">
        <v>801</v>
      </c>
      <c r="T87" s="94" t="n">
        <v>0</v>
      </c>
      <c r="U87" s="94" t="n">
        <v>5.5</v>
      </c>
      <c r="V87" s="96" t="n">
        <v>5</v>
      </c>
      <c r="W87" s="94" t="n">
        <v>13.6</v>
      </c>
      <c r="X87" s="95" t="n">
        <v>0.521</v>
      </c>
      <c r="Y87" s="95" t="n">
        <v>0.038</v>
      </c>
      <c r="Z87" s="95" t="n">
        <v>0.222</v>
      </c>
      <c r="AA87" s="94" t="n">
        <v>1.6</v>
      </c>
      <c r="AB87" s="96" t="n">
        <v>1087</v>
      </c>
      <c r="AC87" s="94" t="n">
        <v>0</v>
      </c>
      <c r="AD87" s="94" t="n">
        <v>1.5</v>
      </c>
      <c r="AE87" s="96" t="n">
        <v>6</v>
      </c>
      <c r="AF87" s="94" t="n">
        <v>5.2</v>
      </c>
      <c r="AG87" s="95" t="n">
        <v>0.752</v>
      </c>
      <c r="AH87" s="95" t="n">
        <v>0.143</v>
      </c>
      <c r="AI87" s="94" t="n">
        <v>0</v>
      </c>
      <c r="AJ87" s="96" t="n">
        <v>6</v>
      </c>
      <c r="AK87" s="94" t="n">
        <v>354.8</v>
      </c>
      <c r="AL87" s="95" t="n">
        <v>6.878</v>
      </c>
      <c r="AM87" s="95" t="n">
        <v>0.019</v>
      </c>
      <c r="AN87" s="94" t="n">
        <v>135.4</v>
      </c>
      <c r="AO87" s="43"/>
      <c r="AP87" s="43"/>
      <c r="AQ87" s="43"/>
      <c r="AR87" s="43"/>
      <c r="AS87" s="42"/>
      <c r="AT87" s="42" t="n">
        <f aca="false">Table2[[#This Row],[Object_A_._head_time]]+Table2[[#This Row],[Object_B_._head_time]]</f>
        <v>28.4</v>
      </c>
      <c r="AU87" s="42" t="n">
        <f aca="false">Table2[[#This Row],[Object_B_._head_time]]-Table2[[#This Row],[Object_A_._head_time]]</f>
        <v>-1.2</v>
      </c>
      <c r="AV87" s="40" t="n">
        <f aca="false">Table2[[#This Row],[D1: Absolute discrimination measure (D1 = B2- A2)]]/Table2[[#This Row],[E2: total exploration time in second trial E2 ( E2 = A2 + B2)]]</f>
        <v>-0.0422535211267606</v>
      </c>
      <c r="AW87" s="43" t="n">
        <f aca="false">(W87/AT87)</f>
        <v>0.47887323943662</v>
      </c>
      <c r="AX87" s="42"/>
      <c r="AY87" s="45" t="s">
        <v>71</v>
      </c>
      <c r="AZ87" s="45" t="s">
        <v>76</v>
      </c>
      <c r="BA87" s="45" t="s">
        <v>66</v>
      </c>
      <c r="BB87" s="96" t="n">
        <v>125</v>
      </c>
      <c r="BC87" s="94" t="n">
        <v>4.16666666666667</v>
      </c>
      <c r="BD87" s="94" t="s">
        <v>67</v>
      </c>
      <c r="BE87" s="97" t="n">
        <v>7</v>
      </c>
      <c r="BF87" s="45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7"/>
      <c r="CE87" s="87"/>
      <c r="CF87" s="87"/>
      <c r="CG87" s="87"/>
      <c r="CH87" s="87"/>
      <c r="CI87" s="87"/>
      <c r="CJ87" s="87"/>
      <c r="CK87" s="87"/>
      <c r="CL87" s="87"/>
      <c r="CM87" s="87"/>
      <c r="CN87" s="87"/>
      <c r="CO87" s="87"/>
      <c r="CP87" s="87"/>
      <c r="CQ87" s="87"/>
      <c r="CR87" s="87"/>
      <c r="CS87" s="87"/>
      <c r="CT87" s="87"/>
      <c r="CU87" s="98"/>
    </row>
    <row r="88" customFormat="false" ht="12" hidden="false" customHeight="true" outlineLevel="0" collapsed="false">
      <c r="A88" s="100" t="n">
        <v>4</v>
      </c>
      <c r="B88" s="67" t="s">
        <v>58</v>
      </c>
      <c r="C88" s="67" t="s">
        <v>250</v>
      </c>
      <c r="D88" s="67" t="s">
        <v>60</v>
      </c>
      <c r="E88" s="67" t="s">
        <v>432</v>
      </c>
      <c r="F88" s="67" t="s">
        <v>433</v>
      </c>
      <c r="G88" s="67" t="s">
        <v>434</v>
      </c>
      <c r="H88" s="101" t="n">
        <v>300</v>
      </c>
      <c r="I88" s="102" t="n">
        <v>5.113</v>
      </c>
      <c r="J88" s="102" t="n">
        <v>0.017</v>
      </c>
      <c r="K88" s="102" t="n">
        <v>0.273</v>
      </c>
      <c r="L88" s="101" t="n">
        <v>120.7</v>
      </c>
      <c r="M88" s="103" t="n">
        <v>5</v>
      </c>
      <c r="N88" s="101" t="n">
        <v>7.5</v>
      </c>
      <c r="O88" s="102" t="n">
        <v>0.427</v>
      </c>
      <c r="P88" s="102" t="n">
        <v>0.057</v>
      </c>
      <c r="Q88" s="102" t="n">
        <v>0.273</v>
      </c>
      <c r="R88" s="101" t="n">
        <v>0.3</v>
      </c>
      <c r="S88" s="103" t="n">
        <v>663</v>
      </c>
      <c r="T88" s="101" t="n">
        <v>0</v>
      </c>
      <c r="U88" s="101" t="n">
        <v>0.6</v>
      </c>
      <c r="V88" s="103" t="n">
        <v>8</v>
      </c>
      <c r="W88" s="101" t="n">
        <v>9.8</v>
      </c>
      <c r="X88" s="102" t="n">
        <v>0.298</v>
      </c>
      <c r="Y88" s="102" t="n">
        <v>0.03</v>
      </c>
      <c r="Z88" s="102" t="n">
        <v>0.254</v>
      </c>
      <c r="AA88" s="101" t="n">
        <v>1</v>
      </c>
      <c r="AB88" s="103" t="n">
        <v>647</v>
      </c>
      <c r="AC88" s="101" t="n">
        <v>0</v>
      </c>
      <c r="AD88" s="101" t="n">
        <v>0.6</v>
      </c>
      <c r="AE88" s="103" t="n">
        <v>13</v>
      </c>
      <c r="AF88" s="101" t="n">
        <v>10.9</v>
      </c>
      <c r="AG88" s="102" t="n">
        <v>1.379</v>
      </c>
      <c r="AH88" s="102" t="n">
        <v>0.127</v>
      </c>
      <c r="AI88" s="101" t="n">
        <v>0</v>
      </c>
      <c r="AJ88" s="103" t="n">
        <v>14</v>
      </c>
      <c r="AK88" s="101" t="n">
        <v>289.1</v>
      </c>
      <c r="AL88" s="102" t="n">
        <v>3.734</v>
      </c>
      <c r="AM88" s="102" t="n">
        <v>0.013</v>
      </c>
      <c r="AN88" s="101" t="n">
        <v>120.7</v>
      </c>
      <c r="AO88" s="64" t="n">
        <f aca="false">Table2[[#This Row],[Inside_._time]]/Table2[[#This Row],[Duration]]</f>
        <v>0.0363333333333333</v>
      </c>
      <c r="AP88" s="64" t="n">
        <f aca="false">Table2[[#This Row],[Outside_._time]]/Table2[[#This Row],[Duration]]</f>
        <v>0.963666666666667</v>
      </c>
      <c r="AQ88" s="64" t="n">
        <f aca="false">Table2[[#This Row],[Inside_._distance]]/Table2[[#This Row],[Distance]]</f>
        <v>0.269704674359476</v>
      </c>
      <c r="AR88" s="64" t="n">
        <f aca="false">Table2[[#This Row],[Outside_._distance]]/Table2[[#This Row],[Distance]]</f>
        <v>0.730295325640524</v>
      </c>
      <c r="AS88" s="63"/>
      <c r="AT88" s="63"/>
      <c r="AU88" s="63"/>
      <c r="AV88" s="61"/>
      <c r="AW88" s="63"/>
      <c r="AX88" s="63"/>
      <c r="AY88" s="67" t="s">
        <v>64</v>
      </c>
      <c r="AZ88" s="67" t="s">
        <v>65</v>
      </c>
      <c r="BA88" s="67" t="s">
        <v>66</v>
      </c>
      <c r="BB88" s="103" t="n">
        <v>182</v>
      </c>
      <c r="BC88" s="101" t="n">
        <v>6.06666666666667</v>
      </c>
      <c r="BD88" s="67" t="s">
        <v>67</v>
      </c>
      <c r="BE88" s="67" t="n">
        <v>3</v>
      </c>
      <c r="BF88" s="6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  <c r="CR88" s="87"/>
      <c r="CS88" s="87"/>
      <c r="CT88" s="87"/>
    </row>
    <row r="89" customFormat="false" ht="12" hidden="false" customHeight="true" outlineLevel="0" collapsed="false">
      <c r="A89" s="67" t="n">
        <v>1</v>
      </c>
      <c r="B89" s="67" t="s">
        <v>68</v>
      </c>
      <c r="C89" s="67" t="s">
        <v>250</v>
      </c>
      <c r="D89" s="67" t="s">
        <v>69</v>
      </c>
      <c r="E89" s="67" t="s">
        <v>432</v>
      </c>
      <c r="F89" s="67" t="s">
        <v>433</v>
      </c>
      <c r="G89" s="67" t="s">
        <v>435</v>
      </c>
      <c r="H89" s="101" t="n">
        <v>300</v>
      </c>
      <c r="I89" s="102" t="n">
        <v>9.318</v>
      </c>
      <c r="J89" s="102" t="n">
        <v>0.031</v>
      </c>
      <c r="K89" s="102" t="n">
        <v>0.271</v>
      </c>
      <c r="L89" s="101" t="n">
        <v>63.4</v>
      </c>
      <c r="M89" s="103" t="n">
        <v>16</v>
      </c>
      <c r="N89" s="101" t="n">
        <v>16.6</v>
      </c>
      <c r="O89" s="102" t="n">
        <v>0.632</v>
      </c>
      <c r="P89" s="102" t="n">
        <v>0.038</v>
      </c>
      <c r="Q89" s="102" t="n">
        <v>0.225</v>
      </c>
      <c r="R89" s="101" t="n">
        <v>4.5</v>
      </c>
      <c r="S89" s="103" t="n">
        <v>1611</v>
      </c>
      <c r="T89" s="101" t="n">
        <v>0</v>
      </c>
      <c r="U89" s="101" t="n">
        <v>4.3</v>
      </c>
      <c r="V89" s="103" t="n">
        <v>14</v>
      </c>
      <c r="W89" s="101" t="n">
        <v>15.8</v>
      </c>
      <c r="X89" s="102" t="n">
        <v>1.201</v>
      </c>
      <c r="Y89" s="102" t="n">
        <v>0.076</v>
      </c>
      <c r="Z89" s="102" t="n">
        <v>0.262</v>
      </c>
      <c r="AA89" s="101" t="n">
        <v>5.9</v>
      </c>
      <c r="AB89" s="103" t="n">
        <v>1225</v>
      </c>
      <c r="AC89" s="101" t="n">
        <v>0</v>
      </c>
      <c r="AD89" s="101" t="n">
        <v>5.8</v>
      </c>
      <c r="AE89" s="103" t="n">
        <v>12</v>
      </c>
      <c r="AF89" s="101" t="n">
        <v>19</v>
      </c>
      <c r="AG89" s="102" t="n">
        <v>1.528</v>
      </c>
      <c r="AH89" s="102" t="n">
        <v>0.08</v>
      </c>
      <c r="AI89" s="101" t="n">
        <v>0</v>
      </c>
      <c r="AJ89" s="103" t="n">
        <v>12</v>
      </c>
      <c r="AK89" s="101" t="n">
        <v>281</v>
      </c>
      <c r="AL89" s="102" t="n">
        <v>7.789</v>
      </c>
      <c r="AM89" s="102" t="n">
        <v>0.028</v>
      </c>
      <c r="AN89" s="101" t="n">
        <v>63.4</v>
      </c>
      <c r="AO89" s="64" t="n">
        <f aca="false">Table2[[#This Row],[Inside_._time]]/Table2[[#This Row],[Duration]]</f>
        <v>0.0633333333333333</v>
      </c>
      <c r="AP89" s="64" t="n">
        <f aca="false">Table2[[#This Row],[Outside_._time]]/Table2[[#This Row],[Duration]]</f>
        <v>0.936666666666667</v>
      </c>
      <c r="AQ89" s="64" t="n">
        <f aca="false">Table2[[#This Row],[Inside_._distance]]/Table2[[#This Row],[Distance]]</f>
        <v>0.163983687486585</v>
      </c>
      <c r="AR89" s="64" t="n">
        <f aca="false">Table2[[#This Row],[Outside_._distance]]/Table2[[#This Row],[Distance]]</f>
        <v>0.835908993346212</v>
      </c>
      <c r="AS89" s="63"/>
      <c r="AT89" s="63"/>
      <c r="AU89" s="63"/>
      <c r="AV89" s="61"/>
      <c r="AW89" s="63"/>
      <c r="AX89" s="63"/>
      <c r="AY89" s="67" t="s">
        <v>71</v>
      </c>
      <c r="AZ89" s="67" t="s">
        <v>65</v>
      </c>
      <c r="BA89" s="67" t="s">
        <v>72</v>
      </c>
      <c r="BB89" s="103" t="n">
        <v>182</v>
      </c>
      <c r="BC89" s="101" t="n">
        <v>6.06666666666667</v>
      </c>
      <c r="BD89" s="67" t="s">
        <v>67</v>
      </c>
      <c r="BE89" s="67" t="n">
        <v>1</v>
      </c>
      <c r="BF89" s="67"/>
      <c r="BG89" s="87"/>
      <c r="BH89" s="87"/>
      <c r="BI89" s="87"/>
      <c r="BJ89" s="87"/>
      <c r="BK89" s="87"/>
      <c r="BL89" s="87"/>
      <c r="BM89" s="87"/>
      <c r="BN89" s="87"/>
      <c r="BO89" s="87"/>
      <c r="BP89" s="87"/>
      <c r="BQ89" s="87"/>
      <c r="BR89" s="87"/>
      <c r="BS89" s="87"/>
      <c r="BT89" s="87"/>
      <c r="BU89" s="87"/>
      <c r="BV89" s="87"/>
      <c r="BW89" s="87"/>
      <c r="BX89" s="87"/>
      <c r="BY89" s="87"/>
      <c r="BZ89" s="87"/>
      <c r="CA89" s="87"/>
      <c r="CB89" s="87"/>
      <c r="CC89" s="87"/>
      <c r="CD89" s="87"/>
      <c r="CE89" s="87"/>
      <c r="CF89" s="87"/>
      <c r="CG89" s="87"/>
      <c r="CH89" s="87"/>
      <c r="CI89" s="87"/>
      <c r="CJ89" s="87"/>
      <c r="CK89" s="87"/>
      <c r="CL89" s="87"/>
      <c r="CM89" s="87"/>
      <c r="CN89" s="87"/>
      <c r="CO89" s="87"/>
      <c r="CP89" s="87"/>
      <c r="CQ89" s="87"/>
      <c r="CR89" s="87"/>
      <c r="CS89" s="87"/>
      <c r="CT89" s="87"/>
    </row>
    <row r="90" customFormat="false" ht="12" hidden="false" customHeight="true" outlineLevel="0" collapsed="false">
      <c r="A90" s="67" t="n">
        <v>2</v>
      </c>
      <c r="B90" s="67" t="s">
        <v>73</v>
      </c>
      <c r="C90" s="67" t="s">
        <v>250</v>
      </c>
      <c r="D90" s="67" t="s">
        <v>74</v>
      </c>
      <c r="E90" s="67" t="s">
        <v>432</v>
      </c>
      <c r="F90" s="67" t="s">
        <v>433</v>
      </c>
      <c r="G90" s="67" t="s">
        <v>436</v>
      </c>
      <c r="H90" s="101" t="n">
        <v>300</v>
      </c>
      <c r="I90" s="102" t="n">
        <v>4.157</v>
      </c>
      <c r="J90" s="102" t="n">
        <v>0.014</v>
      </c>
      <c r="K90" s="102" t="n">
        <v>0.245</v>
      </c>
      <c r="L90" s="101" t="n">
        <v>29.8</v>
      </c>
      <c r="M90" s="103" t="n">
        <v>7</v>
      </c>
      <c r="N90" s="101" t="n">
        <v>5.4</v>
      </c>
      <c r="O90" s="102" t="n">
        <v>0.229</v>
      </c>
      <c r="P90" s="102" t="n">
        <v>0.042</v>
      </c>
      <c r="Q90" s="102" t="n">
        <v>0.191</v>
      </c>
      <c r="R90" s="101" t="n">
        <v>2.4</v>
      </c>
      <c r="S90" s="103" t="n">
        <v>497</v>
      </c>
      <c r="T90" s="101" t="n">
        <v>0</v>
      </c>
      <c r="U90" s="101" t="n">
        <v>2</v>
      </c>
      <c r="V90" s="103" t="n">
        <v>15</v>
      </c>
      <c r="W90" s="101" t="n">
        <v>81.7</v>
      </c>
      <c r="X90" s="102" t="n">
        <v>0.74</v>
      </c>
      <c r="Y90" s="102" t="n">
        <v>0.009</v>
      </c>
      <c r="Z90" s="102" t="n">
        <v>0.185</v>
      </c>
      <c r="AA90" s="101" t="n">
        <v>40.3</v>
      </c>
      <c r="AB90" s="103" t="n">
        <v>3592</v>
      </c>
      <c r="AC90" s="101" t="n">
        <v>7.6</v>
      </c>
      <c r="AD90" s="101" t="n">
        <v>55.7</v>
      </c>
      <c r="AE90" s="103" t="n">
        <v>13</v>
      </c>
      <c r="AF90" s="101" t="n">
        <v>64.1</v>
      </c>
      <c r="AG90" s="102" t="n">
        <v>1.149</v>
      </c>
      <c r="AH90" s="102" t="n">
        <v>0.018</v>
      </c>
      <c r="AI90" s="101" t="n">
        <v>3.9</v>
      </c>
      <c r="AJ90" s="103" t="n">
        <v>14</v>
      </c>
      <c r="AK90" s="101" t="n">
        <v>235.9</v>
      </c>
      <c r="AL90" s="102" t="n">
        <v>3.008</v>
      </c>
      <c r="AM90" s="102" t="n">
        <v>0.013</v>
      </c>
      <c r="AN90" s="101" t="n">
        <v>25.9</v>
      </c>
      <c r="AO90" s="64" t="n">
        <f aca="false">Table2[[#This Row],[Inside_._time]]/Table2[[#This Row],[Duration]]</f>
        <v>0.213666666666667</v>
      </c>
      <c r="AP90" s="64" t="n">
        <f aca="false">Table2[[#This Row],[Outside_._time]]/Table2[[#This Row],[Duration]]</f>
        <v>0.786333333333333</v>
      </c>
      <c r="AQ90" s="64" t="n">
        <f aca="false">Table2[[#This Row],[Inside_._distance]]/Table2[[#This Row],[Distance]]</f>
        <v>0.276401250902093</v>
      </c>
      <c r="AR90" s="64" t="n">
        <f aca="false">Table2[[#This Row],[Outside_._distance]]/Table2[[#This Row],[Distance]]</f>
        <v>0.723598749097907</v>
      </c>
      <c r="AS90" s="63"/>
      <c r="AT90" s="63"/>
      <c r="AU90" s="63"/>
      <c r="AV90" s="61"/>
      <c r="AW90" s="63"/>
      <c r="AX90" s="63"/>
      <c r="AY90" s="67" t="s">
        <v>64</v>
      </c>
      <c r="AZ90" s="67" t="s">
        <v>76</v>
      </c>
      <c r="BA90" s="67" t="s">
        <v>72</v>
      </c>
      <c r="BB90" s="103" t="n">
        <v>177</v>
      </c>
      <c r="BC90" s="101" t="n">
        <v>5.9</v>
      </c>
      <c r="BD90" s="101" t="s">
        <v>67</v>
      </c>
      <c r="BE90" s="67" t="n">
        <v>5</v>
      </c>
      <c r="BF90" s="67" t="s">
        <v>77</v>
      </c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7"/>
      <c r="BY90" s="87"/>
      <c r="BZ90" s="87"/>
      <c r="CA90" s="87"/>
      <c r="CB90" s="87"/>
      <c r="CC90" s="87"/>
      <c r="CD90" s="87"/>
      <c r="CE90" s="87"/>
      <c r="CF90" s="87"/>
      <c r="CG90" s="87"/>
      <c r="CH90" s="87"/>
      <c r="CI90" s="87"/>
      <c r="CJ90" s="87"/>
      <c r="CK90" s="87"/>
      <c r="CL90" s="87"/>
      <c r="CM90" s="87"/>
      <c r="CN90" s="87"/>
      <c r="CO90" s="87"/>
      <c r="CP90" s="87"/>
      <c r="CQ90" s="87"/>
      <c r="CR90" s="87"/>
      <c r="CS90" s="87"/>
      <c r="CT90" s="87"/>
    </row>
    <row r="91" customFormat="false" ht="12" hidden="false" customHeight="true" outlineLevel="0" collapsed="false">
      <c r="A91" s="67" t="n">
        <v>3</v>
      </c>
      <c r="B91" s="67" t="s">
        <v>78</v>
      </c>
      <c r="C91" s="67" t="s">
        <v>250</v>
      </c>
      <c r="D91" s="67" t="s">
        <v>79</v>
      </c>
      <c r="E91" s="67" t="s">
        <v>432</v>
      </c>
      <c r="F91" s="67" t="s">
        <v>433</v>
      </c>
      <c r="G91" s="67" t="s">
        <v>437</v>
      </c>
      <c r="H91" s="101" t="n">
        <v>300</v>
      </c>
      <c r="I91" s="102" t="n">
        <v>9.177</v>
      </c>
      <c r="J91" s="102" t="n">
        <v>0.031</v>
      </c>
      <c r="K91" s="102" t="n">
        <v>0.252</v>
      </c>
      <c r="L91" s="101" t="n">
        <v>34.4</v>
      </c>
      <c r="M91" s="103" t="n">
        <v>18</v>
      </c>
      <c r="N91" s="101" t="n">
        <v>22.4</v>
      </c>
      <c r="O91" s="102" t="n">
        <v>1.192</v>
      </c>
      <c r="P91" s="102" t="n">
        <v>0.053</v>
      </c>
      <c r="Q91" s="102" t="n">
        <v>0.206</v>
      </c>
      <c r="R91" s="101" t="n">
        <v>4.4</v>
      </c>
      <c r="S91" s="103" t="n">
        <v>1842</v>
      </c>
      <c r="T91" s="101" t="n">
        <v>0</v>
      </c>
      <c r="U91" s="101" t="n">
        <v>5.6</v>
      </c>
      <c r="V91" s="103" t="n">
        <v>34</v>
      </c>
      <c r="W91" s="101" t="n">
        <v>49.4</v>
      </c>
      <c r="X91" s="102" t="n">
        <v>0.633</v>
      </c>
      <c r="Y91" s="102" t="n">
        <v>0.013</v>
      </c>
      <c r="Z91" s="102" t="n">
        <v>0.182</v>
      </c>
      <c r="AA91" s="101" t="n">
        <v>31.2</v>
      </c>
      <c r="AB91" s="103" t="n">
        <v>3118</v>
      </c>
      <c r="AC91" s="101" t="n">
        <v>4.3</v>
      </c>
      <c r="AD91" s="101" t="n">
        <v>34.5</v>
      </c>
      <c r="AE91" s="103" t="n">
        <v>10</v>
      </c>
      <c r="AF91" s="101" t="n">
        <v>26.8</v>
      </c>
      <c r="AG91" s="102" t="n">
        <v>1.749</v>
      </c>
      <c r="AH91" s="102" t="n">
        <v>0.065</v>
      </c>
      <c r="AI91" s="101" t="n">
        <v>0</v>
      </c>
      <c r="AJ91" s="103" t="n">
        <v>10</v>
      </c>
      <c r="AK91" s="101" t="n">
        <v>273.2</v>
      </c>
      <c r="AL91" s="102" t="n">
        <v>7.428</v>
      </c>
      <c r="AM91" s="102" t="n">
        <v>0.027</v>
      </c>
      <c r="AN91" s="101" t="n">
        <v>34.4</v>
      </c>
      <c r="AO91" s="64" t="n">
        <f aca="false">Table2[[#This Row],[Inside_._time]]/Table2[[#This Row],[Duration]]</f>
        <v>0.0893333333333333</v>
      </c>
      <c r="AP91" s="64" t="n">
        <f aca="false">Table2[[#This Row],[Outside_._time]]/Table2[[#This Row],[Duration]]</f>
        <v>0.910666666666667</v>
      </c>
      <c r="AQ91" s="64" t="n">
        <f aca="false">Table2[[#This Row],[Inside_._distance]]/Table2[[#This Row],[Distance]]</f>
        <v>0.190585158548545</v>
      </c>
      <c r="AR91" s="64" t="n">
        <f aca="false">Table2[[#This Row],[Outside_._distance]]/Table2[[#This Row],[Distance]]</f>
        <v>0.809414841451455</v>
      </c>
      <c r="AS91" s="63"/>
      <c r="AT91" s="63"/>
      <c r="AU91" s="63"/>
      <c r="AV91" s="61"/>
      <c r="AW91" s="63"/>
      <c r="AX91" s="63"/>
      <c r="AY91" s="67" t="s">
        <v>64</v>
      </c>
      <c r="AZ91" s="67" t="s">
        <v>76</v>
      </c>
      <c r="BA91" s="67" t="s">
        <v>66</v>
      </c>
      <c r="BB91" s="103" t="n">
        <v>177</v>
      </c>
      <c r="BC91" s="101" t="n">
        <v>5.9</v>
      </c>
      <c r="BD91" s="101" t="s">
        <v>81</v>
      </c>
      <c r="BE91" s="67" t="n">
        <v>8</v>
      </c>
      <c r="BF91" s="6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7"/>
      <c r="BY91" s="87"/>
      <c r="BZ91" s="87"/>
      <c r="CA91" s="87"/>
      <c r="CB91" s="87"/>
      <c r="CC91" s="87"/>
      <c r="CD91" s="87"/>
      <c r="CE91" s="87"/>
      <c r="CF91" s="87"/>
      <c r="CG91" s="87"/>
      <c r="CH91" s="87"/>
      <c r="CI91" s="87"/>
      <c r="CJ91" s="87"/>
      <c r="CK91" s="87"/>
      <c r="CL91" s="87"/>
      <c r="CM91" s="87"/>
      <c r="CN91" s="87"/>
      <c r="CO91" s="87"/>
      <c r="CP91" s="87"/>
      <c r="CQ91" s="87"/>
      <c r="CR91" s="87"/>
      <c r="CS91" s="87"/>
      <c r="CT91" s="87"/>
    </row>
    <row r="92" customFormat="false" ht="12" hidden="false" customHeight="true" outlineLevel="0" collapsed="false">
      <c r="A92" s="67" t="n">
        <v>7</v>
      </c>
      <c r="B92" s="67" t="s">
        <v>82</v>
      </c>
      <c r="C92" s="67" t="s">
        <v>250</v>
      </c>
      <c r="D92" s="67" t="s">
        <v>60</v>
      </c>
      <c r="E92" s="67" t="s">
        <v>432</v>
      </c>
      <c r="F92" s="67" t="s">
        <v>438</v>
      </c>
      <c r="G92" s="67" t="s">
        <v>439</v>
      </c>
      <c r="H92" s="101" t="n">
        <v>300</v>
      </c>
      <c r="I92" s="102" t="n">
        <v>7.134</v>
      </c>
      <c r="J92" s="102" t="n">
        <v>0.024</v>
      </c>
      <c r="K92" s="102" t="n">
        <v>0.302</v>
      </c>
      <c r="L92" s="101" t="n">
        <v>59.3</v>
      </c>
      <c r="M92" s="103" t="n">
        <v>5</v>
      </c>
      <c r="N92" s="101" t="n">
        <v>2</v>
      </c>
      <c r="O92" s="102" t="n">
        <v>0.321</v>
      </c>
      <c r="P92" s="102" t="n">
        <v>0.159</v>
      </c>
      <c r="Q92" s="102" t="n">
        <v>0.194</v>
      </c>
      <c r="R92" s="101" t="n">
        <v>0.5</v>
      </c>
      <c r="S92" s="103" t="n">
        <v>270</v>
      </c>
      <c r="T92" s="101" t="n">
        <v>0</v>
      </c>
      <c r="U92" s="101" t="n">
        <v>0.9</v>
      </c>
      <c r="V92" s="103" t="n">
        <v>12</v>
      </c>
      <c r="W92" s="101" t="n">
        <v>4.8</v>
      </c>
      <c r="X92" s="102" t="n">
        <v>0.598</v>
      </c>
      <c r="Y92" s="102" t="n">
        <v>0.124</v>
      </c>
      <c r="Z92" s="102" t="n">
        <v>0.267</v>
      </c>
      <c r="AA92" s="101" t="n">
        <v>2.1</v>
      </c>
      <c r="AB92" s="103" t="n">
        <v>361</v>
      </c>
      <c r="AC92" s="101" t="n">
        <v>0</v>
      </c>
      <c r="AD92" s="101" t="n">
        <v>2.1</v>
      </c>
      <c r="AE92" s="103" t="n">
        <v>11</v>
      </c>
      <c r="AF92" s="101" t="n">
        <v>6.5</v>
      </c>
      <c r="AG92" s="102" t="n">
        <v>1.276</v>
      </c>
      <c r="AH92" s="102" t="n">
        <v>0.196</v>
      </c>
      <c r="AI92" s="101" t="n">
        <v>0</v>
      </c>
      <c r="AJ92" s="103" t="n">
        <v>12</v>
      </c>
      <c r="AK92" s="101" t="n">
        <v>293.5</v>
      </c>
      <c r="AL92" s="102" t="n">
        <v>5.858</v>
      </c>
      <c r="AM92" s="102" t="n">
        <v>0.02</v>
      </c>
      <c r="AN92" s="101" t="n">
        <v>59.3</v>
      </c>
      <c r="AO92" s="64" t="n">
        <f aca="false">Table2[[#This Row],[Inside_._time]]/Table2[[#This Row],[Duration]]</f>
        <v>0.0216666666666667</v>
      </c>
      <c r="AP92" s="64" t="n">
        <f aca="false">Table2[[#This Row],[Outside_._time]]/Table2[[#This Row],[Duration]]</f>
        <v>0.978333333333333</v>
      </c>
      <c r="AQ92" s="64" t="n">
        <f aca="false">Table2[[#This Row],[Inside_._distance]]/Table2[[#This Row],[Distance]]</f>
        <v>0.178861788617886</v>
      </c>
      <c r="AR92" s="64" t="n">
        <f aca="false">Table2[[#This Row],[Outside_._distance]]/Table2[[#This Row],[Distance]]</f>
        <v>0.821138211382114</v>
      </c>
      <c r="AS92" s="63"/>
      <c r="AT92" s="63"/>
      <c r="AU92" s="63"/>
      <c r="AV92" s="61"/>
      <c r="AW92" s="63"/>
      <c r="AX92" s="63"/>
      <c r="AY92" s="67" t="s">
        <v>64</v>
      </c>
      <c r="AZ92" s="67" t="s">
        <v>76</v>
      </c>
      <c r="BA92" s="67" t="s">
        <v>66</v>
      </c>
      <c r="BB92" s="103" t="n">
        <v>177</v>
      </c>
      <c r="BC92" s="101" t="n">
        <v>5.9</v>
      </c>
      <c r="BD92" s="101" t="s">
        <v>67</v>
      </c>
      <c r="BE92" s="67" t="n">
        <v>7</v>
      </c>
      <c r="BF92" s="67" t="s">
        <v>77</v>
      </c>
      <c r="BG92" s="87"/>
      <c r="BH92" s="87"/>
      <c r="BI92" s="87"/>
      <c r="BJ92" s="87"/>
      <c r="BK92" s="87"/>
      <c r="BL92" s="87"/>
      <c r="BM92" s="87"/>
      <c r="BN92" s="87"/>
      <c r="BO92" s="87"/>
      <c r="BP92" s="87"/>
      <c r="BQ92" s="87"/>
      <c r="BR92" s="87"/>
      <c r="BS92" s="87"/>
      <c r="BT92" s="87"/>
      <c r="BU92" s="87"/>
      <c r="BV92" s="87"/>
      <c r="BW92" s="87"/>
      <c r="BX92" s="87"/>
      <c r="BY92" s="87"/>
      <c r="BZ92" s="87"/>
      <c r="CA92" s="87"/>
      <c r="CB92" s="87"/>
      <c r="CC92" s="87"/>
      <c r="CD92" s="87"/>
      <c r="CE92" s="87"/>
      <c r="CF92" s="87"/>
      <c r="CG92" s="87"/>
      <c r="CH92" s="87"/>
      <c r="CI92" s="87"/>
      <c r="CJ92" s="87"/>
      <c r="CK92" s="87"/>
      <c r="CL92" s="87"/>
      <c r="CM92" s="87"/>
      <c r="CN92" s="87"/>
      <c r="CO92" s="87"/>
      <c r="CP92" s="87"/>
      <c r="CQ92" s="87"/>
      <c r="CR92" s="87"/>
      <c r="CS92" s="87"/>
      <c r="CT92" s="87"/>
    </row>
    <row r="93" customFormat="false" ht="12" hidden="false" customHeight="true" outlineLevel="0" collapsed="false">
      <c r="A93" s="67" t="n">
        <v>5</v>
      </c>
      <c r="B93" s="67" t="s">
        <v>85</v>
      </c>
      <c r="C93" s="67" t="s">
        <v>250</v>
      </c>
      <c r="D93" s="67" t="s">
        <v>69</v>
      </c>
      <c r="E93" s="67" t="s">
        <v>432</v>
      </c>
      <c r="F93" s="67" t="s">
        <v>257</v>
      </c>
      <c r="G93" s="67" t="s">
        <v>440</v>
      </c>
      <c r="H93" s="101" t="n">
        <v>300</v>
      </c>
      <c r="I93" s="102" t="n">
        <v>10.451</v>
      </c>
      <c r="J93" s="102" t="n">
        <v>0.035</v>
      </c>
      <c r="K93" s="102" t="n">
        <v>0.282</v>
      </c>
      <c r="L93" s="101" t="n">
        <v>40.1</v>
      </c>
      <c r="M93" s="103" t="n">
        <v>7</v>
      </c>
      <c r="N93" s="101" t="n">
        <v>11.3</v>
      </c>
      <c r="O93" s="102" t="n">
        <v>0.658</v>
      </c>
      <c r="P93" s="102" t="n">
        <v>0.058</v>
      </c>
      <c r="Q93" s="102" t="n">
        <v>0.23</v>
      </c>
      <c r="R93" s="101" t="n">
        <v>2.6</v>
      </c>
      <c r="S93" s="103" t="n">
        <v>914</v>
      </c>
      <c r="T93" s="101" t="n">
        <v>0</v>
      </c>
      <c r="U93" s="101" t="n">
        <v>1</v>
      </c>
      <c r="V93" s="103" t="n">
        <v>12</v>
      </c>
      <c r="W93" s="101" t="n">
        <v>7.3</v>
      </c>
      <c r="X93" s="102" t="n">
        <v>0.833</v>
      </c>
      <c r="Y93" s="102" t="n">
        <v>0.115</v>
      </c>
      <c r="Z93" s="102" t="n">
        <v>0.249</v>
      </c>
      <c r="AA93" s="101" t="n">
        <v>1.9</v>
      </c>
      <c r="AB93" s="103" t="n">
        <v>391</v>
      </c>
      <c r="AC93" s="101" t="n">
        <v>0</v>
      </c>
      <c r="AD93" s="101" t="n">
        <v>3</v>
      </c>
      <c r="AE93" s="103" t="n">
        <v>11</v>
      </c>
      <c r="AF93" s="101" t="n">
        <v>19.5</v>
      </c>
      <c r="AG93" s="102" t="n">
        <v>1.482</v>
      </c>
      <c r="AH93" s="102" t="n">
        <v>0.076</v>
      </c>
      <c r="AI93" s="101" t="n">
        <v>0</v>
      </c>
      <c r="AJ93" s="103" t="n">
        <v>11</v>
      </c>
      <c r="AK93" s="101" t="n">
        <v>280.5</v>
      </c>
      <c r="AL93" s="102" t="n">
        <v>8.969</v>
      </c>
      <c r="AM93" s="102" t="n">
        <v>0.032</v>
      </c>
      <c r="AN93" s="101" t="n">
        <v>40.1</v>
      </c>
      <c r="AO93" s="64" t="n">
        <f aca="false">Table2[[#This Row],[Inside_._time]]/Table2[[#This Row],[Duration]]</f>
        <v>0.065</v>
      </c>
      <c r="AP93" s="64" t="n">
        <f aca="false">Table2[[#This Row],[Outside_._time]]/Table2[[#This Row],[Duration]]</f>
        <v>0.935</v>
      </c>
      <c r="AQ93" s="64" t="n">
        <f aca="false">Table2[[#This Row],[Inside_._distance]]/Table2[[#This Row],[Distance]]</f>
        <v>0.141804611998852</v>
      </c>
      <c r="AR93" s="64" t="n">
        <f aca="false">Table2[[#This Row],[Outside_._distance]]/Table2[[#This Row],[Distance]]</f>
        <v>0.858195388001148</v>
      </c>
      <c r="AS93" s="63"/>
      <c r="AT93" s="63"/>
      <c r="AU93" s="63"/>
      <c r="AV93" s="61"/>
      <c r="AW93" s="63"/>
      <c r="AX93" s="63"/>
      <c r="AY93" s="67" t="s">
        <v>71</v>
      </c>
      <c r="AZ93" s="67" t="s">
        <v>76</v>
      </c>
      <c r="BA93" s="67" t="s">
        <v>66</v>
      </c>
      <c r="BB93" s="103" t="n">
        <v>177</v>
      </c>
      <c r="BC93" s="101" t="n">
        <v>5.9</v>
      </c>
      <c r="BD93" s="101" t="s">
        <v>81</v>
      </c>
      <c r="BE93" s="67" t="n">
        <v>8</v>
      </c>
      <c r="BF93" s="67"/>
      <c r="BG93" s="87"/>
      <c r="BH93" s="87"/>
      <c r="BI93" s="87"/>
      <c r="BJ93" s="87"/>
      <c r="BK93" s="87"/>
      <c r="BL93" s="87"/>
      <c r="BM93" s="87"/>
      <c r="BN93" s="87"/>
      <c r="BO93" s="87"/>
      <c r="BP93" s="87"/>
      <c r="BQ93" s="87"/>
      <c r="BR93" s="87"/>
      <c r="BS93" s="87"/>
      <c r="BT93" s="87"/>
      <c r="BU93" s="87"/>
      <c r="BV93" s="87"/>
      <c r="BW93" s="87"/>
      <c r="BX93" s="87"/>
      <c r="BY93" s="87"/>
      <c r="BZ93" s="87"/>
      <c r="CA93" s="87"/>
      <c r="CB93" s="87"/>
      <c r="CC93" s="87"/>
      <c r="CD93" s="87"/>
      <c r="CE93" s="87"/>
      <c r="CF93" s="87"/>
      <c r="CG93" s="87"/>
      <c r="CH93" s="87"/>
      <c r="CI93" s="87"/>
      <c r="CJ93" s="87"/>
      <c r="CK93" s="87"/>
      <c r="CL93" s="87"/>
      <c r="CM93" s="87"/>
      <c r="CN93" s="87"/>
      <c r="CO93" s="87"/>
      <c r="CP93" s="87"/>
      <c r="CQ93" s="87"/>
      <c r="CR93" s="87"/>
      <c r="CS93" s="87"/>
      <c r="CT93" s="87"/>
    </row>
    <row r="94" customFormat="false" ht="12" hidden="false" customHeight="true" outlineLevel="0" collapsed="false">
      <c r="A94" s="67" t="n">
        <v>6</v>
      </c>
      <c r="B94" s="67" t="s">
        <v>87</v>
      </c>
      <c r="C94" s="67" t="s">
        <v>250</v>
      </c>
      <c r="D94" s="67" t="s">
        <v>74</v>
      </c>
      <c r="E94" s="67" t="s">
        <v>432</v>
      </c>
      <c r="F94" s="67" t="s">
        <v>438</v>
      </c>
      <c r="G94" s="67" t="s">
        <v>441</v>
      </c>
      <c r="H94" s="101" t="n">
        <v>300</v>
      </c>
      <c r="I94" s="102" t="n">
        <v>8.964</v>
      </c>
      <c r="J94" s="102" t="n">
        <v>0.03</v>
      </c>
      <c r="K94" s="102" t="n">
        <v>0.285</v>
      </c>
      <c r="L94" s="101" t="n">
        <v>23.5</v>
      </c>
      <c r="M94" s="103" t="n">
        <v>13</v>
      </c>
      <c r="N94" s="101" t="n">
        <v>30.5</v>
      </c>
      <c r="O94" s="102" t="n">
        <v>0.96</v>
      </c>
      <c r="P94" s="102" t="n">
        <v>0.031</v>
      </c>
      <c r="Q94" s="102" t="n">
        <v>0.197</v>
      </c>
      <c r="R94" s="101" t="n">
        <v>2.7</v>
      </c>
      <c r="S94" s="103" t="n">
        <v>1043</v>
      </c>
      <c r="T94" s="101" t="n">
        <v>1.7</v>
      </c>
      <c r="U94" s="101" t="n">
        <v>2.8</v>
      </c>
      <c r="V94" s="103" t="n">
        <v>17</v>
      </c>
      <c r="W94" s="101" t="n">
        <v>17.3</v>
      </c>
      <c r="X94" s="102" t="n">
        <v>0.637</v>
      </c>
      <c r="Y94" s="102" t="n">
        <v>0.037</v>
      </c>
      <c r="Z94" s="102" t="n">
        <v>0.194</v>
      </c>
      <c r="AA94" s="101" t="n">
        <v>4.4</v>
      </c>
      <c r="AB94" s="103" t="n">
        <v>1362</v>
      </c>
      <c r="AC94" s="101" t="n">
        <v>0.1</v>
      </c>
      <c r="AD94" s="101" t="n">
        <v>5.8</v>
      </c>
      <c r="AE94" s="103" t="n">
        <v>22</v>
      </c>
      <c r="AF94" s="101" t="n">
        <v>16.5</v>
      </c>
      <c r="AG94" s="102" t="n">
        <v>1.242</v>
      </c>
      <c r="AH94" s="102" t="n">
        <v>0.075</v>
      </c>
      <c r="AI94" s="101" t="n">
        <v>0</v>
      </c>
      <c r="AJ94" s="103" t="n">
        <v>23</v>
      </c>
      <c r="AK94" s="101" t="n">
        <v>283.5</v>
      </c>
      <c r="AL94" s="102" t="n">
        <v>7.722</v>
      </c>
      <c r="AM94" s="102" t="n">
        <v>0.027</v>
      </c>
      <c r="AN94" s="101" t="n">
        <v>23.5</v>
      </c>
      <c r="AO94" s="64" t="n">
        <f aca="false">Table2[[#This Row],[Inside_._time]]/Table2[[#This Row],[Duration]]</f>
        <v>0.055</v>
      </c>
      <c r="AP94" s="64" t="n">
        <f aca="false">Table2[[#This Row],[Outside_._time]]/Table2[[#This Row],[Duration]]</f>
        <v>0.945</v>
      </c>
      <c r="AQ94" s="64" t="n">
        <f aca="false">Table2[[#This Row],[Inside_._distance]]/Table2[[#This Row],[Distance]]</f>
        <v>0.13855421686747</v>
      </c>
      <c r="AR94" s="64" t="n">
        <f aca="false">Table2[[#This Row],[Outside_._distance]]/Table2[[#This Row],[Distance]]</f>
        <v>0.86144578313253</v>
      </c>
      <c r="AS94" s="63"/>
      <c r="AT94" s="63"/>
      <c r="AU94" s="63"/>
      <c r="AV94" s="61"/>
      <c r="AW94" s="63"/>
      <c r="AX94" s="63"/>
      <c r="AY94" s="67" t="s">
        <v>71</v>
      </c>
      <c r="AZ94" s="67" t="s">
        <v>76</v>
      </c>
      <c r="BA94" s="67" t="s">
        <v>72</v>
      </c>
      <c r="BB94" s="103" t="n">
        <v>177</v>
      </c>
      <c r="BC94" s="101" t="n">
        <v>5.9</v>
      </c>
      <c r="BD94" s="101" t="s">
        <v>67</v>
      </c>
      <c r="BE94" s="67" t="n">
        <v>5</v>
      </c>
      <c r="BF94" s="67"/>
      <c r="BG94" s="87"/>
      <c r="BH94" s="87"/>
      <c r="BI94" s="87"/>
      <c r="BJ94" s="87"/>
      <c r="BK94" s="87"/>
      <c r="BL94" s="87"/>
      <c r="BM94" s="87"/>
      <c r="BN94" s="87"/>
      <c r="BO94" s="87"/>
      <c r="BP94" s="87"/>
      <c r="BQ94" s="87"/>
      <c r="BR94" s="87"/>
      <c r="BS94" s="87"/>
      <c r="BT94" s="87"/>
      <c r="BU94" s="87"/>
      <c r="BV94" s="87"/>
      <c r="BW94" s="87"/>
      <c r="BX94" s="87"/>
      <c r="BY94" s="87"/>
      <c r="BZ94" s="87"/>
      <c r="CA94" s="87"/>
      <c r="CB94" s="87"/>
      <c r="CC94" s="87"/>
      <c r="CD94" s="87"/>
      <c r="CE94" s="87"/>
      <c r="CF94" s="87"/>
      <c r="CG94" s="87"/>
      <c r="CH94" s="87"/>
      <c r="CI94" s="87"/>
      <c r="CJ94" s="87"/>
      <c r="CK94" s="87"/>
      <c r="CL94" s="87"/>
      <c r="CM94" s="87"/>
      <c r="CN94" s="87"/>
      <c r="CO94" s="87"/>
      <c r="CP94" s="87"/>
      <c r="CQ94" s="87"/>
      <c r="CR94" s="87"/>
      <c r="CS94" s="87"/>
      <c r="CT94" s="87"/>
    </row>
    <row r="95" customFormat="false" ht="12" hidden="false" customHeight="true" outlineLevel="0" collapsed="false">
      <c r="A95" s="67" t="n">
        <v>8</v>
      </c>
      <c r="B95" s="67" t="s">
        <v>89</v>
      </c>
      <c r="C95" s="67" t="s">
        <v>250</v>
      </c>
      <c r="D95" s="67" t="s">
        <v>79</v>
      </c>
      <c r="E95" s="67" t="s">
        <v>432</v>
      </c>
      <c r="F95" s="67" t="s">
        <v>438</v>
      </c>
      <c r="G95" s="67" t="s">
        <v>442</v>
      </c>
      <c r="H95" s="101" t="n">
        <v>300</v>
      </c>
      <c r="I95" s="102" t="n">
        <v>12.156</v>
      </c>
      <c r="J95" s="102" t="n">
        <v>0.041</v>
      </c>
      <c r="K95" s="102" t="n">
        <v>0.227</v>
      </c>
      <c r="L95" s="101" t="n">
        <v>17.7</v>
      </c>
      <c r="M95" s="103" t="n">
        <v>15</v>
      </c>
      <c r="N95" s="101" t="n">
        <v>41.2</v>
      </c>
      <c r="O95" s="102" t="n">
        <v>0.792</v>
      </c>
      <c r="P95" s="102" t="n">
        <v>0.019</v>
      </c>
      <c r="Q95" s="102" t="n">
        <v>0.199</v>
      </c>
      <c r="R95" s="101" t="n">
        <v>6.3</v>
      </c>
      <c r="S95" s="103" t="n">
        <v>2564</v>
      </c>
      <c r="T95" s="101" t="n">
        <v>8.6</v>
      </c>
      <c r="U95" s="101" t="n">
        <v>3</v>
      </c>
      <c r="V95" s="103" t="n">
        <v>14</v>
      </c>
      <c r="W95" s="101" t="n">
        <v>12.8</v>
      </c>
      <c r="X95" s="102" t="n">
        <v>1.104</v>
      </c>
      <c r="Y95" s="102" t="n">
        <v>0.086</v>
      </c>
      <c r="Z95" s="102" t="n">
        <v>0.217</v>
      </c>
      <c r="AA95" s="101" t="n">
        <v>3.6</v>
      </c>
      <c r="AB95" s="103" t="n">
        <v>1141</v>
      </c>
      <c r="AC95" s="101" t="n">
        <v>0</v>
      </c>
      <c r="AD95" s="101" t="n">
        <v>4.7</v>
      </c>
      <c r="AE95" s="103" t="n">
        <v>13</v>
      </c>
      <c r="AF95" s="101" t="n">
        <v>23.4</v>
      </c>
      <c r="AG95" s="102" t="n">
        <v>1.972</v>
      </c>
      <c r="AH95" s="102" t="n">
        <v>0.084</v>
      </c>
      <c r="AI95" s="101" t="n">
        <v>0</v>
      </c>
      <c r="AJ95" s="103" t="n">
        <v>14</v>
      </c>
      <c r="AK95" s="101" t="n">
        <v>276.6</v>
      </c>
      <c r="AL95" s="102" t="n">
        <v>10.184</v>
      </c>
      <c r="AM95" s="102" t="n">
        <v>0.037</v>
      </c>
      <c r="AN95" s="101" t="n">
        <v>17.7</v>
      </c>
      <c r="AO95" s="64" t="n">
        <f aca="false">Table2[[#This Row],[Inside_._time]]/Table2[[#This Row],[Duration]]</f>
        <v>0.078</v>
      </c>
      <c r="AP95" s="64" t="n">
        <f aca="false">Table2[[#This Row],[Outside_._time]]/Table2[[#This Row],[Duration]]</f>
        <v>0.922</v>
      </c>
      <c r="AQ95" s="64" t="n">
        <f aca="false">Table2[[#This Row],[Inside_._distance]]/Table2[[#This Row],[Distance]]</f>
        <v>0.162224415926292</v>
      </c>
      <c r="AR95" s="64" t="n">
        <f aca="false">Table2[[#This Row],[Outside_._distance]]/Table2[[#This Row],[Distance]]</f>
        <v>0.837775584073708</v>
      </c>
      <c r="AS95" s="63"/>
      <c r="AT95" s="63"/>
      <c r="AU95" s="63"/>
      <c r="AV95" s="61"/>
      <c r="AW95" s="63"/>
      <c r="AX95" s="63"/>
      <c r="AY95" s="67" t="s">
        <v>71</v>
      </c>
      <c r="AZ95" s="67" t="s">
        <v>76</v>
      </c>
      <c r="BA95" s="67" t="s">
        <v>66</v>
      </c>
      <c r="BB95" s="103" t="n">
        <v>177</v>
      </c>
      <c r="BC95" s="101" t="n">
        <v>5.9</v>
      </c>
      <c r="BD95" s="101" t="s">
        <v>81</v>
      </c>
      <c r="BE95" s="67" t="n">
        <v>8</v>
      </c>
      <c r="BF95" s="67" t="s">
        <v>91</v>
      </c>
      <c r="BG95" s="87"/>
      <c r="BH95" s="87"/>
      <c r="BI95" s="87"/>
      <c r="BJ95" s="87"/>
      <c r="BK95" s="87"/>
      <c r="BL95" s="87"/>
      <c r="BM95" s="87"/>
      <c r="BN95" s="87"/>
      <c r="BO95" s="87"/>
      <c r="BP95" s="87"/>
      <c r="BQ95" s="87"/>
      <c r="BR95" s="87"/>
      <c r="BS95" s="87"/>
      <c r="BT95" s="87"/>
      <c r="BU95" s="87"/>
      <c r="BV95" s="87"/>
      <c r="BW95" s="87"/>
      <c r="BX95" s="87"/>
      <c r="BY95" s="87"/>
      <c r="BZ95" s="87"/>
      <c r="CA95" s="87"/>
      <c r="CB95" s="87"/>
      <c r="CC95" s="87"/>
      <c r="CD95" s="87"/>
      <c r="CE95" s="87"/>
      <c r="CF95" s="87"/>
      <c r="CG95" s="87"/>
      <c r="CH95" s="87"/>
      <c r="CI95" s="87"/>
      <c r="CJ95" s="87"/>
      <c r="CK95" s="87"/>
      <c r="CL95" s="87"/>
      <c r="CM95" s="87"/>
      <c r="CN95" s="87"/>
      <c r="CO95" s="87"/>
      <c r="CP95" s="87"/>
      <c r="CQ95" s="87"/>
      <c r="CR95" s="87"/>
      <c r="CS95" s="87"/>
      <c r="CT95" s="87"/>
    </row>
    <row r="96" customFormat="false" ht="12" hidden="false" customHeight="true" outlineLevel="0" collapsed="false">
      <c r="A96" s="67" t="n">
        <v>11</v>
      </c>
      <c r="B96" s="67" t="s">
        <v>92</v>
      </c>
      <c r="C96" s="67" t="s">
        <v>250</v>
      </c>
      <c r="D96" s="67" t="s">
        <v>60</v>
      </c>
      <c r="E96" s="67" t="s">
        <v>432</v>
      </c>
      <c r="F96" s="67" t="s">
        <v>443</v>
      </c>
      <c r="G96" s="67" t="s">
        <v>444</v>
      </c>
      <c r="H96" s="101" t="n">
        <v>300</v>
      </c>
      <c r="I96" s="102" t="n">
        <v>10.323</v>
      </c>
      <c r="J96" s="102" t="n">
        <v>0.034</v>
      </c>
      <c r="K96" s="102" t="n">
        <v>0.287</v>
      </c>
      <c r="L96" s="101" t="n">
        <v>27.9</v>
      </c>
      <c r="M96" s="103" t="n">
        <v>11</v>
      </c>
      <c r="N96" s="101" t="n">
        <v>9.2</v>
      </c>
      <c r="O96" s="102" t="n">
        <v>0.554</v>
      </c>
      <c r="P96" s="102" t="n">
        <v>0.06</v>
      </c>
      <c r="Q96" s="102" t="n">
        <v>0.287</v>
      </c>
      <c r="R96" s="101" t="n">
        <v>1.2</v>
      </c>
      <c r="S96" s="103" t="n">
        <v>627</v>
      </c>
      <c r="T96" s="101" t="n">
        <v>0</v>
      </c>
      <c r="U96" s="101" t="n">
        <v>6.9</v>
      </c>
      <c r="V96" s="103" t="n">
        <v>16</v>
      </c>
      <c r="W96" s="101" t="n">
        <v>35.4</v>
      </c>
      <c r="X96" s="102" t="n">
        <v>0.818</v>
      </c>
      <c r="Y96" s="102" t="n">
        <v>0.023</v>
      </c>
      <c r="Z96" s="102" t="n">
        <v>0.261</v>
      </c>
      <c r="AA96" s="101" t="n">
        <v>0.9</v>
      </c>
      <c r="AB96" s="103" t="n">
        <v>1366</v>
      </c>
      <c r="AC96" s="101" t="n">
        <v>9.2</v>
      </c>
      <c r="AD96" s="101" t="n">
        <v>1.4</v>
      </c>
      <c r="AE96" s="103" t="n">
        <v>11</v>
      </c>
      <c r="AF96" s="101" t="n">
        <v>10</v>
      </c>
      <c r="AG96" s="102" t="n">
        <v>0.962</v>
      </c>
      <c r="AH96" s="102" t="n">
        <v>0.096</v>
      </c>
      <c r="AI96" s="101" t="n">
        <v>0</v>
      </c>
      <c r="AJ96" s="103" t="n">
        <v>12</v>
      </c>
      <c r="AK96" s="101" t="n">
        <v>290</v>
      </c>
      <c r="AL96" s="102" t="n">
        <v>9.361</v>
      </c>
      <c r="AM96" s="102" t="n">
        <v>0.032</v>
      </c>
      <c r="AN96" s="101" t="n">
        <v>27.9</v>
      </c>
      <c r="AO96" s="64" t="n">
        <f aca="false">Table2[[#This Row],[Inside_._time]]/Table2[[#This Row],[Duration]]</f>
        <v>0.0333333333333333</v>
      </c>
      <c r="AP96" s="64" t="n">
        <f aca="false">Table2[[#This Row],[Outside_._time]]/Table2[[#This Row],[Duration]]</f>
        <v>0.966666666666667</v>
      </c>
      <c r="AQ96" s="64" t="n">
        <f aca="false">Table2[[#This Row],[Inside_._distance]]/Table2[[#This Row],[Distance]]</f>
        <v>0.0931899641577061</v>
      </c>
      <c r="AR96" s="64" t="n">
        <f aca="false">Table2[[#This Row],[Outside_._distance]]/Table2[[#This Row],[Distance]]</f>
        <v>0.906810035842294</v>
      </c>
      <c r="AS96" s="63"/>
      <c r="AT96" s="63"/>
      <c r="AU96" s="63"/>
      <c r="AV96" s="61"/>
      <c r="AW96" s="63"/>
      <c r="AX96" s="63"/>
      <c r="AY96" s="67" t="s">
        <v>71</v>
      </c>
      <c r="AZ96" s="67" t="s">
        <v>76</v>
      </c>
      <c r="BA96" s="67" t="s">
        <v>66</v>
      </c>
      <c r="BB96" s="103" t="n">
        <v>177</v>
      </c>
      <c r="BC96" s="101" t="n">
        <v>5.9</v>
      </c>
      <c r="BD96" s="101" t="s">
        <v>67</v>
      </c>
      <c r="BE96" s="67" t="n">
        <v>7</v>
      </c>
      <c r="BF96" s="67" t="s">
        <v>95</v>
      </c>
      <c r="BG96" s="87"/>
      <c r="BH96" s="87"/>
      <c r="BI96" s="87"/>
      <c r="BJ96" s="87"/>
      <c r="BK96" s="87"/>
      <c r="BL96" s="87"/>
      <c r="BM96" s="87"/>
      <c r="BN96" s="87"/>
      <c r="BO96" s="87"/>
      <c r="BP96" s="87"/>
      <c r="BQ96" s="87"/>
      <c r="BR96" s="87"/>
      <c r="BS96" s="87"/>
      <c r="BT96" s="87"/>
      <c r="BU96" s="87"/>
      <c r="BV96" s="87"/>
      <c r="BW96" s="87"/>
      <c r="BX96" s="87"/>
      <c r="BY96" s="87"/>
      <c r="BZ96" s="87"/>
      <c r="CA96" s="87"/>
      <c r="CB96" s="87"/>
      <c r="CC96" s="87"/>
      <c r="CD96" s="87"/>
      <c r="CE96" s="87"/>
      <c r="CF96" s="87"/>
      <c r="CG96" s="87"/>
      <c r="CH96" s="87"/>
      <c r="CI96" s="87"/>
      <c r="CJ96" s="87"/>
      <c r="CK96" s="87"/>
      <c r="CL96" s="87"/>
      <c r="CM96" s="87"/>
      <c r="CN96" s="87"/>
      <c r="CO96" s="87"/>
      <c r="CP96" s="87"/>
      <c r="CQ96" s="87"/>
      <c r="CR96" s="87"/>
      <c r="CS96" s="87"/>
      <c r="CT96" s="87"/>
    </row>
    <row r="97" s="111" customFormat="true" ht="12" hidden="false" customHeight="true" outlineLevel="0" collapsed="false">
      <c r="A97" s="104" t="n">
        <v>9</v>
      </c>
      <c r="B97" s="104" t="s">
        <v>96</v>
      </c>
      <c r="C97" s="104" t="s">
        <v>250</v>
      </c>
      <c r="D97" s="104" t="s">
        <v>69</v>
      </c>
      <c r="E97" s="104" t="s">
        <v>432</v>
      </c>
      <c r="F97" s="104" t="s">
        <v>445</v>
      </c>
      <c r="G97" s="104" t="s">
        <v>446</v>
      </c>
      <c r="H97" s="105" t="n">
        <v>300</v>
      </c>
      <c r="I97" s="106" t="n">
        <v>0</v>
      </c>
      <c r="J97" s="106" t="n">
        <v>0</v>
      </c>
      <c r="K97" s="106"/>
      <c r="L97" s="105" t="n">
        <v>28.7</v>
      </c>
      <c r="M97" s="107" t="n">
        <v>0</v>
      </c>
      <c r="N97" s="105" t="n">
        <v>0</v>
      </c>
      <c r="O97" s="106" t="n">
        <v>0</v>
      </c>
      <c r="P97" s="106"/>
      <c r="Q97" s="106"/>
      <c r="R97" s="105" t="n">
        <v>0</v>
      </c>
      <c r="S97" s="107" t="n">
        <v>0</v>
      </c>
      <c r="T97" s="105" t="n">
        <v>0</v>
      </c>
      <c r="U97" s="105"/>
      <c r="V97" s="107" t="n">
        <v>0</v>
      </c>
      <c r="W97" s="105" t="n">
        <v>0</v>
      </c>
      <c r="X97" s="106" t="n">
        <v>0</v>
      </c>
      <c r="Y97" s="106"/>
      <c r="Z97" s="106"/>
      <c r="AA97" s="105" t="n">
        <v>0</v>
      </c>
      <c r="AB97" s="107" t="n">
        <v>0</v>
      </c>
      <c r="AC97" s="105" t="n">
        <v>0</v>
      </c>
      <c r="AD97" s="105"/>
      <c r="AE97" s="107" t="n">
        <v>1</v>
      </c>
      <c r="AF97" s="105" t="n">
        <v>300</v>
      </c>
      <c r="AG97" s="106" t="n">
        <v>0</v>
      </c>
      <c r="AH97" s="106" t="n">
        <v>0</v>
      </c>
      <c r="AI97" s="105" t="n">
        <v>28.7</v>
      </c>
      <c r="AJ97" s="107" t="n">
        <v>0</v>
      </c>
      <c r="AK97" s="105" t="n">
        <v>0</v>
      </c>
      <c r="AL97" s="106" t="n">
        <v>0</v>
      </c>
      <c r="AM97" s="106"/>
      <c r="AN97" s="105" t="n">
        <v>0</v>
      </c>
      <c r="AO97" s="108" t="n">
        <f aca="false">Table2[[#This Row],[Inside_._time]]/Table2[[#This Row],[Duration]]</f>
        <v>1</v>
      </c>
      <c r="AP97" s="108" t="n">
        <f aca="false">Table2[[#This Row],[Outside_._time]]/Table2[[#This Row],[Duration]]</f>
        <v>0</v>
      </c>
      <c r="AQ97" s="108" t="e">
        <f aca="false">Table2[[#This Row],[Inside_._distance]]/Table2[[#This Row],[Distance]]</f>
        <v>#DIV/0!</v>
      </c>
      <c r="AR97" s="108" t="e">
        <f aca="false">Table2[[#This Row],[Outside_._distance]]/Table2[[#This Row],[Distance]]</f>
        <v>#DIV/0!</v>
      </c>
      <c r="AS97" s="109"/>
      <c r="AT97" s="109"/>
      <c r="AU97" s="109"/>
      <c r="AV97" s="110"/>
      <c r="AW97" s="109"/>
      <c r="AX97" s="109"/>
      <c r="AY97" s="104" t="s">
        <v>71</v>
      </c>
      <c r="AZ97" s="104" t="s">
        <v>76</v>
      </c>
      <c r="BA97" s="104" t="s">
        <v>72</v>
      </c>
      <c r="BB97" s="107" t="n">
        <v>177</v>
      </c>
      <c r="BC97" s="105" t="n">
        <v>5.9</v>
      </c>
      <c r="BD97" s="105" t="s">
        <v>81</v>
      </c>
      <c r="BE97" s="104" t="n">
        <v>6</v>
      </c>
      <c r="BF97" s="104" t="s">
        <v>98</v>
      </c>
      <c r="BG97" s="87"/>
      <c r="BH97" s="87"/>
      <c r="BI97" s="87"/>
      <c r="BJ97" s="87"/>
      <c r="BK97" s="87"/>
      <c r="BL97" s="87"/>
      <c r="BM97" s="87"/>
      <c r="BN97" s="87"/>
      <c r="BO97" s="87"/>
      <c r="BP97" s="87"/>
      <c r="BQ97" s="87"/>
      <c r="BR97" s="87"/>
      <c r="BS97" s="87"/>
      <c r="BT97" s="87"/>
      <c r="BU97" s="87"/>
      <c r="BV97" s="87"/>
      <c r="BW97" s="87"/>
      <c r="BX97" s="87"/>
      <c r="BY97" s="87"/>
      <c r="BZ97" s="87"/>
      <c r="CA97" s="87"/>
      <c r="CB97" s="87"/>
      <c r="CC97" s="87"/>
      <c r="CD97" s="87"/>
      <c r="CE97" s="87"/>
      <c r="CF97" s="87"/>
      <c r="CG97" s="87"/>
      <c r="CH97" s="87"/>
      <c r="CI97" s="87"/>
      <c r="CJ97" s="87"/>
      <c r="CK97" s="87"/>
      <c r="CL97" s="87"/>
      <c r="CM97" s="87"/>
      <c r="CN97" s="87"/>
      <c r="CO97" s="87"/>
      <c r="CP97" s="87"/>
      <c r="CQ97" s="87"/>
      <c r="CR97" s="87"/>
      <c r="CS97" s="87"/>
      <c r="CT97" s="87"/>
    </row>
    <row r="98" customFormat="false" ht="12" hidden="false" customHeight="true" outlineLevel="0" collapsed="false">
      <c r="A98" s="67" t="n">
        <v>10</v>
      </c>
      <c r="B98" s="67" t="s">
        <v>99</v>
      </c>
      <c r="C98" s="67" t="s">
        <v>250</v>
      </c>
      <c r="D98" s="67" t="s">
        <v>74</v>
      </c>
      <c r="E98" s="67" t="s">
        <v>432</v>
      </c>
      <c r="F98" s="67" t="s">
        <v>443</v>
      </c>
      <c r="G98" s="67" t="s">
        <v>447</v>
      </c>
      <c r="H98" s="101" t="n">
        <v>300</v>
      </c>
      <c r="I98" s="102" t="n">
        <v>5.434</v>
      </c>
      <c r="J98" s="102" t="n">
        <v>0.018</v>
      </c>
      <c r="K98" s="102" t="n">
        <v>0.213</v>
      </c>
      <c r="L98" s="101" t="n">
        <v>25.6</v>
      </c>
      <c r="M98" s="103" t="n">
        <v>13</v>
      </c>
      <c r="N98" s="101" t="n">
        <v>27.6</v>
      </c>
      <c r="O98" s="102" t="n">
        <v>0.285</v>
      </c>
      <c r="P98" s="102" t="n">
        <v>0.01</v>
      </c>
      <c r="Q98" s="102" t="n">
        <v>0.142</v>
      </c>
      <c r="R98" s="101" t="n">
        <v>12.6</v>
      </c>
      <c r="S98" s="103" t="n">
        <v>1501</v>
      </c>
      <c r="T98" s="101" t="n">
        <v>0.1</v>
      </c>
      <c r="U98" s="101" t="n">
        <v>25.4</v>
      </c>
      <c r="V98" s="103" t="n">
        <v>5</v>
      </c>
      <c r="W98" s="101" t="n">
        <v>6.2</v>
      </c>
      <c r="X98" s="102" t="n">
        <v>0.333</v>
      </c>
      <c r="Y98" s="102" t="n">
        <v>0.054</v>
      </c>
      <c r="Z98" s="102" t="n">
        <v>0.136</v>
      </c>
      <c r="AA98" s="101" t="n">
        <v>1.3</v>
      </c>
      <c r="AB98" s="103" t="n">
        <v>386</v>
      </c>
      <c r="AC98" s="101" t="n">
        <v>0</v>
      </c>
      <c r="AD98" s="101" t="n">
        <v>2</v>
      </c>
      <c r="AE98" s="103" t="n">
        <v>6</v>
      </c>
      <c r="AF98" s="101" t="n">
        <v>63.1</v>
      </c>
      <c r="AG98" s="102" t="n">
        <v>0.772</v>
      </c>
      <c r="AH98" s="102" t="n">
        <v>0.012</v>
      </c>
      <c r="AI98" s="101" t="n">
        <v>8.3</v>
      </c>
      <c r="AJ98" s="103" t="n">
        <v>7</v>
      </c>
      <c r="AK98" s="101" t="n">
        <v>236.9</v>
      </c>
      <c r="AL98" s="102" t="n">
        <v>4.662</v>
      </c>
      <c r="AM98" s="102" t="n">
        <v>0.02</v>
      </c>
      <c r="AN98" s="101" t="n">
        <v>17.3</v>
      </c>
      <c r="AO98" s="64" t="n">
        <f aca="false">Table2[[#This Row],[Inside_._time]]/Table2[[#This Row],[Duration]]</f>
        <v>0.210333333333333</v>
      </c>
      <c r="AP98" s="64" t="n">
        <f aca="false">Table2[[#This Row],[Outside_._time]]/Table2[[#This Row],[Duration]]</f>
        <v>0.789666666666667</v>
      </c>
      <c r="AQ98" s="64" t="n">
        <f aca="false">Table2[[#This Row],[Inside_._distance]]/Table2[[#This Row],[Distance]]</f>
        <v>0.142068457857932</v>
      </c>
      <c r="AR98" s="64" t="n">
        <f aca="false">Table2[[#This Row],[Outside_._distance]]/Table2[[#This Row],[Distance]]</f>
        <v>0.857931542142068</v>
      </c>
      <c r="AS98" s="63"/>
      <c r="AT98" s="63"/>
      <c r="AU98" s="63"/>
      <c r="AV98" s="61"/>
      <c r="AW98" s="63"/>
      <c r="AX98" s="63"/>
      <c r="AY98" s="67" t="s">
        <v>71</v>
      </c>
      <c r="AZ98" s="67" t="s">
        <v>76</v>
      </c>
      <c r="BA98" s="67" t="s">
        <v>72</v>
      </c>
      <c r="BB98" s="103" t="n">
        <v>177</v>
      </c>
      <c r="BC98" s="101" t="n">
        <v>5.9</v>
      </c>
      <c r="BD98" s="101" t="s">
        <v>67</v>
      </c>
      <c r="BE98" s="67" t="n">
        <v>5</v>
      </c>
      <c r="BF98" s="67" t="s">
        <v>101</v>
      </c>
      <c r="BG98" s="87"/>
      <c r="BH98" s="87"/>
      <c r="BI98" s="87"/>
      <c r="BJ98" s="87"/>
      <c r="BK98" s="87"/>
      <c r="BL98" s="87"/>
      <c r="BM98" s="87"/>
      <c r="BN98" s="87"/>
      <c r="BO98" s="87"/>
      <c r="BP98" s="87"/>
      <c r="BQ98" s="87"/>
      <c r="BR98" s="87"/>
      <c r="BS98" s="87"/>
      <c r="BT98" s="87"/>
      <c r="BU98" s="87"/>
      <c r="BV98" s="87"/>
      <c r="BW98" s="87"/>
      <c r="BX98" s="87"/>
      <c r="BY98" s="87"/>
      <c r="BZ98" s="87"/>
      <c r="CA98" s="87"/>
      <c r="CB98" s="87"/>
      <c r="CC98" s="87"/>
      <c r="CD98" s="87"/>
      <c r="CE98" s="87"/>
      <c r="CF98" s="87"/>
      <c r="CG98" s="87"/>
      <c r="CH98" s="87"/>
      <c r="CI98" s="87"/>
      <c r="CJ98" s="87"/>
      <c r="CK98" s="87"/>
      <c r="CL98" s="87"/>
      <c r="CM98" s="87"/>
      <c r="CN98" s="87"/>
      <c r="CO98" s="87"/>
      <c r="CP98" s="87"/>
      <c r="CQ98" s="87"/>
      <c r="CR98" s="87"/>
      <c r="CS98" s="87"/>
      <c r="CT98" s="87"/>
    </row>
    <row r="99" customFormat="false" ht="12" hidden="false" customHeight="true" outlineLevel="0" collapsed="false">
      <c r="A99" s="67" t="n">
        <v>12</v>
      </c>
      <c r="B99" s="67" t="s">
        <v>102</v>
      </c>
      <c r="C99" s="67" t="s">
        <v>250</v>
      </c>
      <c r="D99" s="67" t="s">
        <v>79</v>
      </c>
      <c r="E99" s="67" t="s">
        <v>432</v>
      </c>
      <c r="F99" s="67" t="s">
        <v>443</v>
      </c>
      <c r="G99" s="67" t="s">
        <v>448</v>
      </c>
      <c r="H99" s="101" t="n">
        <v>300</v>
      </c>
      <c r="I99" s="102" t="n">
        <v>6.367</v>
      </c>
      <c r="J99" s="102" t="n">
        <v>0.021</v>
      </c>
      <c r="K99" s="102" t="n">
        <v>0.247</v>
      </c>
      <c r="L99" s="101" t="n">
        <v>89.4</v>
      </c>
      <c r="M99" s="103" t="n">
        <v>13</v>
      </c>
      <c r="N99" s="101" t="n">
        <v>28.1</v>
      </c>
      <c r="O99" s="102" t="n">
        <v>0.399</v>
      </c>
      <c r="P99" s="102" t="n">
        <v>0.014</v>
      </c>
      <c r="Q99" s="102" t="n">
        <v>0.135</v>
      </c>
      <c r="R99" s="101" t="n">
        <v>9.8</v>
      </c>
      <c r="S99" s="103" t="n">
        <v>1812</v>
      </c>
      <c r="T99" s="101" t="n">
        <v>4.8</v>
      </c>
      <c r="U99" s="101" t="n">
        <v>2.9</v>
      </c>
      <c r="V99" s="103" t="n">
        <v>5</v>
      </c>
      <c r="W99" s="101" t="n">
        <v>5.3</v>
      </c>
      <c r="X99" s="102" t="n">
        <v>0.344</v>
      </c>
      <c r="Y99" s="102" t="n">
        <v>0.064</v>
      </c>
      <c r="Z99" s="102" t="n">
        <v>0.22</v>
      </c>
      <c r="AA99" s="101" t="n">
        <v>3.5</v>
      </c>
      <c r="AB99" s="103" t="n">
        <v>241</v>
      </c>
      <c r="AC99" s="101" t="n">
        <v>0</v>
      </c>
      <c r="AD99" s="101" t="n">
        <v>3.6</v>
      </c>
      <c r="AE99" s="103" t="n">
        <v>7</v>
      </c>
      <c r="AF99" s="101" t="n">
        <v>82.2</v>
      </c>
      <c r="AG99" s="102" t="n">
        <v>0.995</v>
      </c>
      <c r="AH99" s="102" t="n">
        <v>0.012</v>
      </c>
      <c r="AI99" s="101" t="n">
        <v>39.5</v>
      </c>
      <c r="AJ99" s="103" t="n">
        <v>8</v>
      </c>
      <c r="AK99" s="101" t="n">
        <v>217.8</v>
      </c>
      <c r="AL99" s="102" t="n">
        <v>5.372</v>
      </c>
      <c r="AM99" s="102" t="n">
        <v>0.025</v>
      </c>
      <c r="AN99" s="101" t="n">
        <v>49.9</v>
      </c>
      <c r="AO99" s="64" t="n">
        <f aca="false">Table2[[#This Row],[Inside_._time]]/Table2[[#This Row],[Duration]]</f>
        <v>0.274</v>
      </c>
      <c r="AP99" s="64" t="n">
        <f aca="false">Table2[[#This Row],[Outside_._time]]/Table2[[#This Row],[Duration]]</f>
        <v>0.726</v>
      </c>
      <c r="AQ99" s="64" t="n">
        <f aca="false">Table2[[#This Row],[Inside_._distance]]/Table2[[#This Row],[Distance]]</f>
        <v>0.156274540599969</v>
      </c>
      <c r="AR99" s="64" t="n">
        <f aca="false">Table2[[#This Row],[Outside_._distance]]/Table2[[#This Row],[Distance]]</f>
        <v>0.843725459400031</v>
      </c>
      <c r="AS99" s="63"/>
      <c r="AT99" s="63"/>
      <c r="AU99" s="63"/>
      <c r="AV99" s="61"/>
      <c r="AW99" s="63"/>
      <c r="AX99" s="63"/>
      <c r="AY99" s="67" t="s">
        <v>71</v>
      </c>
      <c r="AZ99" s="67" t="s">
        <v>76</v>
      </c>
      <c r="BA99" s="67" t="s">
        <v>72</v>
      </c>
      <c r="BB99" s="103" t="n">
        <v>177</v>
      </c>
      <c r="BC99" s="101" t="n">
        <v>5.9</v>
      </c>
      <c r="BD99" s="101" t="s">
        <v>81</v>
      </c>
      <c r="BE99" s="67" t="n">
        <v>6</v>
      </c>
      <c r="BF99" s="67"/>
      <c r="BG99" s="87"/>
      <c r="BH99" s="87"/>
      <c r="BI99" s="87"/>
      <c r="BJ99" s="87"/>
      <c r="BK99" s="87"/>
      <c r="BL99" s="87"/>
      <c r="BM99" s="87"/>
      <c r="BN99" s="87"/>
      <c r="BO99" s="87"/>
      <c r="BP99" s="87"/>
      <c r="BQ99" s="87"/>
      <c r="BR99" s="87"/>
      <c r="BS99" s="87"/>
      <c r="BT99" s="87"/>
      <c r="BU99" s="87"/>
      <c r="BV99" s="87"/>
      <c r="BW99" s="87"/>
      <c r="BX99" s="87"/>
      <c r="BY99" s="87"/>
      <c r="BZ99" s="87"/>
      <c r="CA99" s="87"/>
      <c r="CB99" s="87"/>
      <c r="CC99" s="87"/>
      <c r="CD99" s="87"/>
      <c r="CE99" s="87"/>
      <c r="CF99" s="87"/>
      <c r="CG99" s="87"/>
      <c r="CH99" s="87"/>
      <c r="CI99" s="87"/>
      <c r="CJ99" s="87"/>
      <c r="CK99" s="87"/>
      <c r="CL99" s="87"/>
      <c r="CM99" s="87"/>
      <c r="CN99" s="87"/>
      <c r="CO99" s="87"/>
      <c r="CP99" s="87"/>
      <c r="CQ99" s="87"/>
      <c r="CR99" s="87"/>
      <c r="CS99" s="87"/>
      <c r="CT99" s="87"/>
    </row>
    <row r="100" customFormat="false" ht="12" hidden="false" customHeight="true" outlineLevel="0" collapsed="false">
      <c r="A100" s="67" t="n">
        <v>14</v>
      </c>
      <c r="B100" s="67" t="s">
        <v>107</v>
      </c>
      <c r="C100" s="67" t="s">
        <v>250</v>
      </c>
      <c r="D100" s="67" t="s">
        <v>60</v>
      </c>
      <c r="E100" s="67" t="s">
        <v>432</v>
      </c>
      <c r="F100" s="67" t="s">
        <v>449</v>
      </c>
      <c r="G100" s="67" t="s">
        <v>450</v>
      </c>
      <c r="H100" s="101" t="n">
        <v>300</v>
      </c>
      <c r="I100" s="102" t="n">
        <v>14.293</v>
      </c>
      <c r="J100" s="102" t="n">
        <v>0.048</v>
      </c>
      <c r="K100" s="102" t="n">
        <v>0.295</v>
      </c>
      <c r="L100" s="101" t="n">
        <v>25.9</v>
      </c>
      <c r="M100" s="103" t="n">
        <v>22</v>
      </c>
      <c r="N100" s="101" t="n">
        <v>22.2</v>
      </c>
      <c r="O100" s="102" t="n">
        <v>1.277</v>
      </c>
      <c r="P100" s="102" t="n">
        <v>0.057</v>
      </c>
      <c r="Q100" s="102" t="n">
        <v>0.238</v>
      </c>
      <c r="R100" s="101" t="n">
        <v>5.1</v>
      </c>
      <c r="S100" s="103" t="n">
        <v>1741</v>
      </c>
      <c r="T100" s="101" t="n">
        <v>3.7</v>
      </c>
      <c r="U100" s="101" t="n">
        <v>7.4</v>
      </c>
      <c r="V100" s="103" t="n">
        <v>21</v>
      </c>
      <c r="W100" s="101" t="n">
        <v>16.8</v>
      </c>
      <c r="X100" s="102" t="n">
        <v>1.383</v>
      </c>
      <c r="Y100" s="102" t="n">
        <v>0.082</v>
      </c>
      <c r="Z100" s="102" t="n">
        <v>0.199</v>
      </c>
      <c r="AA100" s="101" t="n">
        <v>3.1</v>
      </c>
      <c r="AB100" s="103" t="n">
        <v>1365</v>
      </c>
      <c r="AC100" s="101" t="n">
        <v>0</v>
      </c>
      <c r="AD100" s="101" t="n">
        <v>5.1</v>
      </c>
      <c r="AE100" s="103" t="n">
        <v>34</v>
      </c>
      <c r="AF100" s="101" t="n">
        <v>58.1</v>
      </c>
      <c r="AG100" s="102" t="n">
        <v>3.682</v>
      </c>
      <c r="AH100" s="102" t="n">
        <v>0.063</v>
      </c>
      <c r="AI100" s="101" t="n">
        <v>7.8</v>
      </c>
      <c r="AJ100" s="103" t="n">
        <v>33</v>
      </c>
      <c r="AK100" s="101" t="n">
        <v>241.9</v>
      </c>
      <c r="AL100" s="102" t="n">
        <v>10.611</v>
      </c>
      <c r="AM100" s="102" t="n">
        <v>0.044</v>
      </c>
      <c r="AN100" s="101" t="n">
        <v>18.1</v>
      </c>
      <c r="AO100" s="64" t="n">
        <f aca="false">Table2[[#This Row],[Inside_._time]]/Table2[[#This Row],[Duration]]</f>
        <v>0.193666666666667</v>
      </c>
      <c r="AP100" s="64" t="n">
        <f aca="false">Table2[[#This Row],[Outside_._time]]/Table2[[#This Row],[Duration]]</f>
        <v>0.806333333333333</v>
      </c>
      <c r="AQ100" s="64" t="n">
        <f aca="false">Table2[[#This Row],[Inside_._distance]]/Table2[[#This Row],[Distance]]</f>
        <v>0.257608619604002</v>
      </c>
      <c r="AR100" s="64" t="n">
        <f aca="false">Table2[[#This Row],[Outside_._distance]]/Table2[[#This Row],[Distance]]</f>
        <v>0.742391380395998</v>
      </c>
      <c r="AS100" s="63"/>
      <c r="AT100" s="63"/>
      <c r="AU100" s="63"/>
      <c r="AV100" s="61"/>
      <c r="AW100" s="63"/>
      <c r="AX100" s="63"/>
      <c r="AY100" s="67" t="s">
        <v>64</v>
      </c>
      <c r="AZ100" s="67" t="s">
        <v>65</v>
      </c>
      <c r="BA100" s="67" t="s">
        <v>66</v>
      </c>
      <c r="BB100" s="103" t="n">
        <v>169</v>
      </c>
      <c r="BC100" s="101" t="n">
        <v>5.63333333333333</v>
      </c>
      <c r="BD100" s="67" t="s">
        <v>81</v>
      </c>
      <c r="BE100" s="67" t="n">
        <v>4</v>
      </c>
      <c r="BF100" s="67" t="s">
        <v>109</v>
      </c>
      <c r="BG100" s="87"/>
      <c r="BH100" s="87"/>
      <c r="BI100" s="87"/>
      <c r="BJ100" s="87"/>
      <c r="BK100" s="87"/>
      <c r="BL100" s="87"/>
      <c r="BM100" s="87"/>
      <c r="BN100" s="87"/>
      <c r="BO100" s="87"/>
      <c r="BP100" s="87"/>
      <c r="BQ100" s="87"/>
      <c r="BR100" s="87"/>
      <c r="BS100" s="87"/>
      <c r="BT100" s="87"/>
      <c r="BU100" s="87"/>
      <c r="BV100" s="87"/>
      <c r="BW100" s="87"/>
      <c r="BX100" s="87"/>
      <c r="BY100" s="87"/>
      <c r="BZ100" s="87"/>
      <c r="CA100" s="87"/>
      <c r="CB100" s="87"/>
      <c r="CC100" s="87"/>
      <c r="CD100" s="87"/>
      <c r="CE100" s="87"/>
      <c r="CF100" s="87"/>
      <c r="CG100" s="87"/>
      <c r="CH100" s="87"/>
      <c r="CI100" s="87"/>
      <c r="CJ100" s="87"/>
      <c r="CK100" s="87"/>
      <c r="CL100" s="87"/>
      <c r="CM100" s="87"/>
      <c r="CN100" s="87"/>
      <c r="CO100" s="87"/>
      <c r="CP100" s="87"/>
      <c r="CQ100" s="87"/>
      <c r="CR100" s="87"/>
      <c r="CS100" s="87"/>
      <c r="CT100" s="87"/>
    </row>
    <row r="101" customFormat="false" ht="12" hidden="false" customHeight="true" outlineLevel="0" collapsed="false">
      <c r="A101" s="67" t="n">
        <v>13</v>
      </c>
      <c r="B101" s="67" t="s">
        <v>110</v>
      </c>
      <c r="C101" s="67" t="s">
        <v>250</v>
      </c>
      <c r="D101" s="67" t="s">
        <v>69</v>
      </c>
      <c r="E101" s="67" t="s">
        <v>432</v>
      </c>
      <c r="F101" s="67" t="s">
        <v>451</v>
      </c>
      <c r="G101" s="67" t="s">
        <v>452</v>
      </c>
      <c r="H101" s="101" t="n">
        <v>300</v>
      </c>
      <c r="I101" s="102" t="n">
        <v>9.187</v>
      </c>
      <c r="J101" s="102" t="n">
        <v>0.031</v>
      </c>
      <c r="K101" s="102" t="n">
        <v>0.282</v>
      </c>
      <c r="L101" s="101" t="n">
        <v>68.7</v>
      </c>
      <c r="M101" s="103" t="n">
        <v>17</v>
      </c>
      <c r="N101" s="101" t="n">
        <v>29.6</v>
      </c>
      <c r="O101" s="102" t="n">
        <v>0.839</v>
      </c>
      <c r="P101" s="102" t="n">
        <v>0.028</v>
      </c>
      <c r="Q101" s="102" t="n">
        <v>0.208</v>
      </c>
      <c r="R101" s="101" t="n">
        <v>23.7</v>
      </c>
      <c r="S101" s="103" t="n">
        <v>1185</v>
      </c>
      <c r="T101" s="101" t="n">
        <v>2.6</v>
      </c>
      <c r="U101" s="101" t="n">
        <v>25.7</v>
      </c>
      <c r="V101" s="103" t="n">
        <v>16</v>
      </c>
      <c r="W101" s="101" t="n">
        <v>17.3</v>
      </c>
      <c r="X101" s="102" t="n">
        <v>0.737</v>
      </c>
      <c r="Y101" s="102" t="n">
        <v>0.043</v>
      </c>
      <c r="Z101" s="102" t="n">
        <v>0.243</v>
      </c>
      <c r="AA101" s="101" t="n">
        <v>7.1</v>
      </c>
      <c r="AB101" s="103" t="n">
        <v>1164</v>
      </c>
      <c r="AC101" s="101" t="n">
        <v>1.3</v>
      </c>
      <c r="AD101" s="101" t="n">
        <v>2.8</v>
      </c>
      <c r="AE101" s="103" t="n">
        <v>13</v>
      </c>
      <c r="AF101" s="101" t="n">
        <v>14.2</v>
      </c>
      <c r="AG101" s="102" t="n">
        <v>0.875</v>
      </c>
      <c r="AH101" s="102" t="n">
        <v>0.062</v>
      </c>
      <c r="AI101" s="101" t="n">
        <v>0</v>
      </c>
      <c r="AJ101" s="103" t="n">
        <v>14</v>
      </c>
      <c r="AK101" s="101" t="n">
        <v>285.8</v>
      </c>
      <c r="AL101" s="102" t="n">
        <v>8.311</v>
      </c>
      <c r="AM101" s="102" t="n">
        <v>0.029</v>
      </c>
      <c r="AN101" s="101" t="n">
        <v>68.7</v>
      </c>
      <c r="AO101" s="64" t="n">
        <f aca="false">Table2[[#This Row],[Inside_._time]]/Table2[[#This Row],[Duration]]</f>
        <v>0.0473333333333333</v>
      </c>
      <c r="AP101" s="64" t="n">
        <f aca="false">Table2[[#This Row],[Outside_._time]]/Table2[[#This Row],[Duration]]</f>
        <v>0.952666666666667</v>
      </c>
      <c r="AQ101" s="64" t="n">
        <f aca="false">Table2[[#This Row],[Inside_._distance]]/Table2[[#This Row],[Distance]]</f>
        <v>0.0952432785457712</v>
      </c>
      <c r="AR101" s="64" t="n">
        <f aca="false">Table2[[#This Row],[Outside_._distance]]/Table2[[#This Row],[Distance]]</f>
        <v>0.904647871993034</v>
      </c>
      <c r="AS101" s="63"/>
      <c r="AT101" s="63"/>
      <c r="AU101" s="63"/>
      <c r="AV101" s="61"/>
      <c r="AW101" s="63"/>
      <c r="AX101" s="63"/>
      <c r="AY101" s="67" t="s">
        <v>71</v>
      </c>
      <c r="AZ101" s="67" t="s">
        <v>65</v>
      </c>
      <c r="BA101" s="67" t="s">
        <v>72</v>
      </c>
      <c r="BB101" s="103" t="n">
        <v>169</v>
      </c>
      <c r="BC101" s="101" t="n">
        <v>5.63333333333333</v>
      </c>
      <c r="BD101" s="67" t="s">
        <v>67</v>
      </c>
      <c r="BE101" s="67" t="n">
        <v>1</v>
      </c>
      <c r="BF101" s="67"/>
      <c r="BG101" s="87"/>
      <c r="BH101" s="87"/>
      <c r="BI101" s="87"/>
      <c r="BJ101" s="87"/>
      <c r="BK101" s="87"/>
      <c r="BL101" s="87"/>
      <c r="BM101" s="87"/>
      <c r="BN101" s="87"/>
      <c r="BO101" s="87"/>
      <c r="BP101" s="87"/>
      <c r="BQ101" s="87"/>
      <c r="BR101" s="87"/>
      <c r="BS101" s="87"/>
      <c r="BT101" s="87"/>
      <c r="BU101" s="87"/>
      <c r="BV101" s="87"/>
      <c r="BW101" s="87"/>
      <c r="BX101" s="87"/>
      <c r="BY101" s="87"/>
      <c r="BZ101" s="87"/>
      <c r="CA101" s="87"/>
      <c r="CB101" s="87"/>
      <c r="CC101" s="87"/>
      <c r="CD101" s="87"/>
      <c r="CE101" s="87"/>
      <c r="CF101" s="87"/>
      <c r="CG101" s="87"/>
      <c r="CH101" s="87"/>
      <c r="CI101" s="87"/>
      <c r="CJ101" s="87"/>
      <c r="CK101" s="87"/>
      <c r="CL101" s="87"/>
      <c r="CM101" s="87"/>
      <c r="CN101" s="87"/>
      <c r="CO101" s="87"/>
      <c r="CP101" s="87"/>
      <c r="CQ101" s="87"/>
      <c r="CR101" s="87"/>
      <c r="CS101" s="87"/>
      <c r="CT101" s="87"/>
    </row>
    <row r="102" customFormat="false" ht="12" hidden="false" customHeight="true" outlineLevel="0" collapsed="false">
      <c r="A102" s="67" t="n">
        <v>16</v>
      </c>
      <c r="B102" s="67" t="s">
        <v>112</v>
      </c>
      <c r="C102" s="67" t="s">
        <v>250</v>
      </c>
      <c r="D102" s="67" t="s">
        <v>74</v>
      </c>
      <c r="E102" s="67" t="s">
        <v>432</v>
      </c>
      <c r="F102" s="67" t="s">
        <v>453</v>
      </c>
      <c r="G102" s="67" t="s">
        <v>454</v>
      </c>
      <c r="H102" s="101" t="n">
        <v>300</v>
      </c>
      <c r="I102" s="102" t="n">
        <v>15.336</v>
      </c>
      <c r="J102" s="102" t="n">
        <v>0.051</v>
      </c>
      <c r="K102" s="102" t="n">
        <v>0.262</v>
      </c>
      <c r="L102" s="101" t="n">
        <v>6.1</v>
      </c>
      <c r="M102" s="103" t="n">
        <v>33</v>
      </c>
      <c r="N102" s="101" t="n">
        <v>36.8</v>
      </c>
      <c r="O102" s="102" t="n">
        <v>1.737</v>
      </c>
      <c r="P102" s="102" t="n">
        <v>0.047</v>
      </c>
      <c r="Q102" s="102" t="n">
        <v>0.257</v>
      </c>
      <c r="R102" s="101" t="n">
        <v>4.2</v>
      </c>
      <c r="S102" s="103" t="n">
        <v>2540</v>
      </c>
      <c r="T102" s="101" t="n">
        <v>1.2</v>
      </c>
      <c r="U102" s="101" t="n">
        <v>6.2</v>
      </c>
      <c r="V102" s="103" t="n">
        <v>28</v>
      </c>
      <c r="W102" s="101" t="n">
        <v>13.3</v>
      </c>
      <c r="X102" s="102" t="n">
        <v>1.329</v>
      </c>
      <c r="Y102" s="102" t="n">
        <v>0.1</v>
      </c>
      <c r="Z102" s="102" t="n">
        <v>0.21</v>
      </c>
      <c r="AA102" s="101" t="n">
        <v>3.8</v>
      </c>
      <c r="AB102" s="103" t="n">
        <v>1560</v>
      </c>
      <c r="AC102" s="101" t="n">
        <v>0</v>
      </c>
      <c r="AD102" s="101" t="n">
        <v>6.2</v>
      </c>
      <c r="AE102" s="103" t="n">
        <v>31</v>
      </c>
      <c r="AF102" s="101" t="n">
        <v>50.9</v>
      </c>
      <c r="AG102" s="102" t="n">
        <v>4.544</v>
      </c>
      <c r="AH102" s="102" t="n">
        <v>0.089</v>
      </c>
      <c r="AI102" s="101" t="n">
        <v>0</v>
      </c>
      <c r="AJ102" s="103" t="n">
        <v>31</v>
      </c>
      <c r="AK102" s="101" t="n">
        <v>249.1</v>
      </c>
      <c r="AL102" s="102" t="n">
        <v>10.791</v>
      </c>
      <c r="AM102" s="102" t="n">
        <v>0.043</v>
      </c>
      <c r="AN102" s="101" t="n">
        <v>6.1</v>
      </c>
      <c r="AO102" s="64" t="n">
        <f aca="false">Table2[[#This Row],[Inside_._time]]/Table2[[#This Row],[Duration]]</f>
        <v>0.169666666666667</v>
      </c>
      <c r="AP102" s="64" t="n">
        <f aca="false">Table2[[#This Row],[Outside_._time]]/Table2[[#This Row],[Duration]]</f>
        <v>0.830333333333333</v>
      </c>
      <c r="AQ102" s="64" t="n">
        <f aca="false">Table2[[#This Row],[Inside_._distance]]/Table2[[#This Row],[Distance]]</f>
        <v>0.296296296296296</v>
      </c>
      <c r="AR102" s="64" t="n">
        <f aca="false">Table2[[#This Row],[Outside_._distance]]/Table2[[#This Row],[Distance]]</f>
        <v>0.703638497652582</v>
      </c>
      <c r="AS102" s="63"/>
      <c r="AT102" s="63"/>
      <c r="AU102" s="63"/>
      <c r="AV102" s="61"/>
      <c r="AW102" s="63"/>
      <c r="AX102" s="63"/>
      <c r="AY102" s="67" t="s">
        <v>71</v>
      </c>
      <c r="AZ102" s="67" t="s">
        <v>76</v>
      </c>
      <c r="BA102" s="67" t="s">
        <v>66</v>
      </c>
      <c r="BB102" s="103" t="n">
        <v>169</v>
      </c>
      <c r="BC102" s="101" t="n">
        <v>5.63333333333333</v>
      </c>
      <c r="BD102" s="67" t="s">
        <v>67</v>
      </c>
      <c r="BE102" s="67" t="n">
        <v>7</v>
      </c>
      <c r="BF102" s="67"/>
      <c r="BG102" s="87"/>
      <c r="BH102" s="87"/>
      <c r="BI102" s="87"/>
      <c r="BJ102" s="87"/>
      <c r="BK102" s="87"/>
      <c r="BL102" s="87"/>
      <c r="BM102" s="87"/>
      <c r="BN102" s="87"/>
      <c r="BO102" s="87"/>
      <c r="BP102" s="87"/>
      <c r="BQ102" s="87"/>
      <c r="BR102" s="87"/>
      <c r="BS102" s="87"/>
      <c r="BT102" s="87"/>
      <c r="BU102" s="87"/>
      <c r="BV102" s="87"/>
      <c r="BW102" s="87"/>
      <c r="BX102" s="87"/>
      <c r="BY102" s="87"/>
      <c r="BZ102" s="87"/>
      <c r="CA102" s="87"/>
      <c r="CB102" s="87"/>
      <c r="CC102" s="87"/>
      <c r="CD102" s="87"/>
      <c r="CE102" s="87"/>
      <c r="CF102" s="87"/>
      <c r="CG102" s="87"/>
      <c r="CH102" s="87"/>
      <c r="CI102" s="87"/>
      <c r="CJ102" s="87"/>
      <c r="CK102" s="87"/>
      <c r="CL102" s="87"/>
      <c r="CM102" s="87"/>
      <c r="CN102" s="87"/>
      <c r="CO102" s="87"/>
      <c r="CP102" s="87"/>
      <c r="CQ102" s="87"/>
      <c r="CR102" s="87"/>
      <c r="CS102" s="87"/>
      <c r="CT102" s="87"/>
    </row>
    <row r="103" customFormat="false" ht="12" hidden="false" customHeight="true" outlineLevel="0" collapsed="false">
      <c r="A103" s="67" t="n">
        <v>15</v>
      </c>
      <c r="B103" s="67" t="s">
        <v>114</v>
      </c>
      <c r="C103" s="67" t="s">
        <v>250</v>
      </c>
      <c r="D103" s="67" t="s">
        <v>79</v>
      </c>
      <c r="E103" s="67" t="s">
        <v>432</v>
      </c>
      <c r="F103" s="67" t="s">
        <v>453</v>
      </c>
      <c r="G103" s="67" t="s">
        <v>455</v>
      </c>
      <c r="H103" s="101" t="n">
        <v>300</v>
      </c>
      <c r="I103" s="102" t="n">
        <v>5.466</v>
      </c>
      <c r="J103" s="102" t="n">
        <v>0.018</v>
      </c>
      <c r="K103" s="102" t="n">
        <v>0.249</v>
      </c>
      <c r="L103" s="101" t="n">
        <v>45.5</v>
      </c>
      <c r="M103" s="103" t="n">
        <v>7</v>
      </c>
      <c r="N103" s="101" t="n">
        <v>9.3</v>
      </c>
      <c r="O103" s="102" t="n">
        <v>0.423</v>
      </c>
      <c r="P103" s="102" t="n">
        <v>0.046</v>
      </c>
      <c r="Q103" s="102" t="n">
        <v>0.206</v>
      </c>
      <c r="R103" s="101" t="n">
        <v>0.2</v>
      </c>
      <c r="S103" s="103" t="n">
        <v>787</v>
      </c>
      <c r="T103" s="101" t="n">
        <v>0</v>
      </c>
      <c r="U103" s="101" t="n">
        <v>0.6</v>
      </c>
      <c r="V103" s="103" t="n">
        <v>9</v>
      </c>
      <c r="W103" s="101" t="n">
        <v>19</v>
      </c>
      <c r="X103" s="102" t="n">
        <v>0.227</v>
      </c>
      <c r="Y103" s="102" t="n">
        <v>0.012</v>
      </c>
      <c r="Z103" s="102" t="n">
        <v>0.213</v>
      </c>
      <c r="AA103" s="101" t="n">
        <v>0.3</v>
      </c>
      <c r="AB103" s="103" t="n">
        <v>1390</v>
      </c>
      <c r="AC103" s="101" t="n">
        <v>6.3</v>
      </c>
      <c r="AD103" s="101" t="n">
        <v>0.4</v>
      </c>
      <c r="AE103" s="103" t="n">
        <v>18</v>
      </c>
      <c r="AF103" s="101" t="n">
        <v>24</v>
      </c>
      <c r="AG103" s="102" t="n">
        <v>0.78</v>
      </c>
      <c r="AH103" s="102" t="n">
        <v>0.032</v>
      </c>
      <c r="AI103" s="101" t="n">
        <v>1.2</v>
      </c>
      <c r="AJ103" s="103" t="n">
        <v>19</v>
      </c>
      <c r="AK103" s="101" t="n">
        <v>276</v>
      </c>
      <c r="AL103" s="102" t="n">
        <v>4.686</v>
      </c>
      <c r="AM103" s="102" t="n">
        <v>0.017</v>
      </c>
      <c r="AN103" s="101" t="n">
        <v>44.3</v>
      </c>
      <c r="AO103" s="64" t="n">
        <f aca="false">Table2[[#This Row],[Inside_._time]]/Table2[[#This Row],[Duration]]</f>
        <v>0.08</v>
      </c>
      <c r="AP103" s="64" t="n">
        <f aca="false">Table2[[#This Row],[Outside_._time]]/Table2[[#This Row],[Duration]]</f>
        <v>0.92</v>
      </c>
      <c r="AQ103" s="64" t="n">
        <f aca="false">Table2[[#This Row],[Inside_._distance]]/Table2[[#This Row],[Distance]]</f>
        <v>0.142700329308452</v>
      </c>
      <c r="AR103" s="64" t="n">
        <f aca="false">Table2[[#This Row],[Outside_._distance]]/Table2[[#This Row],[Distance]]</f>
        <v>0.857299670691548</v>
      </c>
      <c r="AS103" s="63"/>
      <c r="AT103" s="63"/>
      <c r="AU103" s="63"/>
      <c r="AV103" s="61"/>
      <c r="AW103" s="63"/>
      <c r="AX103" s="63"/>
      <c r="AY103" s="67" t="s">
        <v>71</v>
      </c>
      <c r="AZ103" s="67" t="s">
        <v>65</v>
      </c>
      <c r="BA103" s="67" t="s">
        <v>66</v>
      </c>
      <c r="BB103" s="103" t="n">
        <v>169</v>
      </c>
      <c r="BC103" s="101" t="n">
        <v>5.63333333333333</v>
      </c>
      <c r="BD103" s="67" t="s">
        <v>67</v>
      </c>
      <c r="BE103" s="67" t="n">
        <v>3</v>
      </c>
      <c r="BF103" s="67"/>
      <c r="BG103" s="87"/>
      <c r="BH103" s="87"/>
      <c r="BI103" s="87"/>
      <c r="BJ103" s="87"/>
      <c r="BK103" s="87"/>
      <c r="BL103" s="87"/>
      <c r="BM103" s="87"/>
      <c r="BN103" s="87"/>
      <c r="BO103" s="87"/>
      <c r="BP103" s="87"/>
      <c r="BQ103" s="87"/>
      <c r="BR103" s="87"/>
      <c r="BS103" s="87"/>
      <c r="BT103" s="87"/>
      <c r="BU103" s="87"/>
      <c r="BV103" s="87"/>
      <c r="BW103" s="87"/>
      <c r="BX103" s="87"/>
      <c r="BY103" s="87"/>
      <c r="BZ103" s="87"/>
      <c r="CA103" s="87"/>
      <c r="CB103" s="87"/>
      <c r="CC103" s="87"/>
      <c r="CD103" s="87"/>
      <c r="CE103" s="87"/>
      <c r="CF103" s="87"/>
      <c r="CG103" s="87"/>
      <c r="CH103" s="87"/>
      <c r="CI103" s="87"/>
      <c r="CJ103" s="87"/>
      <c r="CK103" s="87"/>
      <c r="CL103" s="87"/>
      <c r="CM103" s="87"/>
      <c r="CN103" s="87"/>
      <c r="CO103" s="87"/>
      <c r="CP103" s="87"/>
      <c r="CQ103" s="87"/>
      <c r="CR103" s="87"/>
      <c r="CS103" s="87"/>
      <c r="CT103" s="87"/>
    </row>
    <row r="104" customFormat="false" ht="12" hidden="false" customHeight="true" outlineLevel="0" collapsed="false">
      <c r="A104" s="67" t="n">
        <v>18</v>
      </c>
      <c r="B104" s="67" t="s">
        <v>117</v>
      </c>
      <c r="C104" s="67" t="s">
        <v>250</v>
      </c>
      <c r="D104" s="67" t="s">
        <v>60</v>
      </c>
      <c r="E104" s="67" t="s">
        <v>432</v>
      </c>
      <c r="F104" s="67" t="s">
        <v>456</v>
      </c>
      <c r="G104" s="67" t="s">
        <v>457</v>
      </c>
      <c r="H104" s="101" t="n">
        <v>300</v>
      </c>
      <c r="I104" s="102" t="n">
        <v>3.999</v>
      </c>
      <c r="J104" s="102" t="n">
        <v>0.013</v>
      </c>
      <c r="K104" s="102" t="n">
        <v>0.221</v>
      </c>
      <c r="L104" s="101" t="n">
        <v>120</v>
      </c>
      <c r="M104" s="103" t="n">
        <v>8</v>
      </c>
      <c r="N104" s="101" t="n">
        <v>58.2</v>
      </c>
      <c r="O104" s="102" t="n">
        <v>0.48</v>
      </c>
      <c r="P104" s="102" t="n">
        <v>0.008</v>
      </c>
      <c r="Q104" s="102" t="n">
        <v>0.22</v>
      </c>
      <c r="R104" s="101" t="n">
        <v>21.8</v>
      </c>
      <c r="S104" s="103" t="n">
        <v>2857</v>
      </c>
      <c r="T104" s="101" t="n">
        <v>20</v>
      </c>
      <c r="U104" s="101" t="n">
        <v>0.9</v>
      </c>
      <c r="V104" s="103" t="n">
        <v>6</v>
      </c>
      <c r="W104" s="101" t="n">
        <v>3.6</v>
      </c>
      <c r="X104" s="102" t="n">
        <v>0.275</v>
      </c>
      <c r="Y104" s="102" t="n">
        <v>0.077</v>
      </c>
      <c r="Z104" s="102" t="n">
        <v>0.174</v>
      </c>
      <c r="AA104" s="101" t="n">
        <v>0.4</v>
      </c>
      <c r="AB104" s="103" t="n">
        <v>363</v>
      </c>
      <c r="AC104" s="101" t="n">
        <v>0</v>
      </c>
      <c r="AD104" s="101" t="n">
        <v>0.5</v>
      </c>
      <c r="AE104" s="103" t="n">
        <v>8</v>
      </c>
      <c r="AF104" s="101" t="n">
        <v>14.4</v>
      </c>
      <c r="AG104" s="102" t="n">
        <v>0.621</v>
      </c>
      <c r="AH104" s="102" t="n">
        <v>0.043</v>
      </c>
      <c r="AI104" s="101" t="n">
        <v>1.9</v>
      </c>
      <c r="AJ104" s="103" t="n">
        <v>9</v>
      </c>
      <c r="AK104" s="101" t="n">
        <v>285.6</v>
      </c>
      <c r="AL104" s="102" t="n">
        <v>3.378</v>
      </c>
      <c r="AM104" s="102" t="n">
        <v>0.012</v>
      </c>
      <c r="AN104" s="101" t="n">
        <v>118</v>
      </c>
      <c r="AO104" s="64" t="n">
        <f aca="false">Table2[[#This Row],[Inside_._time]]/Table2[[#This Row],[Duration]]</f>
        <v>0.048</v>
      </c>
      <c r="AP104" s="64" t="n">
        <f aca="false">Table2[[#This Row],[Outside_._time]]/Table2[[#This Row],[Duration]]</f>
        <v>0.952</v>
      </c>
      <c r="AQ104" s="64" t="n">
        <f aca="false">Table2[[#This Row],[Inside_._distance]]/Table2[[#This Row],[Distance]]</f>
        <v>0.155288822205551</v>
      </c>
      <c r="AR104" s="64" t="n">
        <f aca="false">Table2[[#This Row],[Outside_._distance]]/Table2[[#This Row],[Distance]]</f>
        <v>0.844711177794449</v>
      </c>
      <c r="AS104" s="63"/>
      <c r="AT104" s="63"/>
      <c r="AU104" s="63"/>
      <c r="AV104" s="61"/>
      <c r="AW104" s="63"/>
      <c r="AX104" s="63"/>
      <c r="AY104" s="67" t="s">
        <v>64</v>
      </c>
      <c r="AZ104" s="67" t="s">
        <v>65</v>
      </c>
      <c r="BA104" s="67" t="s">
        <v>66</v>
      </c>
      <c r="BB104" s="103" t="n">
        <v>159</v>
      </c>
      <c r="BC104" s="101" t="n">
        <v>5.3</v>
      </c>
      <c r="BD104" s="67" t="s">
        <v>67</v>
      </c>
      <c r="BE104" s="67" t="n">
        <v>3</v>
      </c>
      <c r="BF104" s="6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87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</row>
    <row r="105" customFormat="false" ht="12" hidden="false" customHeight="true" outlineLevel="0" collapsed="false">
      <c r="A105" s="67" t="n">
        <v>17</v>
      </c>
      <c r="B105" s="67" t="s">
        <v>119</v>
      </c>
      <c r="C105" s="67" t="s">
        <v>250</v>
      </c>
      <c r="D105" s="67" t="s">
        <v>69</v>
      </c>
      <c r="E105" s="67" t="s">
        <v>432</v>
      </c>
      <c r="F105" s="67" t="s">
        <v>458</v>
      </c>
      <c r="G105" s="67" t="s">
        <v>459</v>
      </c>
      <c r="H105" s="101" t="n">
        <v>300</v>
      </c>
      <c r="I105" s="102" t="n">
        <v>4.519</v>
      </c>
      <c r="J105" s="102" t="n">
        <v>0.015</v>
      </c>
      <c r="K105" s="102" t="n">
        <v>0.25</v>
      </c>
      <c r="L105" s="101" t="n">
        <v>105.8</v>
      </c>
      <c r="M105" s="103" t="n">
        <v>11</v>
      </c>
      <c r="N105" s="101" t="n">
        <v>39.1</v>
      </c>
      <c r="O105" s="102" t="n">
        <v>0.492</v>
      </c>
      <c r="P105" s="102" t="n">
        <v>0.013</v>
      </c>
      <c r="Q105" s="102" t="n">
        <v>0.239</v>
      </c>
      <c r="R105" s="101" t="n">
        <v>5.6</v>
      </c>
      <c r="S105" s="103" t="n">
        <v>1726</v>
      </c>
      <c r="T105" s="101" t="n">
        <v>16.9</v>
      </c>
      <c r="U105" s="101" t="n">
        <v>0.9</v>
      </c>
      <c r="V105" s="103" t="n">
        <v>24</v>
      </c>
      <c r="W105" s="101" t="n">
        <v>25.4</v>
      </c>
      <c r="X105" s="102" t="n">
        <v>0.401</v>
      </c>
      <c r="Y105" s="102" t="n">
        <v>0.016</v>
      </c>
      <c r="Z105" s="102" t="n">
        <v>0.25</v>
      </c>
      <c r="AA105" s="101" t="n">
        <v>12.6</v>
      </c>
      <c r="AB105" s="103" t="n">
        <v>1383</v>
      </c>
      <c r="AC105" s="101" t="n">
        <v>2.3</v>
      </c>
      <c r="AD105" s="101" t="n">
        <v>23.4</v>
      </c>
      <c r="AE105" s="103" t="n">
        <v>7</v>
      </c>
      <c r="AF105" s="101" t="n">
        <v>23.8</v>
      </c>
      <c r="AG105" s="102" t="n">
        <v>0.976</v>
      </c>
      <c r="AH105" s="102" t="n">
        <v>0.041</v>
      </c>
      <c r="AI105" s="101" t="n">
        <v>2.5</v>
      </c>
      <c r="AJ105" s="103" t="n">
        <v>8</v>
      </c>
      <c r="AK105" s="101" t="n">
        <v>276.2</v>
      </c>
      <c r="AL105" s="102" t="n">
        <v>3.543</v>
      </c>
      <c r="AM105" s="102" t="n">
        <v>0.013</v>
      </c>
      <c r="AN105" s="101" t="n">
        <v>103.3</v>
      </c>
      <c r="AO105" s="64" t="n">
        <f aca="false">Table2[[#This Row],[Inside_._time]]/Table2[[#This Row],[Duration]]</f>
        <v>0.0793333333333333</v>
      </c>
      <c r="AP105" s="64" t="n">
        <f aca="false">Table2[[#This Row],[Outside_._time]]/Table2[[#This Row],[Duration]]</f>
        <v>0.920666666666667</v>
      </c>
      <c r="AQ105" s="64" t="n">
        <f aca="false">Table2[[#This Row],[Inside_._distance]]/Table2[[#This Row],[Distance]]</f>
        <v>0.215976986058863</v>
      </c>
      <c r="AR105" s="64" t="n">
        <f aca="false">Table2[[#This Row],[Outside_._distance]]/Table2[[#This Row],[Distance]]</f>
        <v>0.784023013941137</v>
      </c>
      <c r="AS105" s="63"/>
      <c r="AT105" s="63"/>
      <c r="AU105" s="63"/>
      <c r="AV105" s="61"/>
      <c r="AW105" s="63"/>
      <c r="AX105" s="63"/>
      <c r="AY105" s="67" t="s">
        <v>64</v>
      </c>
      <c r="AZ105" s="67" t="s">
        <v>76</v>
      </c>
      <c r="BA105" s="67" t="s">
        <v>66</v>
      </c>
      <c r="BB105" s="103" t="n">
        <v>159</v>
      </c>
      <c r="BC105" s="101" t="n">
        <v>5.3</v>
      </c>
      <c r="BD105" s="67" t="s">
        <v>81</v>
      </c>
      <c r="BE105" s="67" t="n">
        <v>8</v>
      </c>
      <c r="BF105" s="6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  <c r="CC105" s="87"/>
      <c r="CD105" s="87"/>
      <c r="CE105" s="87"/>
      <c r="CF105" s="87"/>
      <c r="CG105" s="87"/>
      <c r="CH105" s="87"/>
      <c r="CI105" s="87"/>
      <c r="CJ105" s="87"/>
      <c r="CK105" s="87"/>
      <c r="CL105" s="87"/>
      <c r="CM105" s="87"/>
      <c r="CN105" s="87"/>
      <c r="CO105" s="87"/>
      <c r="CP105" s="87"/>
      <c r="CQ105" s="87"/>
      <c r="CR105" s="87"/>
      <c r="CS105" s="87"/>
      <c r="CT105" s="87"/>
    </row>
    <row r="106" customFormat="false" ht="12" hidden="false" customHeight="true" outlineLevel="0" collapsed="false">
      <c r="A106" s="67" t="n">
        <v>19</v>
      </c>
      <c r="B106" s="67" t="s">
        <v>121</v>
      </c>
      <c r="C106" s="67" t="s">
        <v>250</v>
      </c>
      <c r="D106" s="67" t="s">
        <v>74</v>
      </c>
      <c r="E106" s="67" t="s">
        <v>432</v>
      </c>
      <c r="F106" s="67" t="s">
        <v>456</v>
      </c>
      <c r="G106" s="67" t="s">
        <v>460</v>
      </c>
      <c r="H106" s="101" t="n">
        <v>300</v>
      </c>
      <c r="I106" s="102" t="n">
        <v>6.664</v>
      </c>
      <c r="J106" s="102" t="n">
        <v>0.022</v>
      </c>
      <c r="K106" s="102" t="n">
        <v>0.255</v>
      </c>
      <c r="L106" s="101" t="n">
        <v>107.8</v>
      </c>
      <c r="M106" s="103" t="n">
        <v>10</v>
      </c>
      <c r="N106" s="101" t="n">
        <v>6.4</v>
      </c>
      <c r="O106" s="102" t="n">
        <v>0.42</v>
      </c>
      <c r="P106" s="102" t="n">
        <v>0.066</v>
      </c>
      <c r="Q106" s="102" t="n">
        <v>0.25</v>
      </c>
      <c r="R106" s="101" t="n">
        <v>1.3</v>
      </c>
      <c r="S106" s="103" t="n">
        <v>608</v>
      </c>
      <c r="T106" s="101" t="n">
        <v>0</v>
      </c>
      <c r="U106" s="101" t="n">
        <v>2.5</v>
      </c>
      <c r="V106" s="103" t="n">
        <v>20</v>
      </c>
      <c r="W106" s="101" t="n">
        <v>161.9</v>
      </c>
      <c r="X106" s="102" t="n">
        <v>0.691</v>
      </c>
      <c r="Y106" s="102" t="n">
        <v>0.004</v>
      </c>
      <c r="Z106" s="102" t="n">
        <v>0.249</v>
      </c>
      <c r="AA106" s="101" t="n">
        <v>68.5</v>
      </c>
      <c r="AB106" s="103" t="n">
        <v>7240</v>
      </c>
      <c r="AC106" s="101" t="n">
        <v>89.3</v>
      </c>
      <c r="AD106" s="101" t="n">
        <v>3.9</v>
      </c>
      <c r="AE106" s="103" t="n">
        <v>10</v>
      </c>
      <c r="AF106" s="101" t="n">
        <v>13.1</v>
      </c>
      <c r="AG106" s="102" t="n">
        <v>1.308</v>
      </c>
      <c r="AH106" s="102" t="n">
        <v>0.1</v>
      </c>
      <c r="AI106" s="101" t="n">
        <v>0</v>
      </c>
      <c r="AJ106" s="103" t="n">
        <v>11</v>
      </c>
      <c r="AK106" s="101" t="n">
        <v>286.9</v>
      </c>
      <c r="AL106" s="102" t="n">
        <v>5.356</v>
      </c>
      <c r="AM106" s="102" t="n">
        <v>0.019</v>
      </c>
      <c r="AN106" s="101" t="n">
        <v>107.8</v>
      </c>
      <c r="AO106" s="64" t="n">
        <f aca="false">Table2[[#This Row],[Inside_._time]]/Table2[[#This Row],[Duration]]</f>
        <v>0.0436666666666667</v>
      </c>
      <c r="AP106" s="64" t="n">
        <f aca="false">Table2[[#This Row],[Outside_._time]]/Table2[[#This Row],[Duration]]</f>
        <v>0.956333333333333</v>
      </c>
      <c r="AQ106" s="64" t="n">
        <f aca="false">Table2[[#This Row],[Inside_._distance]]/Table2[[#This Row],[Distance]]</f>
        <v>0.196278511404562</v>
      </c>
      <c r="AR106" s="64" t="n">
        <f aca="false">Table2[[#This Row],[Outside_._distance]]/Table2[[#This Row],[Distance]]</f>
        <v>0.803721488595438</v>
      </c>
      <c r="AS106" s="63"/>
      <c r="AT106" s="63"/>
      <c r="AU106" s="63"/>
      <c r="AV106" s="61"/>
      <c r="AW106" s="63"/>
      <c r="AX106" s="63"/>
      <c r="AY106" s="67" t="s">
        <v>71</v>
      </c>
      <c r="AZ106" s="67" t="s">
        <v>65</v>
      </c>
      <c r="BA106" s="67" t="s">
        <v>66</v>
      </c>
      <c r="BB106" s="103" t="n">
        <v>159</v>
      </c>
      <c r="BC106" s="101" t="n">
        <v>5.3</v>
      </c>
      <c r="BD106" s="67" t="s">
        <v>67</v>
      </c>
      <c r="BE106" s="67" t="n">
        <v>3</v>
      </c>
      <c r="BF106" s="67"/>
      <c r="BG106" s="87"/>
      <c r="BH106" s="87"/>
      <c r="BI106" s="87"/>
      <c r="BJ106" s="87"/>
      <c r="BK106" s="87"/>
      <c r="BL106" s="87"/>
      <c r="BM106" s="87"/>
      <c r="BN106" s="87"/>
      <c r="BO106" s="87"/>
    </row>
    <row r="107" customFormat="false" ht="12" hidden="false" customHeight="true" outlineLevel="0" collapsed="false">
      <c r="A107" s="67" t="n">
        <v>20</v>
      </c>
      <c r="B107" s="67" t="s">
        <v>123</v>
      </c>
      <c r="C107" s="67" t="s">
        <v>250</v>
      </c>
      <c r="D107" s="67" t="s">
        <v>79</v>
      </c>
      <c r="E107" s="67" t="s">
        <v>432</v>
      </c>
      <c r="F107" s="67" t="s">
        <v>456</v>
      </c>
      <c r="G107" s="67" t="s">
        <v>461</v>
      </c>
      <c r="H107" s="101" t="n">
        <v>300</v>
      </c>
      <c r="I107" s="102" t="n">
        <v>10.236</v>
      </c>
      <c r="J107" s="102" t="n">
        <v>0.034</v>
      </c>
      <c r="K107" s="102" t="n">
        <v>0.287</v>
      </c>
      <c r="L107" s="101" t="n">
        <v>37.9</v>
      </c>
      <c r="M107" s="103" t="n">
        <v>25</v>
      </c>
      <c r="N107" s="101" t="n">
        <v>12.8</v>
      </c>
      <c r="O107" s="102" t="n">
        <v>0.969</v>
      </c>
      <c r="P107" s="102" t="n">
        <v>0.075</v>
      </c>
      <c r="Q107" s="102" t="n">
        <v>0.25</v>
      </c>
      <c r="R107" s="101" t="n">
        <v>4.8</v>
      </c>
      <c r="S107" s="103" t="n">
        <v>792</v>
      </c>
      <c r="T107" s="101" t="n">
        <v>1.3</v>
      </c>
      <c r="U107" s="101" t="n">
        <v>6.3</v>
      </c>
      <c r="V107" s="103" t="n">
        <v>48</v>
      </c>
      <c r="W107" s="101" t="n">
        <v>60.9</v>
      </c>
      <c r="X107" s="102" t="n">
        <v>1.06</v>
      </c>
      <c r="Y107" s="102" t="n">
        <v>0.017</v>
      </c>
      <c r="Z107" s="102" t="n">
        <v>0.287</v>
      </c>
      <c r="AA107" s="101" t="n">
        <v>41.4</v>
      </c>
      <c r="AB107" s="103" t="n">
        <v>3735</v>
      </c>
      <c r="AC107" s="101" t="n">
        <v>13.3</v>
      </c>
      <c r="AD107" s="101" t="n">
        <v>44.9</v>
      </c>
      <c r="AE107" s="103" t="n">
        <v>14</v>
      </c>
      <c r="AF107" s="101" t="n">
        <v>17.9</v>
      </c>
      <c r="AG107" s="102" t="n">
        <v>1.868</v>
      </c>
      <c r="AH107" s="102" t="n">
        <v>0.104</v>
      </c>
      <c r="AI107" s="101" t="n">
        <v>0</v>
      </c>
      <c r="AJ107" s="103" t="n">
        <v>15</v>
      </c>
      <c r="AK107" s="101" t="n">
        <v>282.1</v>
      </c>
      <c r="AL107" s="102" t="n">
        <v>8.368</v>
      </c>
      <c r="AM107" s="102" t="n">
        <v>0.03</v>
      </c>
      <c r="AN107" s="101" t="n">
        <v>37.9</v>
      </c>
      <c r="AO107" s="64" t="n">
        <f aca="false">Table2[[#This Row],[Inside_._time]]/Table2[[#This Row],[Duration]]</f>
        <v>0.0596666666666667</v>
      </c>
      <c r="AP107" s="64" t="n">
        <f aca="false">Table2[[#This Row],[Outside_._time]]/Table2[[#This Row],[Duration]]</f>
        <v>0.940333333333333</v>
      </c>
      <c r="AQ107" s="64" t="n">
        <f aca="false">Table2[[#This Row],[Inside_._distance]]/Table2[[#This Row],[Distance]]</f>
        <v>0.182493161391168</v>
      </c>
      <c r="AR107" s="64" t="n">
        <f aca="false">Table2[[#This Row],[Outside_._distance]]/Table2[[#This Row],[Distance]]</f>
        <v>0.817506838608831</v>
      </c>
      <c r="AS107" s="63"/>
      <c r="AT107" s="63"/>
      <c r="AU107" s="63"/>
      <c r="AV107" s="61"/>
      <c r="AW107" s="63"/>
      <c r="AX107" s="63"/>
      <c r="AY107" s="67" t="s">
        <v>71</v>
      </c>
      <c r="AZ107" s="67" t="s">
        <v>76</v>
      </c>
      <c r="BA107" s="67" t="s">
        <v>72</v>
      </c>
      <c r="BB107" s="103" t="n">
        <v>159</v>
      </c>
      <c r="BC107" s="101" t="n">
        <v>5.3</v>
      </c>
      <c r="BD107" s="67" t="s">
        <v>67</v>
      </c>
      <c r="BE107" s="67" t="n">
        <v>5</v>
      </c>
      <c r="BF107" s="67"/>
      <c r="BG107" s="87"/>
      <c r="BH107" s="87"/>
      <c r="BI107" s="87"/>
      <c r="BJ107" s="87"/>
      <c r="BK107" s="87"/>
      <c r="BL107" s="87"/>
      <c r="BM107" s="87"/>
      <c r="BN107" s="87"/>
      <c r="BO107" s="87"/>
    </row>
    <row r="108" customFormat="false" ht="12" hidden="false" customHeight="true" outlineLevel="0" collapsed="false">
      <c r="A108" s="67" t="n">
        <v>24</v>
      </c>
      <c r="B108" s="67" t="s">
        <v>128</v>
      </c>
      <c r="C108" s="67" t="s">
        <v>250</v>
      </c>
      <c r="D108" s="67" t="s">
        <v>60</v>
      </c>
      <c r="E108" s="67" t="s">
        <v>432</v>
      </c>
      <c r="F108" s="67" t="s">
        <v>462</v>
      </c>
      <c r="G108" s="67" t="s">
        <v>463</v>
      </c>
      <c r="H108" s="101" t="n">
        <v>300</v>
      </c>
      <c r="I108" s="102" t="n">
        <v>8.587</v>
      </c>
      <c r="J108" s="102" t="n">
        <v>0.029</v>
      </c>
      <c r="K108" s="102" t="n">
        <v>0.237</v>
      </c>
      <c r="L108" s="101" t="n">
        <v>38.6</v>
      </c>
      <c r="M108" s="103" t="n">
        <v>15</v>
      </c>
      <c r="N108" s="101" t="n">
        <v>37.1</v>
      </c>
      <c r="O108" s="102" t="n">
        <v>0.649</v>
      </c>
      <c r="P108" s="102" t="n">
        <v>0.017</v>
      </c>
      <c r="Q108" s="102" t="n">
        <v>0.216</v>
      </c>
      <c r="R108" s="101" t="n">
        <v>21.7</v>
      </c>
      <c r="S108" s="103" t="n">
        <v>2126</v>
      </c>
      <c r="T108" s="101" t="n">
        <v>3.8</v>
      </c>
      <c r="U108" s="101" t="n">
        <v>31.7</v>
      </c>
      <c r="V108" s="103" t="n">
        <v>15</v>
      </c>
      <c r="W108" s="101" t="n">
        <v>37.1</v>
      </c>
      <c r="X108" s="102" t="n">
        <v>0.918</v>
      </c>
      <c r="Y108" s="102" t="n">
        <v>0.025</v>
      </c>
      <c r="Z108" s="102" t="n">
        <v>0.209</v>
      </c>
      <c r="AA108" s="101" t="n">
        <v>6.8</v>
      </c>
      <c r="AB108" s="103" t="n">
        <v>2166</v>
      </c>
      <c r="AC108" s="101" t="n">
        <v>4.3</v>
      </c>
      <c r="AD108" s="101" t="n">
        <v>10.4</v>
      </c>
      <c r="AE108" s="103" t="n">
        <v>13</v>
      </c>
      <c r="AF108" s="101" t="n">
        <v>21.9</v>
      </c>
      <c r="AG108" s="102" t="n">
        <v>1.487</v>
      </c>
      <c r="AH108" s="102" t="n">
        <v>0.068</v>
      </c>
      <c r="AI108" s="101" t="n">
        <v>0</v>
      </c>
      <c r="AJ108" s="103" t="n">
        <v>14</v>
      </c>
      <c r="AK108" s="101" t="n">
        <v>278.1</v>
      </c>
      <c r="AL108" s="102" t="n">
        <v>7.101</v>
      </c>
      <c r="AM108" s="102" t="n">
        <v>0.026</v>
      </c>
      <c r="AN108" s="101" t="n">
        <v>38.6</v>
      </c>
      <c r="AO108" s="64" t="n">
        <f aca="false">Table2[[#This Row],[Inside_._time]]/Table2[[#This Row],[Duration]]</f>
        <v>0.073</v>
      </c>
      <c r="AP108" s="64" t="n">
        <f aca="false">Table2[[#This Row],[Outside_._time]]/Table2[[#This Row],[Duration]]</f>
        <v>0.927</v>
      </c>
      <c r="AQ108" s="64" t="n">
        <f aca="false">Table2[[#This Row],[Inside_._distance]]/Table2[[#This Row],[Distance]]</f>
        <v>0.1731687434494</v>
      </c>
      <c r="AR108" s="64" t="n">
        <f aca="false">Table2[[#This Row],[Outside_._distance]]/Table2[[#This Row],[Distance]]</f>
        <v>0.826947711657156</v>
      </c>
      <c r="AS108" s="63"/>
      <c r="AT108" s="63"/>
      <c r="AU108" s="63"/>
      <c r="AV108" s="61"/>
      <c r="AW108" s="63"/>
      <c r="AX108" s="63"/>
      <c r="AY108" s="67" t="s">
        <v>64</v>
      </c>
      <c r="AZ108" s="67" t="s">
        <v>76</v>
      </c>
      <c r="BA108" s="67" t="s">
        <v>72</v>
      </c>
      <c r="BB108" s="103" t="n">
        <v>151</v>
      </c>
      <c r="BC108" s="101" t="n">
        <v>5.03333333333333</v>
      </c>
      <c r="BD108" s="67" t="s">
        <v>81</v>
      </c>
      <c r="BE108" s="67" t="n">
        <v>6</v>
      </c>
      <c r="BF108" s="67"/>
      <c r="BG108" s="87"/>
      <c r="BH108" s="87"/>
      <c r="BI108" s="87"/>
      <c r="BJ108" s="87"/>
      <c r="BK108" s="87"/>
      <c r="BL108" s="87"/>
      <c r="BM108" s="87"/>
      <c r="BN108" s="87"/>
      <c r="BO108" s="87"/>
    </row>
    <row r="109" customFormat="false" ht="12" hidden="false" customHeight="true" outlineLevel="0" collapsed="false">
      <c r="A109" s="67" t="n">
        <v>21</v>
      </c>
      <c r="B109" s="67" t="s">
        <v>130</v>
      </c>
      <c r="C109" s="67" t="s">
        <v>250</v>
      </c>
      <c r="D109" s="67" t="s">
        <v>69</v>
      </c>
      <c r="E109" s="67" t="s">
        <v>432</v>
      </c>
      <c r="F109" s="67" t="s">
        <v>462</v>
      </c>
      <c r="G109" s="67" t="s">
        <v>464</v>
      </c>
      <c r="H109" s="101" t="n">
        <v>300</v>
      </c>
      <c r="I109" s="102" t="n">
        <v>4.836</v>
      </c>
      <c r="J109" s="102" t="n">
        <v>0.016</v>
      </c>
      <c r="K109" s="102" t="n">
        <v>0.224</v>
      </c>
      <c r="L109" s="101" t="n">
        <v>96.8</v>
      </c>
      <c r="M109" s="103" t="n">
        <v>9</v>
      </c>
      <c r="N109" s="101" t="n">
        <v>24.6</v>
      </c>
      <c r="O109" s="102" t="n">
        <v>0.563</v>
      </c>
      <c r="P109" s="102" t="n">
        <v>0.023</v>
      </c>
      <c r="Q109" s="102" t="n">
        <v>0.224</v>
      </c>
      <c r="R109" s="101" t="n">
        <v>0.3</v>
      </c>
      <c r="S109" s="103" t="n">
        <v>632</v>
      </c>
      <c r="T109" s="101" t="n">
        <v>7.4</v>
      </c>
      <c r="U109" s="101" t="n">
        <v>7.8</v>
      </c>
      <c r="V109" s="103" t="n">
        <v>11</v>
      </c>
      <c r="W109" s="101" t="n">
        <v>6.4</v>
      </c>
      <c r="X109" s="102" t="n">
        <v>0.582</v>
      </c>
      <c r="Y109" s="102" t="n">
        <v>0.091</v>
      </c>
      <c r="Z109" s="102" t="n">
        <v>0.16</v>
      </c>
      <c r="AA109" s="101" t="n">
        <v>0.8</v>
      </c>
      <c r="AB109" s="103" t="n">
        <v>464</v>
      </c>
      <c r="AC109" s="101" t="n">
        <v>0</v>
      </c>
      <c r="AD109" s="101" t="n">
        <v>1.2</v>
      </c>
      <c r="AE109" s="103" t="n">
        <v>5</v>
      </c>
      <c r="AF109" s="101" t="n">
        <v>7.9</v>
      </c>
      <c r="AG109" s="102" t="n">
        <v>0.631</v>
      </c>
      <c r="AH109" s="102" t="n">
        <v>0.079</v>
      </c>
      <c r="AI109" s="101" t="n">
        <v>0</v>
      </c>
      <c r="AJ109" s="103" t="n">
        <v>6</v>
      </c>
      <c r="AK109" s="101" t="n">
        <v>292.1</v>
      </c>
      <c r="AL109" s="102" t="n">
        <v>4.205</v>
      </c>
      <c r="AM109" s="102" t="n">
        <v>0.014</v>
      </c>
      <c r="AN109" s="101" t="n">
        <v>96.8</v>
      </c>
      <c r="AO109" s="64" t="n">
        <f aca="false">Table2[[#This Row],[Inside_._time]]/Table2[[#This Row],[Duration]]</f>
        <v>0.0263333333333333</v>
      </c>
      <c r="AP109" s="64" t="n">
        <f aca="false">Table2[[#This Row],[Outside_._time]]/Table2[[#This Row],[Duration]]</f>
        <v>0.973666666666667</v>
      </c>
      <c r="AQ109" s="64" t="n">
        <f aca="false">Table2[[#This Row],[Inside_._distance]]/Table2[[#This Row],[Distance]]</f>
        <v>0.130479735318445</v>
      </c>
      <c r="AR109" s="64" t="n">
        <f aca="false">Table2[[#This Row],[Outside_._distance]]/Table2[[#This Row],[Distance]]</f>
        <v>0.869520264681555</v>
      </c>
      <c r="AS109" s="63"/>
      <c r="AT109" s="63"/>
      <c r="AU109" s="63"/>
      <c r="AV109" s="61"/>
      <c r="AW109" s="63"/>
      <c r="AX109" s="63"/>
      <c r="AY109" s="67" t="s">
        <v>64</v>
      </c>
      <c r="AZ109" s="67" t="s">
        <v>76</v>
      </c>
      <c r="BA109" s="67" t="s">
        <v>72</v>
      </c>
      <c r="BB109" s="103" t="n">
        <v>151</v>
      </c>
      <c r="BC109" s="101" t="n">
        <v>5.03333333333333</v>
      </c>
      <c r="BD109" s="67" t="s">
        <v>67</v>
      </c>
      <c r="BE109" s="67" t="n">
        <v>5</v>
      </c>
      <c r="BF109" s="67"/>
      <c r="BG109" s="87"/>
      <c r="BH109" s="87"/>
      <c r="BI109" s="87"/>
      <c r="BJ109" s="87"/>
      <c r="BK109" s="87"/>
      <c r="BL109" s="87"/>
      <c r="BM109" s="87"/>
      <c r="BN109" s="87"/>
      <c r="BO109" s="87"/>
    </row>
    <row r="110" customFormat="false" ht="12" hidden="false" customHeight="true" outlineLevel="0" collapsed="false">
      <c r="A110" s="67" t="n">
        <v>23</v>
      </c>
      <c r="B110" s="67" t="s">
        <v>135</v>
      </c>
      <c r="C110" s="67" t="s">
        <v>250</v>
      </c>
      <c r="D110" s="67" t="s">
        <v>74</v>
      </c>
      <c r="E110" s="67" t="s">
        <v>432</v>
      </c>
      <c r="F110" s="67" t="s">
        <v>462</v>
      </c>
      <c r="G110" s="67" t="s">
        <v>465</v>
      </c>
      <c r="H110" s="101" t="n">
        <v>300</v>
      </c>
      <c r="I110" s="102" t="n">
        <v>7.184</v>
      </c>
      <c r="J110" s="102" t="n">
        <v>0.024</v>
      </c>
      <c r="K110" s="102" t="n">
        <v>0.261</v>
      </c>
      <c r="L110" s="101" t="n">
        <v>21</v>
      </c>
      <c r="M110" s="103" t="n">
        <v>23</v>
      </c>
      <c r="N110" s="101" t="n">
        <v>24.6</v>
      </c>
      <c r="O110" s="102" t="n">
        <v>0.45</v>
      </c>
      <c r="P110" s="102" t="n">
        <v>0.018</v>
      </c>
      <c r="Q110" s="102" t="n">
        <v>0.191</v>
      </c>
      <c r="R110" s="101" t="n">
        <v>8.7</v>
      </c>
      <c r="S110" s="103" t="n">
        <v>1666</v>
      </c>
      <c r="T110" s="101" t="n">
        <v>2.9</v>
      </c>
      <c r="U110" s="101" t="n">
        <v>5</v>
      </c>
      <c r="V110" s="103" t="n">
        <v>27</v>
      </c>
      <c r="W110" s="101" t="n">
        <v>23.2</v>
      </c>
      <c r="X110" s="102" t="n">
        <v>0.755</v>
      </c>
      <c r="Y110" s="102" t="n">
        <v>0.032</v>
      </c>
      <c r="Z110" s="102" t="n">
        <v>0.199</v>
      </c>
      <c r="AA110" s="101" t="n">
        <v>6.7</v>
      </c>
      <c r="AB110" s="103" t="n">
        <v>1796</v>
      </c>
      <c r="AC110" s="101" t="n">
        <v>1.9</v>
      </c>
      <c r="AD110" s="101" t="n">
        <v>15.2</v>
      </c>
      <c r="AE110" s="103" t="n">
        <v>18</v>
      </c>
      <c r="AF110" s="101" t="n">
        <v>42.8</v>
      </c>
      <c r="AG110" s="102" t="n">
        <v>1.313</v>
      </c>
      <c r="AH110" s="102" t="n">
        <v>0.031</v>
      </c>
      <c r="AI110" s="101" t="n">
        <v>2.9</v>
      </c>
      <c r="AJ110" s="103" t="n">
        <v>18</v>
      </c>
      <c r="AK110" s="101" t="n">
        <v>257.2</v>
      </c>
      <c r="AL110" s="102" t="n">
        <v>5.871</v>
      </c>
      <c r="AM110" s="102" t="n">
        <v>0.023</v>
      </c>
      <c r="AN110" s="101" t="n">
        <v>18.1</v>
      </c>
      <c r="AO110" s="64" t="n">
        <f aca="false">Table2[[#This Row],[Inside_._time]]/Table2[[#This Row],[Duration]]</f>
        <v>0.142666666666667</v>
      </c>
      <c r="AP110" s="64" t="n">
        <f aca="false">Table2[[#This Row],[Outside_._time]]/Table2[[#This Row],[Duration]]</f>
        <v>0.857333333333333</v>
      </c>
      <c r="AQ110" s="64" t="n">
        <f aca="false">Table2[[#This Row],[Inside_._distance]]/Table2[[#This Row],[Distance]]</f>
        <v>0.182767260579065</v>
      </c>
      <c r="AR110" s="64" t="n">
        <f aca="false">Table2[[#This Row],[Outside_._distance]]/Table2[[#This Row],[Distance]]</f>
        <v>0.817232739420935</v>
      </c>
      <c r="AS110" s="63"/>
      <c r="AT110" s="63"/>
      <c r="AU110" s="63"/>
      <c r="AV110" s="61"/>
      <c r="AW110" s="63"/>
      <c r="AX110" s="63"/>
      <c r="AY110" s="67" t="s">
        <v>64</v>
      </c>
      <c r="AZ110" s="67" t="s">
        <v>76</v>
      </c>
      <c r="BA110" s="67" t="s">
        <v>72</v>
      </c>
      <c r="BB110" s="103" t="n">
        <v>151</v>
      </c>
      <c r="BC110" s="101" t="n">
        <v>5.03333333333333</v>
      </c>
      <c r="BD110" s="67" t="s">
        <v>81</v>
      </c>
      <c r="BE110" s="67" t="n">
        <v>6</v>
      </c>
      <c r="BF110" s="67"/>
      <c r="BG110" s="87"/>
      <c r="BH110" s="87"/>
      <c r="BI110" s="87"/>
      <c r="BJ110" s="87"/>
      <c r="BK110" s="87"/>
      <c r="BL110" s="87"/>
      <c r="BM110" s="87"/>
      <c r="BN110" s="87"/>
      <c r="BO110" s="87"/>
    </row>
    <row r="111" customFormat="false" ht="12" hidden="false" customHeight="true" outlineLevel="0" collapsed="false">
      <c r="A111" s="67" t="n">
        <v>22</v>
      </c>
      <c r="B111" s="67" t="s">
        <v>137</v>
      </c>
      <c r="C111" s="67" t="s">
        <v>250</v>
      </c>
      <c r="D111" s="67" t="s">
        <v>79</v>
      </c>
      <c r="E111" s="67" t="s">
        <v>432</v>
      </c>
      <c r="F111" s="67" t="s">
        <v>462</v>
      </c>
      <c r="G111" s="67" t="s">
        <v>466</v>
      </c>
      <c r="H111" s="101" t="n">
        <v>300</v>
      </c>
      <c r="I111" s="102" t="n">
        <v>3.453</v>
      </c>
      <c r="J111" s="102" t="n">
        <v>0.012</v>
      </c>
      <c r="K111" s="102" t="n">
        <v>0.229</v>
      </c>
      <c r="L111" s="101" t="n">
        <v>76.7</v>
      </c>
      <c r="M111" s="103" t="n">
        <v>14</v>
      </c>
      <c r="N111" s="101" t="n">
        <v>155.4</v>
      </c>
      <c r="O111" s="102" t="n">
        <v>0.513</v>
      </c>
      <c r="P111" s="102" t="n">
        <v>0.003</v>
      </c>
      <c r="Q111" s="102" t="n">
        <v>0.229</v>
      </c>
      <c r="R111" s="101" t="n">
        <v>58.9</v>
      </c>
      <c r="S111" s="103" t="n">
        <v>8033</v>
      </c>
      <c r="T111" s="101" t="n">
        <v>64.1</v>
      </c>
      <c r="U111" s="101" t="n">
        <v>8</v>
      </c>
      <c r="V111" s="103" t="n">
        <v>1</v>
      </c>
      <c r="W111" s="101" t="n">
        <v>0.3</v>
      </c>
      <c r="X111" s="102" t="n">
        <v>0.039</v>
      </c>
      <c r="Y111" s="102" t="n">
        <v>0.116</v>
      </c>
      <c r="Z111" s="102" t="n">
        <v>0.162</v>
      </c>
      <c r="AA111" s="101" t="n">
        <v>0.2</v>
      </c>
      <c r="AB111" s="103" t="n">
        <v>17</v>
      </c>
      <c r="AC111" s="101" t="n">
        <v>0</v>
      </c>
      <c r="AD111" s="101" t="n">
        <v>0.3</v>
      </c>
      <c r="AE111" s="103" t="n">
        <v>3</v>
      </c>
      <c r="AF111" s="101" t="n">
        <v>26.4</v>
      </c>
      <c r="AG111" s="102" t="n">
        <v>0.205</v>
      </c>
      <c r="AH111" s="102" t="n">
        <v>0.008</v>
      </c>
      <c r="AI111" s="101" t="n">
        <v>2.4</v>
      </c>
      <c r="AJ111" s="103" t="n">
        <v>4</v>
      </c>
      <c r="AK111" s="101" t="n">
        <v>273.6</v>
      </c>
      <c r="AL111" s="102" t="n">
        <v>3.247</v>
      </c>
      <c r="AM111" s="102" t="n">
        <v>0.012</v>
      </c>
      <c r="AN111" s="101" t="n">
        <v>74.3</v>
      </c>
      <c r="AO111" s="64" t="n">
        <f aca="false">Table2[[#This Row],[Inside_._time]]/Table2[[#This Row],[Duration]]</f>
        <v>0.088</v>
      </c>
      <c r="AP111" s="64" t="n">
        <f aca="false">Table2[[#This Row],[Outside_._time]]/Table2[[#This Row],[Duration]]</f>
        <v>0.912</v>
      </c>
      <c r="AQ111" s="64" t="n">
        <f aca="false">Table2[[#This Row],[Inside_._distance]]/Table2[[#This Row],[Distance]]</f>
        <v>0.0593686649290472</v>
      </c>
      <c r="AR111" s="64" t="n">
        <f aca="false">Table2[[#This Row],[Outside_._distance]]/Table2[[#This Row],[Distance]]</f>
        <v>0.940341731827396</v>
      </c>
      <c r="AS111" s="63"/>
      <c r="AT111" s="63"/>
      <c r="AU111" s="63"/>
      <c r="AV111" s="61"/>
      <c r="AW111" s="63"/>
      <c r="AX111" s="63"/>
      <c r="AY111" s="67" t="s">
        <v>64</v>
      </c>
      <c r="AZ111" s="67" t="s">
        <v>76</v>
      </c>
      <c r="BA111" s="67" t="s">
        <v>66</v>
      </c>
      <c r="BB111" s="103" t="n">
        <v>151</v>
      </c>
      <c r="BC111" s="101" t="n">
        <v>5.03333333333333</v>
      </c>
      <c r="BD111" s="67" t="s">
        <v>81</v>
      </c>
      <c r="BE111" s="67" t="n">
        <v>8</v>
      </c>
      <c r="BF111" s="67"/>
      <c r="BG111" s="87"/>
      <c r="BH111" s="87"/>
      <c r="BI111" s="87"/>
      <c r="BJ111" s="87"/>
      <c r="BK111" s="87"/>
      <c r="BL111" s="87"/>
      <c r="BM111" s="87"/>
      <c r="BN111" s="87"/>
      <c r="BO111" s="87"/>
    </row>
    <row r="112" customFormat="false" ht="12" hidden="false" customHeight="true" outlineLevel="0" collapsed="false">
      <c r="A112" s="67" t="n">
        <v>26</v>
      </c>
      <c r="B112" s="67" t="s">
        <v>139</v>
      </c>
      <c r="C112" s="67" t="s">
        <v>250</v>
      </c>
      <c r="D112" s="67" t="s">
        <v>60</v>
      </c>
      <c r="E112" s="67" t="s">
        <v>432</v>
      </c>
      <c r="F112" s="67" t="s">
        <v>380</v>
      </c>
      <c r="G112" s="67" t="s">
        <v>467</v>
      </c>
      <c r="H112" s="101" t="n">
        <v>300</v>
      </c>
      <c r="I112" s="102" t="n">
        <v>3.383</v>
      </c>
      <c r="J112" s="102" t="n">
        <v>0.011</v>
      </c>
      <c r="K112" s="102" t="n">
        <v>0.277</v>
      </c>
      <c r="L112" s="101" t="n">
        <v>143.6</v>
      </c>
      <c r="M112" s="103" t="n">
        <v>9</v>
      </c>
      <c r="N112" s="101" t="n">
        <v>105.8</v>
      </c>
      <c r="O112" s="102" t="n">
        <v>0.328</v>
      </c>
      <c r="P112" s="102" t="n">
        <v>0.003</v>
      </c>
      <c r="Q112" s="102" t="n">
        <v>0.245</v>
      </c>
      <c r="R112" s="101" t="n">
        <v>85.6</v>
      </c>
      <c r="S112" s="103" t="n">
        <v>3083</v>
      </c>
      <c r="T112" s="101" t="n">
        <v>53.8</v>
      </c>
      <c r="U112" s="101" t="n">
        <v>100</v>
      </c>
      <c r="V112" s="103" t="n">
        <v>1</v>
      </c>
      <c r="W112" s="101" t="n">
        <v>0.7</v>
      </c>
      <c r="X112" s="102" t="n">
        <v>0.068</v>
      </c>
      <c r="Y112" s="102" t="n">
        <v>0.104</v>
      </c>
      <c r="Z112" s="102" t="n">
        <v>0.182</v>
      </c>
      <c r="AA112" s="101" t="n">
        <v>0.3</v>
      </c>
      <c r="AB112" s="103" t="n">
        <v>69</v>
      </c>
      <c r="AC112" s="101" t="n">
        <v>0</v>
      </c>
      <c r="AD112" s="101" t="n">
        <v>0.7</v>
      </c>
      <c r="AE112" s="103" t="n">
        <v>3</v>
      </c>
      <c r="AF112" s="101" t="n">
        <v>2.3</v>
      </c>
      <c r="AG112" s="102" t="n">
        <v>0.647</v>
      </c>
      <c r="AH112" s="102" t="n">
        <v>0.277</v>
      </c>
      <c r="AI112" s="101" t="n">
        <v>0</v>
      </c>
      <c r="AJ112" s="103" t="n">
        <v>4</v>
      </c>
      <c r="AK112" s="101" t="n">
        <v>297.7</v>
      </c>
      <c r="AL112" s="102" t="n">
        <v>2.736</v>
      </c>
      <c r="AM112" s="102" t="n">
        <v>0.009</v>
      </c>
      <c r="AN112" s="101" t="n">
        <v>143.6</v>
      </c>
      <c r="AO112" s="64" t="n">
        <f aca="false">Table2[[#This Row],[Inside_._time]]/Table2[[#This Row],[Duration]]</f>
        <v>0.00766666666666667</v>
      </c>
      <c r="AP112" s="64" t="n">
        <f aca="false">Table2[[#This Row],[Outside_._time]]/Table2[[#This Row],[Duration]]</f>
        <v>0.992333333333333</v>
      </c>
      <c r="AQ112" s="64" t="n">
        <f aca="false">Table2[[#This Row],[Inside_._distance]]/Table2[[#This Row],[Distance]]</f>
        <v>0.191250369494531</v>
      </c>
      <c r="AR112" s="64" t="n">
        <f aca="false">Table2[[#This Row],[Outside_._distance]]/Table2[[#This Row],[Distance]]</f>
        <v>0.808749630505469</v>
      </c>
      <c r="AS112" s="63"/>
      <c r="AT112" s="63"/>
      <c r="AU112" s="63"/>
      <c r="AV112" s="61"/>
      <c r="AW112" s="63"/>
      <c r="AX112" s="63"/>
      <c r="AY112" s="67" t="s">
        <v>64</v>
      </c>
      <c r="AZ112" s="67" t="s">
        <v>76</v>
      </c>
      <c r="BA112" s="67" t="s">
        <v>72</v>
      </c>
      <c r="BB112" s="103" t="n">
        <v>151</v>
      </c>
      <c r="BC112" s="101" t="n">
        <v>5.03333333333333</v>
      </c>
      <c r="BD112" s="67" t="s">
        <v>67</v>
      </c>
      <c r="BE112" s="67" t="n">
        <v>5</v>
      </c>
      <c r="BF112" s="67" t="s">
        <v>141</v>
      </c>
      <c r="BG112" s="87"/>
      <c r="BH112" s="87"/>
      <c r="BI112" s="87"/>
      <c r="BJ112" s="87"/>
      <c r="BK112" s="87"/>
      <c r="BL112" s="87"/>
      <c r="BM112" s="87"/>
      <c r="BN112" s="87"/>
      <c r="BO112" s="87"/>
    </row>
    <row r="113" customFormat="false" ht="12" hidden="false" customHeight="true" outlineLevel="0" collapsed="false">
      <c r="A113" s="67" t="n">
        <v>25</v>
      </c>
      <c r="B113" s="67" t="s">
        <v>142</v>
      </c>
      <c r="C113" s="67" t="s">
        <v>250</v>
      </c>
      <c r="D113" s="67" t="s">
        <v>69</v>
      </c>
      <c r="E113" s="67" t="s">
        <v>432</v>
      </c>
      <c r="F113" s="67" t="s">
        <v>380</v>
      </c>
      <c r="G113" s="67" t="s">
        <v>468</v>
      </c>
      <c r="H113" s="101" t="n">
        <v>300</v>
      </c>
      <c r="I113" s="102" t="n">
        <v>4.829</v>
      </c>
      <c r="J113" s="102" t="n">
        <v>0.016</v>
      </c>
      <c r="K113" s="102" t="n">
        <v>0.242</v>
      </c>
      <c r="L113" s="101" t="n">
        <v>101.6</v>
      </c>
      <c r="M113" s="103" t="n">
        <v>3</v>
      </c>
      <c r="N113" s="101" t="n">
        <v>1.9</v>
      </c>
      <c r="O113" s="102" t="n">
        <v>0.233</v>
      </c>
      <c r="P113" s="102" t="n">
        <v>0.126</v>
      </c>
      <c r="Q113" s="102" t="n">
        <v>0.219</v>
      </c>
      <c r="R113" s="101" t="n">
        <v>0.5</v>
      </c>
      <c r="S113" s="103" t="n">
        <v>174</v>
      </c>
      <c r="T113" s="101" t="n">
        <v>0</v>
      </c>
      <c r="U113" s="101" t="n">
        <v>0.3</v>
      </c>
      <c r="V113" s="103" t="n">
        <v>11</v>
      </c>
      <c r="W113" s="101" t="n">
        <v>28.1</v>
      </c>
      <c r="X113" s="102" t="n">
        <v>0.459</v>
      </c>
      <c r="Y113" s="102" t="n">
        <v>0.016</v>
      </c>
      <c r="Z113" s="102" t="n">
        <v>0.193</v>
      </c>
      <c r="AA113" s="101" t="n">
        <v>25.3</v>
      </c>
      <c r="AB113" s="103" t="n">
        <v>552</v>
      </c>
      <c r="AC113" s="101" t="n">
        <v>16.9</v>
      </c>
      <c r="AD113" s="101" t="n">
        <v>25.9</v>
      </c>
      <c r="AE113" s="103" t="n">
        <v>6</v>
      </c>
      <c r="AF113" s="101" t="n">
        <v>110.3</v>
      </c>
      <c r="AG113" s="102" t="n">
        <v>1.015</v>
      </c>
      <c r="AH113" s="102" t="n">
        <v>0.009</v>
      </c>
      <c r="AI113" s="101" t="n">
        <v>51.2</v>
      </c>
      <c r="AJ113" s="103" t="n">
        <v>6</v>
      </c>
      <c r="AK113" s="101" t="n">
        <v>189.7</v>
      </c>
      <c r="AL113" s="102" t="n">
        <v>3.813</v>
      </c>
      <c r="AM113" s="102" t="n">
        <v>0.02</v>
      </c>
      <c r="AN113" s="101" t="n">
        <v>50.4</v>
      </c>
      <c r="AO113" s="64" t="n">
        <f aca="false">Table2[[#This Row],[Inside_._time]]/Table2[[#This Row],[Duration]]</f>
        <v>0.367666666666667</v>
      </c>
      <c r="AP113" s="64" t="n">
        <f aca="false">Table2[[#This Row],[Outside_._time]]/Table2[[#This Row],[Duration]]</f>
        <v>0.632333333333333</v>
      </c>
      <c r="AQ113" s="64" t="n">
        <f aca="false">Table2[[#This Row],[Inside_._distance]]/Table2[[#This Row],[Distance]]</f>
        <v>0.210188444812591</v>
      </c>
      <c r="AR113" s="64" t="n">
        <f aca="false">Table2[[#This Row],[Outside_._distance]]/Table2[[#This Row],[Distance]]</f>
        <v>0.789604472975771</v>
      </c>
      <c r="AS113" s="63"/>
      <c r="AT113" s="63"/>
      <c r="AU113" s="63"/>
      <c r="AV113" s="61"/>
      <c r="AW113" s="63"/>
      <c r="AX113" s="63"/>
      <c r="AY113" s="67" t="s">
        <v>64</v>
      </c>
      <c r="AZ113" s="67" t="s">
        <v>76</v>
      </c>
      <c r="BA113" s="67" t="s">
        <v>66</v>
      </c>
      <c r="BB113" s="103" t="n">
        <v>151</v>
      </c>
      <c r="BC113" s="101" t="n">
        <v>5.03333333333333</v>
      </c>
      <c r="BD113" s="67" t="s">
        <v>67</v>
      </c>
      <c r="BE113" s="67" t="n">
        <v>7</v>
      </c>
      <c r="BF113" s="67"/>
      <c r="BG113" s="87"/>
      <c r="BH113" s="87"/>
      <c r="BI113" s="87"/>
      <c r="BJ113" s="87"/>
      <c r="BK113" s="87"/>
      <c r="BL113" s="87"/>
      <c r="BM113" s="87"/>
      <c r="BN113" s="87"/>
      <c r="BO113" s="87"/>
    </row>
    <row r="114" customFormat="false" ht="12" hidden="false" customHeight="true" outlineLevel="0" collapsed="false">
      <c r="A114" s="67" t="n">
        <v>27</v>
      </c>
      <c r="B114" s="67" t="s">
        <v>145</v>
      </c>
      <c r="C114" s="67" t="s">
        <v>250</v>
      </c>
      <c r="D114" s="67" t="s">
        <v>74</v>
      </c>
      <c r="E114" s="67" t="s">
        <v>432</v>
      </c>
      <c r="F114" s="67" t="s">
        <v>380</v>
      </c>
      <c r="G114" s="67" t="s">
        <v>469</v>
      </c>
      <c r="H114" s="101" t="n">
        <v>300</v>
      </c>
      <c r="I114" s="102" t="n">
        <v>4.312</v>
      </c>
      <c r="J114" s="102" t="n">
        <v>0.014</v>
      </c>
      <c r="K114" s="102" t="n">
        <v>0.192</v>
      </c>
      <c r="L114" s="101" t="n">
        <v>55.5</v>
      </c>
      <c r="M114" s="103" t="n">
        <v>42</v>
      </c>
      <c r="N114" s="101" t="n">
        <v>68.8</v>
      </c>
      <c r="O114" s="102" t="n">
        <v>0.38</v>
      </c>
      <c r="P114" s="102" t="n">
        <v>0.006</v>
      </c>
      <c r="Q114" s="102" t="n">
        <v>0.192</v>
      </c>
      <c r="R114" s="101" t="n">
        <v>10.9</v>
      </c>
      <c r="S114" s="103" t="n">
        <v>3244</v>
      </c>
      <c r="T114" s="101" t="n">
        <v>17.1</v>
      </c>
      <c r="U114" s="101" t="n">
        <v>6</v>
      </c>
      <c r="V114" s="103" t="n">
        <v>7</v>
      </c>
      <c r="W114" s="101" t="n">
        <v>5.1</v>
      </c>
      <c r="X114" s="102" t="n">
        <v>0.326</v>
      </c>
      <c r="Y114" s="102" t="n">
        <v>0.064</v>
      </c>
      <c r="Z114" s="102" t="n">
        <v>0.143</v>
      </c>
      <c r="AA114" s="101" t="n">
        <v>1.1</v>
      </c>
      <c r="AB114" s="103" t="n">
        <v>268</v>
      </c>
      <c r="AC114" s="101" t="n">
        <v>0</v>
      </c>
      <c r="AD114" s="101" t="n">
        <v>0.9</v>
      </c>
      <c r="AE114" s="103" t="n">
        <v>5</v>
      </c>
      <c r="AF114" s="101" t="n">
        <v>3.6</v>
      </c>
      <c r="AG114" s="102" t="n">
        <v>0.407</v>
      </c>
      <c r="AH114" s="102" t="n">
        <v>0.115</v>
      </c>
      <c r="AI114" s="101" t="n">
        <v>0</v>
      </c>
      <c r="AJ114" s="103" t="n">
        <v>6</v>
      </c>
      <c r="AK114" s="101" t="n">
        <v>296.4</v>
      </c>
      <c r="AL114" s="102" t="n">
        <v>3.905</v>
      </c>
      <c r="AM114" s="102" t="n">
        <v>0.013</v>
      </c>
      <c r="AN114" s="101" t="n">
        <v>55.5</v>
      </c>
      <c r="AO114" s="64" t="n">
        <f aca="false">Table2[[#This Row],[Inside_._time]]/Table2[[#This Row],[Duration]]</f>
        <v>0.012</v>
      </c>
      <c r="AP114" s="64" t="n">
        <f aca="false">Table2[[#This Row],[Outside_._time]]/Table2[[#This Row],[Duration]]</f>
        <v>0.988</v>
      </c>
      <c r="AQ114" s="64" t="n">
        <f aca="false">Table2[[#This Row],[Inside_._distance]]/Table2[[#This Row],[Distance]]</f>
        <v>0.0943877551020408</v>
      </c>
      <c r="AR114" s="64" t="n">
        <f aca="false">Table2[[#This Row],[Outside_._distance]]/Table2[[#This Row],[Distance]]</f>
        <v>0.905612244897959</v>
      </c>
      <c r="AS114" s="63"/>
      <c r="AT114" s="63"/>
      <c r="AU114" s="63"/>
      <c r="AV114" s="61"/>
      <c r="AW114" s="63"/>
      <c r="AX114" s="63"/>
      <c r="AY114" s="67" t="s">
        <v>71</v>
      </c>
      <c r="AZ114" s="67" t="s">
        <v>76</v>
      </c>
      <c r="BA114" s="67" t="s">
        <v>72</v>
      </c>
      <c r="BB114" s="103" t="n">
        <v>151</v>
      </c>
      <c r="BC114" s="101" t="n">
        <v>5.03333333333333</v>
      </c>
      <c r="BD114" s="67" t="s">
        <v>81</v>
      </c>
      <c r="BE114" s="67" t="n">
        <v>6</v>
      </c>
      <c r="BF114" s="67"/>
      <c r="BG114" s="87"/>
      <c r="BH114" s="87"/>
      <c r="BI114" s="87"/>
      <c r="BJ114" s="87"/>
      <c r="BK114" s="87"/>
      <c r="BL114" s="87"/>
      <c r="BM114" s="87"/>
      <c r="BN114" s="87"/>
      <c r="BO114" s="87"/>
    </row>
    <row r="115" customFormat="false" ht="12" hidden="false" customHeight="true" outlineLevel="0" collapsed="false">
      <c r="A115" s="67" t="n">
        <v>28</v>
      </c>
      <c r="B115" s="67" t="s">
        <v>147</v>
      </c>
      <c r="C115" s="67" t="s">
        <v>250</v>
      </c>
      <c r="D115" s="67" t="s">
        <v>79</v>
      </c>
      <c r="E115" s="67" t="s">
        <v>432</v>
      </c>
      <c r="F115" s="67" t="s">
        <v>380</v>
      </c>
      <c r="G115" s="67" t="s">
        <v>470</v>
      </c>
      <c r="H115" s="101" t="n">
        <v>300</v>
      </c>
      <c r="I115" s="102" t="n">
        <v>11.646</v>
      </c>
      <c r="J115" s="102" t="n">
        <v>0.039</v>
      </c>
      <c r="K115" s="102" t="n">
        <v>0.258</v>
      </c>
      <c r="L115" s="101" t="n">
        <v>14.9</v>
      </c>
      <c r="M115" s="103" t="n">
        <v>24</v>
      </c>
      <c r="N115" s="101" t="n">
        <v>29</v>
      </c>
      <c r="O115" s="102" t="n">
        <v>1.253</v>
      </c>
      <c r="P115" s="102" t="n">
        <v>0.043</v>
      </c>
      <c r="Q115" s="102" t="n">
        <v>0.247</v>
      </c>
      <c r="R115" s="101" t="n">
        <v>7.8</v>
      </c>
      <c r="S115" s="103" t="n">
        <v>2228</v>
      </c>
      <c r="T115" s="101" t="n">
        <v>1.8</v>
      </c>
      <c r="U115" s="101" t="n">
        <v>3.5</v>
      </c>
      <c r="V115" s="103" t="n">
        <v>15</v>
      </c>
      <c r="W115" s="101" t="n">
        <v>35.5</v>
      </c>
      <c r="X115" s="102" t="n">
        <v>0.542</v>
      </c>
      <c r="Y115" s="102" t="n">
        <v>0.015</v>
      </c>
      <c r="Z115" s="102" t="n">
        <v>0.235</v>
      </c>
      <c r="AA115" s="101" t="n">
        <v>13.5</v>
      </c>
      <c r="AB115" s="103" t="n">
        <v>2353</v>
      </c>
      <c r="AC115" s="101" t="n">
        <v>4.6</v>
      </c>
      <c r="AD115" s="101" t="n">
        <v>17</v>
      </c>
      <c r="AE115" s="103" t="n">
        <v>12</v>
      </c>
      <c r="AF115" s="101" t="n">
        <v>9.8</v>
      </c>
      <c r="AG115" s="102" t="n">
        <v>1.057</v>
      </c>
      <c r="AH115" s="102" t="n">
        <v>0.108</v>
      </c>
      <c r="AI115" s="101" t="n">
        <v>0</v>
      </c>
      <c r="AJ115" s="103" t="n">
        <v>13</v>
      </c>
      <c r="AK115" s="101" t="n">
        <v>290.2</v>
      </c>
      <c r="AL115" s="102" t="n">
        <v>10.589</v>
      </c>
      <c r="AM115" s="102" t="n">
        <v>0.036</v>
      </c>
      <c r="AN115" s="101" t="n">
        <v>14.9</v>
      </c>
      <c r="AO115" s="64" t="n">
        <f aca="false">Table2[[#This Row],[Inside_._time]]/Table2[[#This Row],[Duration]]</f>
        <v>0.0326666666666667</v>
      </c>
      <c r="AP115" s="64" t="n">
        <f aca="false">Table2[[#This Row],[Outside_._time]]/Table2[[#This Row],[Duration]]</f>
        <v>0.967333333333333</v>
      </c>
      <c r="AQ115" s="64" t="n">
        <f aca="false">Table2[[#This Row],[Inside_._distance]]/Table2[[#This Row],[Distance]]</f>
        <v>0.0907607762321827</v>
      </c>
      <c r="AR115" s="64" t="n">
        <f aca="false">Table2[[#This Row],[Outside_._distance]]/Table2[[#This Row],[Distance]]</f>
        <v>0.909239223767817</v>
      </c>
      <c r="AS115" s="63"/>
      <c r="AT115" s="63"/>
      <c r="AU115" s="63"/>
      <c r="AV115" s="61"/>
      <c r="AW115" s="63"/>
      <c r="AX115" s="63"/>
      <c r="AY115" s="67" t="s">
        <v>71</v>
      </c>
      <c r="AZ115" s="67" t="s">
        <v>76</v>
      </c>
      <c r="BA115" s="67" t="s">
        <v>66</v>
      </c>
      <c r="BB115" s="103" t="n">
        <v>151</v>
      </c>
      <c r="BC115" s="101" t="n">
        <v>5.03333333333333</v>
      </c>
      <c r="BD115" s="67" t="s">
        <v>81</v>
      </c>
      <c r="BE115" s="67" t="n">
        <v>8</v>
      </c>
      <c r="BF115" s="67"/>
      <c r="BG115" s="87"/>
      <c r="BH115" s="87"/>
      <c r="BI115" s="87"/>
      <c r="BJ115" s="87"/>
      <c r="BK115" s="87"/>
      <c r="BL115" s="87"/>
      <c r="BM115" s="87"/>
      <c r="BN115" s="87"/>
      <c r="BO115" s="87"/>
    </row>
    <row r="116" customFormat="false" ht="12" hidden="false" customHeight="true" outlineLevel="0" collapsed="false">
      <c r="A116" s="67" t="n">
        <v>29</v>
      </c>
      <c r="B116" s="67" t="s">
        <v>149</v>
      </c>
      <c r="C116" s="67" t="s">
        <v>250</v>
      </c>
      <c r="D116" s="67" t="s">
        <v>60</v>
      </c>
      <c r="E116" s="67" t="s">
        <v>432</v>
      </c>
      <c r="F116" s="67" t="s">
        <v>471</v>
      </c>
      <c r="G116" s="67" t="s">
        <v>472</v>
      </c>
      <c r="H116" s="101" t="n">
        <v>300</v>
      </c>
      <c r="I116" s="102" t="n">
        <v>6.43</v>
      </c>
      <c r="J116" s="102" t="n">
        <v>0.021</v>
      </c>
      <c r="K116" s="102" t="n">
        <v>0.302</v>
      </c>
      <c r="L116" s="101" t="n">
        <v>77.2</v>
      </c>
      <c r="M116" s="103" t="n">
        <v>21</v>
      </c>
      <c r="N116" s="101" t="n">
        <v>25.9</v>
      </c>
      <c r="O116" s="102" t="n">
        <v>0.343</v>
      </c>
      <c r="P116" s="102" t="n">
        <v>0.013</v>
      </c>
      <c r="Q116" s="102" t="n">
        <v>0.184</v>
      </c>
      <c r="R116" s="101" t="n">
        <v>11.2</v>
      </c>
      <c r="S116" s="103" t="n">
        <v>1577</v>
      </c>
      <c r="T116" s="101" t="n">
        <v>3.6</v>
      </c>
      <c r="U116" s="101" t="n">
        <v>20.1</v>
      </c>
      <c r="V116" s="103" t="n">
        <v>12</v>
      </c>
      <c r="W116" s="101" t="n">
        <v>6</v>
      </c>
      <c r="X116" s="102" t="n">
        <v>0.535</v>
      </c>
      <c r="Y116" s="102" t="n">
        <v>0.089</v>
      </c>
      <c r="Z116" s="102" t="n">
        <v>0.177</v>
      </c>
      <c r="AA116" s="101" t="n">
        <v>2</v>
      </c>
      <c r="AB116" s="103" t="n">
        <v>400</v>
      </c>
      <c r="AC116" s="101" t="n">
        <v>0</v>
      </c>
      <c r="AD116" s="101" t="n">
        <v>2.6</v>
      </c>
      <c r="AE116" s="103" t="n">
        <v>8</v>
      </c>
      <c r="AF116" s="101" t="n">
        <v>8.1</v>
      </c>
      <c r="AG116" s="102" t="n">
        <v>0.983</v>
      </c>
      <c r="AH116" s="102" t="n">
        <v>0.121</v>
      </c>
      <c r="AI116" s="101" t="n">
        <v>0</v>
      </c>
      <c r="AJ116" s="103" t="n">
        <v>8</v>
      </c>
      <c r="AK116" s="101" t="n">
        <v>291.9</v>
      </c>
      <c r="AL116" s="102" t="n">
        <v>5.448</v>
      </c>
      <c r="AM116" s="102" t="n">
        <v>0.019</v>
      </c>
      <c r="AN116" s="101" t="n">
        <v>77.2</v>
      </c>
      <c r="AO116" s="64" t="n">
        <f aca="false">Table2[[#This Row],[Inside_._time]]/Table2[[#This Row],[Duration]]</f>
        <v>0.027</v>
      </c>
      <c r="AP116" s="64" t="n">
        <f aca="false">Table2[[#This Row],[Outside_._time]]/Table2[[#This Row],[Duration]]</f>
        <v>0.973</v>
      </c>
      <c r="AQ116" s="64" t="n">
        <f aca="false">Table2[[#This Row],[Inside_._distance]]/Table2[[#This Row],[Distance]]</f>
        <v>0.152877138413686</v>
      </c>
      <c r="AR116" s="64" t="n">
        <f aca="false">Table2[[#This Row],[Outside_._distance]]/Table2[[#This Row],[Distance]]</f>
        <v>0.847278382581649</v>
      </c>
      <c r="AS116" s="63"/>
      <c r="AT116" s="63"/>
      <c r="AU116" s="63"/>
      <c r="AV116" s="61"/>
      <c r="AW116" s="63"/>
      <c r="AX116" s="63"/>
      <c r="AY116" s="67" t="s">
        <v>71</v>
      </c>
      <c r="AZ116" s="67" t="s">
        <v>76</v>
      </c>
      <c r="BA116" s="67" t="s">
        <v>66</v>
      </c>
      <c r="BB116" s="103" t="n">
        <v>151</v>
      </c>
      <c r="BC116" s="101" t="n">
        <v>5.03333333333333</v>
      </c>
      <c r="BD116" s="67" t="s">
        <v>67</v>
      </c>
      <c r="BE116" s="67" t="n">
        <v>7</v>
      </c>
      <c r="BF116" s="67"/>
      <c r="BG116" s="87"/>
      <c r="BH116" s="87"/>
      <c r="BI116" s="87"/>
      <c r="BJ116" s="87"/>
      <c r="BK116" s="87"/>
      <c r="BL116" s="87"/>
      <c r="BM116" s="87"/>
      <c r="BN116" s="87"/>
      <c r="BO116" s="87"/>
    </row>
    <row r="117" customFormat="false" ht="12" hidden="false" customHeight="true" outlineLevel="0" collapsed="false">
      <c r="A117" s="67" t="n">
        <v>30</v>
      </c>
      <c r="B117" s="67" t="s">
        <v>151</v>
      </c>
      <c r="C117" s="67" t="s">
        <v>250</v>
      </c>
      <c r="D117" s="67" t="s">
        <v>69</v>
      </c>
      <c r="E117" s="67" t="s">
        <v>432</v>
      </c>
      <c r="F117" s="67" t="s">
        <v>471</v>
      </c>
      <c r="G117" s="67" t="s">
        <v>473</v>
      </c>
      <c r="H117" s="101" t="n">
        <v>300</v>
      </c>
      <c r="I117" s="102" t="n">
        <v>5.975</v>
      </c>
      <c r="J117" s="102" t="n">
        <v>0.02</v>
      </c>
      <c r="K117" s="102" t="n">
        <v>0.235</v>
      </c>
      <c r="L117" s="101" t="n">
        <v>63.5</v>
      </c>
      <c r="M117" s="103" t="n">
        <v>8</v>
      </c>
      <c r="N117" s="101" t="n">
        <v>10</v>
      </c>
      <c r="O117" s="102" t="n">
        <v>0.632</v>
      </c>
      <c r="P117" s="102" t="n">
        <v>0.064</v>
      </c>
      <c r="Q117" s="102" t="n">
        <v>0.221</v>
      </c>
      <c r="R117" s="101" t="n">
        <v>1.9</v>
      </c>
      <c r="S117" s="103" t="n">
        <v>808</v>
      </c>
      <c r="T117" s="101" t="n">
        <v>0</v>
      </c>
      <c r="U117" s="101" t="n">
        <v>1.7</v>
      </c>
      <c r="V117" s="103" t="n">
        <v>33</v>
      </c>
      <c r="W117" s="101" t="n">
        <v>84.3</v>
      </c>
      <c r="X117" s="102" t="n">
        <v>0.419</v>
      </c>
      <c r="Y117" s="102" t="n">
        <v>0.005</v>
      </c>
      <c r="Z117" s="102" t="n">
        <v>0.178</v>
      </c>
      <c r="AA117" s="101" t="n">
        <v>71.5</v>
      </c>
      <c r="AB117" s="103" t="n">
        <v>3589</v>
      </c>
      <c r="AC117" s="101" t="n">
        <v>40.6</v>
      </c>
      <c r="AD117" s="101" t="n">
        <v>76.4</v>
      </c>
      <c r="AE117" s="103" t="n">
        <v>7</v>
      </c>
      <c r="AF117" s="101" t="n">
        <v>27.3</v>
      </c>
      <c r="AG117" s="102" t="n">
        <v>1.21</v>
      </c>
      <c r="AH117" s="102" t="n">
        <v>0.044</v>
      </c>
      <c r="AI117" s="101" t="n">
        <v>3.3</v>
      </c>
      <c r="AJ117" s="103" t="n">
        <v>8</v>
      </c>
      <c r="AK117" s="101" t="n">
        <v>272.7</v>
      </c>
      <c r="AL117" s="102" t="n">
        <v>4.764</v>
      </c>
      <c r="AM117" s="102" t="n">
        <v>0.017</v>
      </c>
      <c r="AN117" s="101" t="n">
        <v>60.2</v>
      </c>
      <c r="AO117" s="64" t="n">
        <f aca="false">Table2[[#This Row],[Inside_._time]]/Table2[[#This Row],[Duration]]</f>
        <v>0.091</v>
      </c>
      <c r="AP117" s="64" t="n">
        <f aca="false">Table2[[#This Row],[Outside_._time]]/Table2[[#This Row],[Duration]]</f>
        <v>0.909</v>
      </c>
      <c r="AQ117" s="64" t="n">
        <f aca="false">Table2[[#This Row],[Inside_._distance]]/Table2[[#This Row],[Distance]]</f>
        <v>0.202510460251046</v>
      </c>
      <c r="AR117" s="64" t="n">
        <f aca="false">Table2[[#This Row],[Outside_._distance]]/Table2[[#This Row],[Distance]]</f>
        <v>0.797322175732218</v>
      </c>
      <c r="AS117" s="63"/>
      <c r="AT117" s="63"/>
      <c r="AU117" s="63"/>
      <c r="AV117" s="61"/>
      <c r="AW117" s="63"/>
      <c r="AX117" s="63"/>
      <c r="AY117" s="67" t="s">
        <v>71</v>
      </c>
      <c r="AZ117" s="67" t="s">
        <v>76</v>
      </c>
      <c r="BA117" s="67" t="s">
        <v>72</v>
      </c>
      <c r="BB117" s="103" t="n">
        <v>151</v>
      </c>
      <c r="BC117" s="101" t="n">
        <v>5.03333333333333</v>
      </c>
      <c r="BD117" s="67" t="s">
        <v>67</v>
      </c>
      <c r="BE117" s="67" t="n">
        <v>5</v>
      </c>
      <c r="BF117" s="67" t="s">
        <v>154</v>
      </c>
      <c r="BG117" s="87"/>
      <c r="BH117" s="87"/>
      <c r="BI117" s="87"/>
      <c r="BJ117" s="87"/>
      <c r="BK117" s="87"/>
      <c r="BL117" s="87"/>
      <c r="BM117" s="87"/>
      <c r="BN117" s="87"/>
      <c r="BO117" s="87"/>
    </row>
    <row r="118" customFormat="false" ht="12" hidden="false" customHeight="true" outlineLevel="0" collapsed="false">
      <c r="A118" s="67" t="n">
        <v>31</v>
      </c>
      <c r="B118" s="67" t="s">
        <v>155</v>
      </c>
      <c r="C118" s="67" t="s">
        <v>250</v>
      </c>
      <c r="D118" s="67" t="s">
        <v>74</v>
      </c>
      <c r="E118" s="67" t="s">
        <v>432</v>
      </c>
      <c r="F118" s="67" t="s">
        <v>471</v>
      </c>
      <c r="G118" s="67" t="s">
        <v>474</v>
      </c>
      <c r="H118" s="101" t="n">
        <v>300</v>
      </c>
      <c r="I118" s="102" t="n">
        <v>10.555</v>
      </c>
      <c r="J118" s="102" t="n">
        <v>0.035</v>
      </c>
      <c r="K118" s="102" t="n">
        <v>0.263</v>
      </c>
      <c r="L118" s="101" t="n">
        <v>14.1</v>
      </c>
      <c r="M118" s="103" t="n">
        <v>21</v>
      </c>
      <c r="N118" s="101" t="n">
        <v>36.9</v>
      </c>
      <c r="O118" s="102" t="n">
        <v>1.615</v>
      </c>
      <c r="P118" s="102" t="n">
        <v>0.044</v>
      </c>
      <c r="Q118" s="102" t="n">
        <v>0.254</v>
      </c>
      <c r="R118" s="101" t="n">
        <v>5</v>
      </c>
      <c r="S118" s="103" t="n">
        <v>2349</v>
      </c>
      <c r="T118" s="101" t="n">
        <v>6.5</v>
      </c>
      <c r="U118" s="101" t="n">
        <v>4.3</v>
      </c>
      <c r="V118" s="103" t="n">
        <v>12</v>
      </c>
      <c r="W118" s="101" t="n">
        <v>19.2</v>
      </c>
      <c r="X118" s="102" t="n">
        <v>0.616</v>
      </c>
      <c r="Y118" s="102" t="n">
        <v>0.032</v>
      </c>
      <c r="Z118" s="102" t="n">
        <v>0.232</v>
      </c>
      <c r="AA118" s="101" t="n">
        <v>2.2</v>
      </c>
      <c r="AB118" s="103" t="n">
        <v>1479</v>
      </c>
      <c r="AC118" s="101" t="n">
        <v>0</v>
      </c>
      <c r="AD118" s="101" t="n">
        <v>0.8</v>
      </c>
      <c r="AE118" s="103" t="n">
        <v>7</v>
      </c>
      <c r="AF118" s="101" t="n">
        <v>8.5</v>
      </c>
      <c r="AG118" s="102" t="n">
        <v>1.207</v>
      </c>
      <c r="AH118" s="102" t="n">
        <v>0.143</v>
      </c>
      <c r="AI118" s="101" t="n">
        <v>0</v>
      </c>
      <c r="AJ118" s="103" t="n">
        <v>8</v>
      </c>
      <c r="AK118" s="101" t="n">
        <v>291.5</v>
      </c>
      <c r="AL118" s="102" t="n">
        <v>9.348</v>
      </c>
      <c r="AM118" s="102" t="n">
        <v>0.032</v>
      </c>
      <c r="AN118" s="101" t="n">
        <v>14.1</v>
      </c>
      <c r="AO118" s="64" t="n">
        <f aca="false">Table2[[#This Row],[Inside_._time]]/Table2[[#This Row],[Duration]]</f>
        <v>0.0283333333333333</v>
      </c>
      <c r="AP118" s="64" t="n">
        <f aca="false">Table2[[#This Row],[Outside_._time]]/Table2[[#This Row],[Duration]]</f>
        <v>0.971666666666667</v>
      </c>
      <c r="AQ118" s="64" t="n">
        <f aca="false">Table2[[#This Row],[Inside_._distance]]/Table2[[#This Row],[Distance]]</f>
        <v>0.11435338702037</v>
      </c>
      <c r="AR118" s="64" t="n">
        <f aca="false">Table2[[#This Row],[Outside_._distance]]/Table2[[#This Row],[Distance]]</f>
        <v>0.885646612979631</v>
      </c>
      <c r="AS118" s="63"/>
      <c r="AT118" s="63"/>
      <c r="AU118" s="63"/>
      <c r="AV118" s="61"/>
      <c r="AW118" s="63"/>
      <c r="AX118" s="63"/>
      <c r="AY118" s="67" t="s">
        <v>64</v>
      </c>
      <c r="AZ118" s="67" t="s">
        <v>65</v>
      </c>
      <c r="BA118" s="67" t="s">
        <v>72</v>
      </c>
      <c r="BB118" s="103" t="n">
        <v>144</v>
      </c>
      <c r="BC118" s="101" t="n">
        <v>4.8</v>
      </c>
      <c r="BD118" s="67" t="s">
        <v>67</v>
      </c>
      <c r="BE118" s="67" t="n">
        <v>1</v>
      </c>
      <c r="BF118" s="67" t="s">
        <v>157</v>
      </c>
      <c r="BG118" s="87"/>
      <c r="BH118" s="87"/>
      <c r="BI118" s="87"/>
      <c r="BJ118" s="87"/>
      <c r="BK118" s="87"/>
      <c r="BL118" s="87"/>
      <c r="BM118" s="87"/>
      <c r="BN118" s="87"/>
      <c r="BO118" s="87"/>
    </row>
    <row r="119" customFormat="false" ht="12" hidden="false" customHeight="true" outlineLevel="0" collapsed="false">
      <c r="A119" s="67" t="n">
        <v>32</v>
      </c>
      <c r="B119" s="67" t="s">
        <v>158</v>
      </c>
      <c r="C119" s="67" t="s">
        <v>250</v>
      </c>
      <c r="D119" s="67" t="s">
        <v>79</v>
      </c>
      <c r="E119" s="67" t="s">
        <v>432</v>
      </c>
      <c r="F119" s="67" t="s">
        <v>475</v>
      </c>
      <c r="G119" s="67" t="s">
        <v>476</v>
      </c>
      <c r="H119" s="101" t="n">
        <v>300</v>
      </c>
      <c r="I119" s="102" t="n">
        <v>64.701</v>
      </c>
      <c r="J119" s="102" t="n">
        <v>0.216</v>
      </c>
      <c r="K119" s="102" t="n">
        <v>0.503</v>
      </c>
      <c r="L119" s="101" t="n">
        <v>0</v>
      </c>
      <c r="M119" s="103" t="n">
        <v>83</v>
      </c>
      <c r="N119" s="101" t="n">
        <v>33.1</v>
      </c>
      <c r="O119" s="102" t="n">
        <v>8.613</v>
      </c>
      <c r="P119" s="102" t="n">
        <v>0.261</v>
      </c>
      <c r="Q119" s="102" t="n">
        <v>0.503</v>
      </c>
      <c r="R119" s="101" t="n">
        <v>6.2</v>
      </c>
      <c r="S119" s="103" t="n">
        <v>9208</v>
      </c>
      <c r="T119" s="101" t="n">
        <v>0</v>
      </c>
      <c r="U119" s="101" t="n">
        <v>9.3</v>
      </c>
      <c r="V119" s="103" t="n">
        <v>91</v>
      </c>
      <c r="W119" s="101" t="n">
        <v>40</v>
      </c>
      <c r="X119" s="102" t="n">
        <v>9.087</v>
      </c>
      <c r="Y119" s="102" t="n">
        <v>0.227</v>
      </c>
      <c r="Z119" s="102" t="n">
        <v>0.439</v>
      </c>
      <c r="AA119" s="101" t="n">
        <v>6.7</v>
      </c>
      <c r="AB119" s="103" t="n">
        <v>10121</v>
      </c>
      <c r="AC119" s="101" t="n">
        <v>0</v>
      </c>
      <c r="AD119" s="101" t="n">
        <v>8.5</v>
      </c>
      <c r="AE119" s="103" t="n">
        <v>162</v>
      </c>
      <c r="AF119" s="101" t="n">
        <v>94.3</v>
      </c>
      <c r="AG119" s="102" t="n">
        <v>25.943</v>
      </c>
      <c r="AH119" s="102" t="n">
        <v>0.275</v>
      </c>
      <c r="AI119" s="101" t="n">
        <v>0</v>
      </c>
      <c r="AJ119" s="103" t="n">
        <v>163</v>
      </c>
      <c r="AK119" s="101" t="n">
        <v>205.7</v>
      </c>
      <c r="AL119" s="102" t="n">
        <v>38.758</v>
      </c>
      <c r="AM119" s="102" t="n">
        <v>0.188</v>
      </c>
      <c r="AN119" s="101" t="n">
        <v>0</v>
      </c>
      <c r="AO119" s="64" t="n">
        <f aca="false">Table2[[#This Row],[Inside_._time]]/Table2[[#This Row],[Duration]]</f>
        <v>0.314333333333333</v>
      </c>
      <c r="AP119" s="64" t="n">
        <f aca="false">Table2[[#This Row],[Outside_._time]]/Table2[[#This Row],[Duration]]</f>
        <v>0.685666666666667</v>
      </c>
      <c r="AQ119" s="64" t="n">
        <f aca="false">Table2[[#This Row],[Inside_._distance]]/Table2[[#This Row],[Distance]]</f>
        <v>0.400967527549806</v>
      </c>
      <c r="AR119" s="64" t="n">
        <f aca="false">Table2[[#This Row],[Outside_._distance]]/Table2[[#This Row],[Distance]]</f>
        <v>0.599032472450194</v>
      </c>
      <c r="AS119" s="63"/>
      <c r="AT119" s="63"/>
      <c r="AU119" s="63"/>
      <c r="AV119" s="61"/>
      <c r="AW119" s="63"/>
      <c r="AX119" s="63"/>
      <c r="AY119" s="67" t="s">
        <v>64</v>
      </c>
      <c r="AZ119" s="67" t="s">
        <v>65</v>
      </c>
      <c r="BA119" s="67" t="s">
        <v>66</v>
      </c>
      <c r="BB119" s="103" t="n">
        <v>144</v>
      </c>
      <c r="BC119" s="101" t="n">
        <v>4.8</v>
      </c>
      <c r="BD119" s="67" t="s">
        <v>81</v>
      </c>
      <c r="BE119" s="67" t="n">
        <v>4</v>
      </c>
      <c r="BF119" s="67" t="s">
        <v>160</v>
      </c>
      <c r="BG119" s="87"/>
      <c r="BH119" s="87"/>
      <c r="BI119" s="87"/>
      <c r="BJ119" s="87"/>
      <c r="BK119" s="87"/>
      <c r="BL119" s="87"/>
      <c r="BM119" s="87"/>
      <c r="BN119" s="87"/>
      <c r="BO119" s="87"/>
    </row>
    <row r="120" customFormat="false" ht="12" hidden="false" customHeight="true" outlineLevel="0" collapsed="false">
      <c r="A120" s="67" t="n">
        <v>36</v>
      </c>
      <c r="B120" s="67" t="s">
        <v>161</v>
      </c>
      <c r="C120" s="67" t="s">
        <v>250</v>
      </c>
      <c r="D120" s="67" t="s">
        <v>60</v>
      </c>
      <c r="E120" s="67" t="s">
        <v>432</v>
      </c>
      <c r="F120" s="67" t="s">
        <v>477</v>
      </c>
      <c r="G120" s="67" t="s">
        <v>478</v>
      </c>
      <c r="H120" s="101" t="n">
        <v>300</v>
      </c>
      <c r="I120" s="102" t="n">
        <v>12.557</v>
      </c>
      <c r="J120" s="102" t="n">
        <v>0.042</v>
      </c>
      <c r="K120" s="102" t="n">
        <v>0.349</v>
      </c>
      <c r="L120" s="101" t="n">
        <v>4</v>
      </c>
      <c r="M120" s="103" t="n">
        <v>33</v>
      </c>
      <c r="N120" s="101" t="n">
        <v>30</v>
      </c>
      <c r="O120" s="102" t="n">
        <v>0.908</v>
      </c>
      <c r="P120" s="102" t="n">
        <v>0.03</v>
      </c>
      <c r="Q120" s="102" t="n">
        <v>0.275</v>
      </c>
      <c r="R120" s="101" t="n">
        <v>10.8</v>
      </c>
      <c r="S120" s="103" t="n">
        <v>2452</v>
      </c>
      <c r="T120" s="101" t="n">
        <v>0.1</v>
      </c>
      <c r="U120" s="101" t="n">
        <v>18.8</v>
      </c>
      <c r="V120" s="103" t="n">
        <v>14</v>
      </c>
      <c r="W120" s="101" t="n">
        <v>8.4</v>
      </c>
      <c r="X120" s="102" t="n">
        <v>0.858</v>
      </c>
      <c r="Y120" s="102" t="n">
        <v>0.102</v>
      </c>
      <c r="Z120" s="102" t="n">
        <v>0.336</v>
      </c>
      <c r="AA120" s="101" t="n">
        <v>2</v>
      </c>
      <c r="AB120" s="103" t="n">
        <v>1147</v>
      </c>
      <c r="AC120" s="101" t="n">
        <v>0</v>
      </c>
      <c r="AD120" s="101" t="n">
        <v>2.8</v>
      </c>
      <c r="AE120" s="103" t="n">
        <v>20</v>
      </c>
      <c r="AF120" s="101" t="n">
        <v>109.6</v>
      </c>
      <c r="AG120" s="102" t="n">
        <v>2.665</v>
      </c>
      <c r="AH120" s="102" t="n">
        <v>0.024</v>
      </c>
      <c r="AI120" s="101" t="n">
        <v>1.3</v>
      </c>
      <c r="AJ120" s="103" t="n">
        <v>19</v>
      </c>
      <c r="AK120" s="101" t="n">
        <v>190.4</v>
      </c>
      <c r="AL120" s="102" t="n">
        <v>9.892</v>
      </c>
      <c r="AM120" s="102" t="n">
        <v>0.052</v>
      </c>
      <c r="AN120" s="101" t="n">
        <v>2.7</v>
      </c>
      <c r="AO120" s="64" t="n">
        <f aca="false">Table2[[#This Row],[Inside_._time]]/Table2[[#This Row],[Duration]]</f>
        <v>0.365333333333333</v>
      </c>
      <c r="AP120" s="64" t="n">
        <f aca="false">Table2[[#This Row],[Outside_._time]]/Table2[[#This Row],[Duration]]</f>
        <v>0.634666666666667</v>
      </c>
      <c r="AQ120" s="64" t="n">
        <f aca="false">Table2[[#This Row],[Inside_._distance]]/Table2[[#This Row],[Distance]]</f>
        <v>0.212232221071912</v>
      </c>
      <c r="AR120" s="64" t="n">
        <f aca="false">Table2[[#This Row],[Outside_._distance]]/Table2[[#This Row],[Distance]]</f>
        <v>0.787767778928088</v>
      </c>
      <c r="AS120" s="63"/>
      <c r="AT120" s="63"/>
      <c r="AU120" s="63"/>
      <c r="AV120" s="61"/>
      <c r="AW120" s="63"/>
      <c r="AX120" s="63"/>
      <c r="AY120" s="67" t="s">
        <v>64</v>
      </c>
      <c r="AZ120" s="67" t="s">
        <v>65</v>
      </c>
      <c r="BA120" s="67" t="s">
        <v>72</v>
      </c>
      <c r="BB120" s="103" t="n">
        <v>144</v>
      </c>
      <c r="BC120" s="101" t="n">
        <v>4.8</v>
      </c>
      <c r="BD120" s="67" t="s">
        <v>81</v>
      </c>
      <c r="BE120" s="67" t="n">
        <v>2</v>
      </c>
      <c r="BF120" s="67" t="s">
        <v>157</v>
      </c>
      <c r="BG120" s="87"/>
      <c r="BH120" s="87"/>
      <c r="BI120" s="87"/>
      <c r="BJ120" s="87"/>
      <c r="BK120" s="87"/>
      <c r="BL120" s="87"/>
      <c r="BM120" s="87"/>
      <c r="BN120" s="87"/>
      <c r="BO120" s="87"/>
    </row>
    <row r="121" customFormat="false" ht="12" hidden="false" customHeight="true" outlineLevel="0" collapsed="false">
      <c r="A121" s="67" t="n">
        <v>35</v>
      </c>
      <c r="B121" s="67" t="s">
        <v>163</v>
      </c>
      <c r="C121" s="67" t="s">
        <v>250</v>
      </c>
      <c r="D121" s="67" t="s">
        <v>69</v>
      </c>
      <c r="E121" s="67" t="s">
        <v>432</v>
      </c>
      <c r="F121" s="67" t="s">
        <v>477</v>
      </c>
      <c r="G121" s="67" t="s">
        <v>479</v>
      </c>
      <c r="H121" s="101" t="n">
        <v>300</v>
      </c>
      <c r="I121" s="102" t="n">
        <v>9.627</v>
      </c>
      <c r="J121" s="102" t="n">
        <v>0.032</v>
      </c>
      <c r="K121" s="102" t="n">
        <v>0.242</v>
      </c>
      <c r="L121" s="101" t="n">
        <v>30.9</v>
      </c>
      <c r="M121" s="103" t="n">
        <v>17</v>
      </c>
      <c r="N121" s="101" t="n">
        <v>14.1</v>
      </c>
      <c r="O121" s="102" t="n">
        <v>1.049</v>
      </c>
      <c r="P121" s="102" t="n">
        <v>0.075</v>
      </c>
      <c r="Q121" s="102" t="n">
        <v>0.24</v>
      </c>
      <c r="R121" s="101" t="n">
        <v>1.3</v>
      </c>
      <c r="S121" s="103" t="n">
        <v>1012</v>
      </c>
      <c r="T121" s="101" t="n">
        <v>0</v>
      </c>
      <c r="U121" s="101" t="n">
        <v>4.4</v>
      </c>
      <c r="V121" s="103" t="n">
        <v>34</v>
      </c>
      <c r="W121" s="101" t="n">
        <v>66.8</v>
      </c>
      <c r="X121" s="102" t="n">
        <v>1.149</v>
      </c>
      <c r="Y121" s="102" t="n">
        <v>0.017</v>
      </c>
      <c r="Z121" s="102" t="n">
        <v>0.238</v>
      </c>
      <c r="AA121" s="101" t="n">
        <v>4</v>
      </c>
      <c r="AB121" s="103" t="n">
        <v>4650</v>
      </c>
      <c r="AC121" s="101" t="n">
        <v>15.1</v>
      </c>
      <c r="AD121" s="101" t="n">
        <v>6.3</v>
      </c>
      <c r="AE121" s="103" t="n">
        <v>21</v>
      </c>
      <c r="AF121" s="101" t="n">
        <v>119.8</v>
      </c>
      <c r="AG121" s="102" t="n">
        <v>2.658</v>
      </c>
      <c r="AH121" s="102" t="n">
        <v>0.022</v>
      </c>
      <c r="AI121" s="101" t="n">
        <v>19.6</v>
      </c>
      <c r="AJ121" s="103" t="n">
        <v>22</v>
      </c>
      <c r="AK121" s="101" t="n">
        <v>180.2</v>
      </c>
      <c r="AL121" s="102" t="n">
        <v>6.968</v>
      </c>
      <c r="AM121" s="102" t="n">
        <v>0.039</v>
      </c>
      <c r="AN121" s="101" t="n">
        <v>11.3</v>
      </c>
      <c r="AO121" s="64" t="n">
        <f aca="false">Table2[[#This Row],[Inside_._time]]/Table2[[#This Row],[Duration]]</f>
        <v>0.399333333333333</v>
      </c>
      <c r="AP121" s="64" t="n">
        <f aca="false">Table2[[#This Row],[Outside_._time]]/Table2[[#This Row],[Duration]]</f>
        <v>0.600666666666667</v>
      </c>
      <c r="AQ121" s="64" t="n">
        <f aca="false">Table2[[#This Row],[Inside_._distance]]/Table2[[#This Row],[Distance]]</f>
        <v>0.276098473044562</v>
      </c>
      <c r="AR121" s="64" t="n">
        <f aca="false">Table2[[#This Row],[Outside_._distance]]/Table2[[#This Row],[Distance]]</f>
        <v>0.723797652435857</v>
      </c>
      <c r="AS121" s="63"/>
      <c r="AT121" s="63"/>
      <c r="AU121" s="63"/>
      <c r="AV121" s="61"/>
      <c r="AW121" s="63"/>
      <c r="AX121" s="63"/>
      <c r="AY121" s="67" t="s">
        <v>64</v>
      </c>
      <c r="AZ121" s="67" t="s">
        <v>65</v>
      </c>
      <c r="BA121" s="67" t="s">
        <v>66</v>
      </c>
      <c r="BB121" s="103" t="n">
        <v>144</v>
      </c>
      <c r="BC121" s="101" t="n">
        <v>4.8</v>
      </c>
      <c r="BD121" s="67" t="s">
        <v>81</v>
      </c>
      <c r="BE121" s="67" t="n">
        <v>4</v>
      </c>
      <c r="BF121" s="67"/>
      <c r="BG121" s="87"/>
      <c r="BH121" s="87"/>
      <c r="BI121" s="87"/>
      <c r="BJ121" s="87"/>
      <c r="BK121" s="87"/>
      <c r="BL121" s="87"/>
      <c r="BM121" s="87"/>
      <c r="BN121" s="87"/>
      <c r="BO121" s="87"/>
    </row>
    <row r="122" customFormat="false" ht="12" hidden="false" customHeight="true" outlineLevel="0" collapsed="false">
      <c r="A122" s="67" t="n">
        <v>33</v>
      </c>
      <c r="B122" s="67" t="s">
        <v>166</v>
      </c>
      <c r="C122" s="67" t="s">
        <v>250</v>
      </c>
      <c r="D122" s="67" t="s">
        <v>74</v>
      </c>
      <c r="E122" s="67" t="s">
        <v>432</v>
      </c>
      <c r="F122" s="67" t="s">
        <v>477</v>
      </c>
      <c r="G122" s="67" t="s">
        <v>480</v>
      </c>
      <c r="H122" s="101" t="n">
        <v>300</v>
      </c>
      <c r="I122" s="102" t="n">
        <v>6.428</v>
      </c>
      <c r="J122" s="102" t="n">
        <v>0.021</v>
      </c>
      <c r="K122" s="102" t="n">
        <v>0.295</v>
      </c>
      <c r="L122" s="101" t="n">
        <v>36.6</v>
      </c>
      <c r="M122" s="103" t="n">
        <v>10</v>
      </c>
      <c r="N122" s="101" t="n">
        <v>8</v>
      </c>
      <c r="O122" s="102" t="n">
        <v>0.717</v>
      </c>
      <c r="P122" s="102" t="n">
        <v>0.09</v>
      </c>
      <c r="Q122" s="102" t="n">
        <v>0.243</v>
      </c>
      <c r="R122" s="101" t="n">
        <v>0.9</v>
      </c>
      <c r="S122" s="103" t="n">
        <v>747</v>
      </c>
      <c r="T122" s="101" t="n">
        <v>0</v>
      </c>
      <c r="U122" s="101" t="n">
        <v>1.3</v>
      </c>
      <c r="V122" s="103" t="n">
        <v>13</v>
      </c>
      <c r="W122" s="101" t="n">
        <v>52</v>
      </c>
      <c r="X122" s="102" t="n">
        <v>0.663</v>
      </c>
      <c r="Y122" s="102" t="n">
        <v>0.013</v>
      </c>
      <c r="Z122" s="102" t="n">
        <v>0.195</v>
      </c>
      <c r="AA122" s="101" t="n">
        <v>16.8</v>
      </c>
      <c r="AB122" s="103" t="n">
        <v>3947</v>
      </c>
      <c r="AC122" s="101" t="n">
        <v>4.1</v>
      </c>
      <c r="AD122" s="101" t="n">
        <v>9.5</v>
      </c>
      <c r="AE122" s="103" t="n">
        <v>15</v>
      </c>
      <c r="AF122" s="101" t="n">
        <v>26.4</v>
      </c>
      <c r="AG122" s="102" t="n">
        <v>2.09</v>
      </c>
      <c r="AH122" s="102" t="n">
        <v>0.079</v>
      </c>
      <c r="AI122" s="101" t="n">
        <v>1.3</v>
      </c>
      <c r="AJ122" s="103" t="n">
        <v>16</v>
      </c>
      <c r="AK122" s="101" t="n">
        <v>273.6</v>
      </c>
      <c r="AL122" s="102" t="n">
        <v>4.338</v>
      </c>
      <c r="AM122" s="102" t="n">
        <v>0.016</v>
      </c>
      <c r="AN122" s="101" t="n">
        <v>35.2</v>
      </c>
      <c r="AO122" s="64" t="n">
        <f aca="false">Table2[[#This Row],[Inside_._time]]/Table2[[#This Row],[Duration]]</f>
        <v>0.088</v>
      </c>
      <c r="AP122" s="64" t="n">
        <f aca="false">Table2[[#This Row],[Outside_._time]]/Table2[[#This Row],[Duration]]</f>
        <v>0.912</v>
      </c>
      <c r="AQ122" s="64" t="n">
        <f aca="false">Table2[[#This Row],[Inside_._distance]]/Table2[[#This Row],[Distance]]</f>
        <v>0.325140012445551</v>
      </c>
      <c r="AR122" s="64" t="n">
        <f aca="false">Table2[[#This Row],[Outside_._distance]]/Table2[[#This Row],[Distance]]</f>
        <v>0.674859987554449</v>
      </c>
      <c r="AS122" s="63"/>
      <c r="AT122" s="63"/>
      <c r="AU122" s="63"/>
      <c r="AV122" s="61"/>
      <c r="AW122" s="63"/>
      <c r="AX122" s="63"/>
      <c r="AY122" s="67" t="s">
        <v>64</v>
      </c>
      <c r="AZ122" s="67" t="s">
        <v>65</v>
      </c>
      <c r="BA122" s="67" t="s">
        <v>66</v>
      </c>
      <c r="BB122" s="103" t="n">
        <v>144</v>
      </c>
      <c r="BC122" s="101" t="n">
        <v>4.8</v>
      </c>
      <c r="BD122" s="67" t="s">
        <v>67</v>
      </c>
      <c r="BE122" s="67" t="n">
        <v>3</v>
      </c>
      <c r="BF122" s="67" t="s">
        <v>168</v>
      </c>
      <c r="BG122" s="87"/>
      <c r="BH122" s="87"/>
      <c r="BI122" s="87"/>
      <c r="BJ122" s="87"/>
      <c r="BK122" s="87"/>
      <c r="BL122" s="87"/>
      <c r="BM122" s="87"/>
      <c r="BN122" s="87"/>
      <c r="BO122" s="87"/>
    </row>
    <row r="123" customFormat="false" ht="12" hidden="false" customHeight="true" outlineLevel="0" collapsed="false">
      <c r="A123" s="67" t="n">
        <v>34</v>
      </c>
      <c r="B123" s="67" t="s">
        <v>169</v>
      </c>
      <c r="C123" s="67" t="s">
        <v>250</v>
      </c>
      <c r="D123" s="67" t="s">
        <v>79</v>
      </c>
      <c r="E123" s="67" t="s">
        <v>432</v>
      </c>
      <c r="F123" s="67" t="s">
        <v>477</v>
      </c>
      <c r="G123" s="67" t="s">
        <v>481</v>
      </c>
      <c r="H123" s="101" t="n">
        <v>300</v>
      </c>
      <c r="I123" s="102" t="n">
        <v>5.742</v>
      </c>
      <c r="J123" s="102" t="n">
        <v>0.019</v>
      </c>
      <c r="K123" s="102" t="n">
        <v>0.335</v>
      </c>
      <c r="L123" s="101" t="n">
        <v>154.6</v>
      </c>
      <c r="M123" s="103" t="n">
        <v>7</v>
      </c>
      <c r="N123" s="101" t="n">
        <v>19.1</v>
      </c>
      <c r="O123" s="102" t="n">
        <v>0.538</v>
      </c>
      <c r="P123" s="102" t="n">
        <v>0.028</v>
      </c>
      <c r="Q123" s="102" t="n">
        <v>0.212</v>
      </c>
      <c r="R123" s="101" t="n">
        <v>9.1</v>
      </c>
      <c r="S123" s="103" t="n">
        <v>1332</v>
      </c>
      <c r="T123" s="101" t="n">
        <v>7.8</v>
      </c>
      <c r="U123" s="101" t="n">
        <v>15.5</v>
      </c>
      <c r="V123" s="103" t="n">
        <v>5</v>
      </c>
      <c r="W123" s="101" t="n">
        <v>65.9</v>
      </c>
      <c r="X123" s="102" t="n">
        <v>0.373</v>
      </c>
      <c r="Y123" s="102" t="n">
        <v>0.006</v>
      </c>
      <c r="Z123" s="102" t="n">
        <v>0.295</v>
      </c>
      <c r="AA123" s="101" t="n">
        <v>61.4</v>
      </c>
      <c r="AB123" s="103" t="n">
        <v>2397</v>
      </c>
      <c r="AC123" s="101" t="n">
        <v>55.5</v>
      </c>
      <c r="AD123" s="101" t="n">
        <v>45.4</v>
      </c>
      <c r="AE123" s="103" t="n">
        <v>22</v>
      </c>
      <c r="AF123" s="101" t="n">
        <v>24.1</v>
      </c>
      <c r="AG123" s="102" t="n">
        <v>1.194</v>
      </c>
      <c r="AH123" s="102" t="n">
        <v>0.05</v>
      </c>
      <c r="AI123" s="101" t="n">
        <v>4.1</v>
      </c>
      <c r="AJ123" s="103" t="n">
        <v>23</v>
      </c>
      <c r="AK123" s="101" t="n">
        <v>275.9</v>
      </c>
      <c r="AL123" s="102" t="n">
        <v>4.548</v>
      </c>
      <c r="AM123" s="102" t="n">
        <v>0.016</v>
      </c>
      <c r="AN123" s="101" t="n">
        <v>150.4</v>
      </c>
      <c r="AO123" s="64" t="n">
        <f aca="false">Table2[[#This Row],[Inside_._time]]/Table2[[#This Row],[Duration]]</f>
        <v>0.0803333333333333</v>
      </c>
      <c r="AP123" s="64" t="n">
        <f aca="false">Table2[[#This Row],[Outside_._time]]/Table2[[#This Row],[Duration]]</f>
        <v>0.919666666666667</v>
      </c>
      <c r="AQ123" s="64" t="n">
        <f aca="false">Table2[[#This Row],[Inside_._distance]]/Table2[[#This Row],[Distance]]</f>
        <v>0.207941483803553</v>
      </c>
      <c r="AR123" s="64" t="n">
        <f aca="false">Table2[[#This Row],[Outside_._distance]]/Table2[[#This Row],[Distance]]</f>
        <v>0.792058516196447</v>
      </c>
      <c r="AS123" s="63"/>
      <c r="AT123" s="63"/>
      <c r="AU123" s="63"/>
      <c r="AV123" s="61"/>
      <c r="AW123" s="63"/>
      <c r="AX123" s="63"/>
      <c r="AY123" s="67" t="s">
        <v>71</v>
      </c>
      <c r="AZ123" s="67" t="s">
        <v>65</v>
      </c>
      <c r="BA123" s="67" t="s">
        <v>72</v>
      </c>
      <c r="BB123" s="103" t="n">
        <v>144</v>
      </c>
      <c r="BC123" s="101" t="n">
        <v>4.8</v>
      </c>
      <c r="BD123" s="67" t="s">
        <v>67</v>
      </c>
      <c r="BE123" s="67" t="n">
        <v>1</v>
      </c>
      <c r="BF123" s="67" t="s">
        <v>171</v>
      </c>
      <c r="BG123" s="87"/>
      <c r="BH123" s="87"/>
      <c r="BI123" s="87"/>
      <c r="BJ123" s="87"/>
      <c r="BK123" s="87"/>
      <c r="BL123" s="87"/>
      <c r="BM123" s="87"/>
      <c r="BN123" s="87"/>
      <c r="BO123" s="87"/>
    </row>
    <row r="124" customFormat="false" ht="12" hidden="false" customHeight="true" outlineLevel="0" collapsed="false">
      <c r="A124" s="67" t="n">
        <v>38</v>
      </c>
      <c r="B124" s="67" t="s">
        <v>172</v>
      </c>
      <c r="C124" s="67" t="s">
        <v>250</v>
      </c>
      <c r="D124" s="67" t="s">
        <v>60</v>
      </c>
      <c r="E124" s="67" t="s">
        <v>432</v>
      </c>
      <c r="F124" s="67" t="s">
        <v>482</v>
      </c>
      <c r="G124" s="67" t="s">
        <v>483</v>
      </c>
      <c r="H124" s="101" t="n">
        <v>300</v>
      </c>
      <c r="I124" s="102" t="n">
        <v>23.469</v>
      </c>
      <c r="J124" s="102" t="n">
        <v>0.078</v>
      </c>
      <c r="K124" s="102" t="n">
        <v>0.31</v>
      </c>
      <c r="L124" s="101" t="n">
        <v>7.8</v>
      </c>
      <c r="M124" s="103" t="n">
        <v>29</v>
      </c>
      <c r="N124" s="101" t="n">
        <v>12.9</v>
      </c>
      <c r="O124" s="102" t="n">
        <v>1.702</v>
      </c>
      <c r="P124" s="102" t="n">
        <v>0.132</v>
      </c>
      <c r="Q124" s="102" t="n">
        <v>0.273</v>
      </c>
      <c r="R124" s="101" t="n">
        <v>1.5</v>
      </c>
      <c r="S124" s="103" t="n">
        <v>1277</v>
      </c>
      <c r="T124" s="101" t="n">
        <v>0</v>
      </c>
      <c r="U124" s="101" t="n">
        <v>5.9</v>
      </c>
      <c r="V124" s="103" t="n">
        <v>35</v>
      </c>
      <c r="W124" s="101" t="n">
        <v>28.6</v>
      </c>
      <c r="X124" s="102" t="n">
        <v>2.195</v>
      </c>
      <c r="Y124" s="102" t="n">
        <v>0.077</v>
      </c>
      <c r="Z124" s="102" t="n">
        <v>0.31</v>
      </c>
      <c r="AA124" s="101" t="n">
        <v>1.7</v>
      </c>
      <c r="AB124" s="103" t="n">
        <v>2101</v>
      </c>
      <c r="AC124" s="101" t="n">
        <v>2</v>
      </c>
      <c r="AD124" s="101" t="n">
        <v>3.2</v>
      </c>
      <c r="AE124" s="103" t="n">
        <v>46</v>
      </c>
      <c r="AF124" s="101" t="n">
        <v>42.4</v>
      </c>
      <c r="AG124" s="102" t="n">
        <v>5.607</v>
      </c>
      <c r="AH124" s="102" t="n">
        <v>0.132</v>
      </c>
      <c r="AI124" s="101" t="n">
        <v>1.3</v>
      </c>
      <c r="AJ124" s="103" t="n">
        <v>45</v>
      </c>
      <c r="AK124" s="101" t="n">
        <v>257.6</v>
      </c>
      <c r="AL124" s="102" t="n">
        <v>17.862</v>
      </c>
      <c r="AM124" s="102" t="n">
        <v>0.069</v>
      </c>
      <c r="AN124" s="101" t="n">
        <v>6.5</v>
      </c>
      <c r="AO124" s="64" t="n">
        <f aca="false">Table2[[#This Row],[Inside_._time]]/Table2[[#This Row],[Duration]]</f>
        <v>0.141333333333333</v>
      </c>
      <c r="AP124" s="64" t="n">
        <f aca="false">Table2[[#This Row],[Outside_._time]]/Table2[[#This Row],[Duration]]</f>
        <v>0.858666666666667</v>
      </c>
      <c r="AQ124" s="64" t="n">
        <f aca="false">Table2[[#This Row],[Inside_._distance]]/Table2[[#This Row],[Distance]]</f>
        <v>0.238910903745366</v>
      </c>
      <c r="AR124" s="64" t="n">
        <f aca="false">Table2[[#This Row],[Outside_._distance]]/Table2[[#This Row],[Distance]]</f>
        <v>0.761089096254634</v>
      </c>
      <c r="AS124" s="63"/>
      <c r="AT124" s="63"/>
      <c r="AU124" s="63"/>
      <c r="AV124" s="61"/>
      <c r="AW124" s="63"/>
      <c r="AX124" s="63"/>
      <c r="AY124" s="67" t="s">
        <v>71</v>
      </c>
      <c r="AZ124" s="67" t="s">
        <v>65</v>
      </c>
      <c r="BA124" s="67" t="s">
        <v>66</v>
      </c>
      <c r="BB124" s="103" t="n">
        <v>144</v>
      </c>
      <c r="BC124" s="101" t="n">
        <v>4.8</v>
      </c>
      <c r="BD124" s="67" t="s">
        <v>81</v>
      </c>
      <c r="BE124" s="67" t="n">
        <v>4</v>
      </c>
      <c r="BF124" s="67"/>
      <c r="BG124" s="87"/>
      <c r="BH124" s="87"/>
      <c r="BI124" s="87"/>
      <c r="BJ124" s="87"/>
      <c r="BK124" s="87"/>
      <c r="BL124" s="87"/>
      <c r="BM124" s="87"/>
      <c r="BN124" s="87"/>
      <c r="BO124" s="87"/>
    </row>
    <row r="125" customFormat="false" ht="12" hidden="false" customHeight="true" outlineLevel="0" collapsed="false">
      <c r="A125" s="67" t="n">
        <v>39</v>
      </c>
      <c r="B125" s="67" t="s">
        <v>174</v>
      </c>
      <c r="C125" s="67" t="s">
        <v>250</v>
      </c>
      <c r="D125" s="67" t="s">
        <v>69</v>
      </c>
      <c r="E125" s="67" t="s">
        <v>432</v>
      </c>
      <c r="F125" s="67" t="s">
        <v>482</v>
      </c>
      <c r="G125" s="67" t="s">
        <v>484</v>
      </c>
      <c r="H125" s="101" t="n">
        <v>300</v>
      </c>
      <c r="I125" s="102" t="n">
        <v>4.708</v>
      </c>
      <c r="J125" s="102" t="n">
        <v>0.016</v>
      </c>
      <c r="K125" s="102" t="n">
        <v>0.337</v>
      </c>
      <c r="L125" s="101" t="n">
        <v>105.9</v>
      </c>
      <c r="M125" s="103" t="n">
        <v>42</v>
      </c>
      <c r="N125" s="101" t="n">
        <v>72.9</v>
      </c>
      <c r="O125" s="102" t="n">
        <v>0.649</v>
      </c>
      <c r="P125" s="102" t="n">
        <v>0.009</v>
      </c>
      <c r="Q125" s="102" t="n">
        <v>0.203</v>
      </c>
      <c r="R125" s="101" t="n">
        <v>10</v>
      </c>
      <c r="S125" s="103" t="n">
        <v>2989</v>
      </c>
      <c r="T125" s="101" t="n">
        <v>30.8</v>
      </c>
      <c r="U125" s="101" t="n">
        <v>18.7</v>
      </c>
      <c r="V125" s="103" t="n">
        <v>37</v>
      </c>
      <c r="W125" s="101" t="n">
        <v>110.3</v>
      </c>
      <c r="X125" s="102" t="n">
        <v>0.471</v>
      </c>
      <c r="Y125" s="102" t="n">
        <v>0.004</v>
      </c>
      <c r="Z125" s="102" t="n">
        <v>0.303</v>
      </c>
      <c r="AA125" s="101" t="n">
        <v>47.2</v>
      </c>
      <c r="AB125" s="103" t="n">
        <v>5379</v>
      </c>
      <c r="AC125" s="101" t="n">
        <v>46.1</v>
      </c>
      <c r="AD125" s="101" t="n">
        <v>75.3</v>
      </c>
      <c r="AE125" s="103" t="n">
        <v>9</v>
      </c>
      <c r="AF125" s="101" t="n">
        <v>66.1</v>
      </c>
      <c r="AG125" s="102" t="n">
        <v>1.655</v>
      </c>
      <c r="AH125" s="102" t="n">
        <v>0.025</v>
      </c>
      <c r="AI125" s="101" t="n">
        <v>21.2</v>
      </c>
      <c r="AJ125" s="103" t="n">
        <v>10</v>
      </c>
      <c r="AK125" s="101" t="n">
        <v>233.9</v>
      </c>
      <c r="AL125" s="102" t="n">
        <v>3.053</v>
      </c>
      <c r="AM125" s="102" t="n">
        <v>0.013</v>
      </c>
      <c r="AN125" s="101" t="n">
        <v>84.7</v>
      </c>
      <c r="AO125" s="64" t="n">
        <f aca="false">Table2[[#This Row],[Inside_._time]]/Table2[[#This Row],[Duration]]</f>
        <v>0.220333333333333</v>
      </c>
      <c r="AP125" s="64" t="n">
        <f aca="false">Table2[[#This Row],[Outside_._time]]/Table2[[#This Row],[Duration]]</f>
        <v>0.779666666666667</v>
      </c>
      <c r="AQ125" s="64" t="n">
        <f aca="false">Table2[[#This Row],[Inside_._distance]]/Table2[[#This Row],[Distance]]</f>
        <v>0.351529311809686</v>
      </c>
      <c r="AR125" s="64" t="n">
        <f aca="false">Table2[[#This Row],[Outside_._distance]]/Table2[[#This Row],[Distance]]</f>
        <v>0.648470688190314</v>
      </c>
      <c r="AS125" s="63"/>
      <c r="AT125" s="63"/>
      <c r="AU125" s="63"/>
      <c r="AV125" s="61"/>
      <c r="AW125" s="63"/>
      <c r="AX125" s="63"/>
      <c r="AY125" s="67" t="s">
        <v>71</v>
      </c>
      <c r="AZ125" s="67" t="s">
        <v>65</v>
      </c>
      <c r="BA125" s="67" t="s">
        <v>72</v>
      </c>
      <c r="BB125" s="103" t="n">
        <v>144</v>
      </c>
      <c r="BC125" s="101" t="n">
        <v>4.8</v>
      </c>
      <c r="BD125" s="67" t="s">
        <v>81</v>
      </c>
      <c r="BE125" s="67" t="n">
        <v>2</v>
      </c>
      <c r="BF125" s="67"/>
      <c r="BG125" s="87"/>
      <c r="BH125" s="87"/>
      <c r="BI125" s="87"/>
      <c r="BJ125" s="87"/>
      <c r="BK125" s="87"/>
      <c r="BL125" s="87"/>
      <c r="BM125" s="87"/>
      <c r="BN125" s="87"/>
      <c r="BO125" s="87"/>
    </row>
    <row r="126" customFormat="false" ht="12" hidden="false" customHeight="true" outlineLevel="0" collapsed="false">
      <c r="A126" s="67" t="n">
        <v>40</v>
      </c>
      <c r="B126" s="67" t="s">
        <v>177</v>
      </c>
      <c r="C126" s="67" t="s">
        <v>250</v>
      </c>
      <c r="D126" s="67" t="s">
        <v>74</v>
      </c>
      <c r="E126" s="67" t="s">
        <v>432</v>
      </c>
      <c r="F126" s="67" t="s">
        <v>482</v>
      </c>
      <c r="G126" s="67" t="s">
        <v>485</v>
      </c>
      <c r="H126" s="101" t="n">
        <v>300</v>
      </c>
      <c r="I126" s="102" t="n">
        <v>5.545</v>
      </c>
      <c r="J126" s="102" t="n">
        <v>0.018</v>
      </c>
      <c r="K126" s="102" t="n">
        <v>0.247</v>
      </c>
      <c r="L126" s="101" t="n">
        <v>34.8</v>
      </c>
      <c r="M126" s="103" t="n">
        <v>10</v>
      </c>
      <c r="N126" s="101" t="n">
        <v>78.4</v>
      </c>
      <c r="O126" s="102" t="n">
        <v>0.48</v>
      </c>
      <c r="P126" s="102" t="n">
        <v>0.006</v>
      </c>
      <c r="Q126" s="102" t="n">
        <v>0.219</v>
      </c>
      <c r="R126" s="101" t="n">
        <v>4.8</v>
      </c>
      <c r="S126" s="103" t="n">
        <v>1720</v>
      </c>
      <c r="T126" s="101" t="n">
        <v>13</v>
      </c>
      <c r="U126" s="101" t="n">
        <v>1.7</v>
      </c>
      <c r="V126" s="103" t="n">
        <v>6</v>
      </c>
      <c r="W126" s="101" t="n">
        <v>8</v>
      </c>
      <c r="X126" s="102" t="n">
        <v>0.517</v>
      </c>
      <c r="Y126" s="102" t="n">
        <v>0.065</v>
      </c>
      <c r="Z126" s="102" t="n">
        <v>0.239</v>
      </c>
      <c r="AA126" s="101" t="n">
        <v>0.9</v>
      </c>
      <c r="AB126" s="103" t="n">
        <v>632</v>
      </c>
      <c r="AC126" s="101" t="n">
        <v>0</v>
      </c>
      <c r="AD126" s="101" t="n">
        <v>1.9</v>
      </c>
      <c r="AE126" s="103" t="n">
        <v>12</v>
      </c>
      <c r="AF126" s="101" t="n">
        <v>13</v>
      </c>
      <c r="AG126" s="102" t="n">
        <v>1.099</v>
      </c>
      <c r="AH126" s="102" t="n">
        <v>0.084</v>
      </c>
      <c r="AI126" s="101" t="n">
        <v>0</v>
      </c>
      <c r="AJ126" s="103" t="n">
        <v>13</v>
      </c>
      <c r="AK126" s="101" t="n">
        <v>287</v>
      </c>
      <c r="AL126" s="102" t="n">
        <v>4.446</v>
      </c>
      <c r="AM126" s="102" t="n">
        <v>0.015</v>
      </c>
      <c r="AN126" s="101" t="n">
        <v>34.8</v>
      </c>
      <c r="AO126" s="64" t="n">
        <f aca="false">Table2[[#This Row],[Inside_._time]]/Table2[[#This Row],[Duration]]</f>
        <v>0.0433333333333333</v>
      </c>
      <c r="AP126" s="64" t="n">
        <f aca="false">Table2[[#This Row],[Outside_._time]]/Table2[[#This Row],[Duration]]</f>
        <v>0.956666666666667</v>
      </c>
      <c r="AQ126" s="64" t="n">
        <f aca="false">Table2[[#This Row],[Inside_._distance]]/Table2[[#This Row],[Distance]]</f>
        <v>0.19819657348963</v>
      </c>
      <c r="AR126" s="64" t="n">
        <f aca="false">Table2[[#This Row],[Outside_._distance]]/Table2[[#This Row],[Distance]]</f>
        <v>0.80180342651037</v>
      </c>
      <c r="AS126" s="63"/>
      <c r="AT126" s="63"/>
      <c r="AU126" s="63"/>
      <c r="AV126" s="61"/>
      <c r="AW126" s="63"/>
      <c r="AX126" s="63"/>
      <c r="AY126" s="67" t="s">
        <v>64</v>
      </c>
      <c r="AZ126" s="67" t="s">
        <v>65</v>
      </c>
      <c r="BA126" s="67" t="s">
        <v>72</v>
      </c>
      <c r="BB126" s="103" t="n">
        <v>143</v>
      </c>
      <c r="BC126" s="101" t="n">
        <v>4.76666666666667</v>
      </c>
      <c r="BD126" s="67" t="s">
        <v>67</v>
      </c>
      <c r="BE126" s="67" t="n">
        <v>1</v>
      </c>
      <c r="BF126" s="67" t="s">
        <v>179</v>
      </c>
      <c r="BG126" s="87"/>
      <c r="BH126" s="87"/>
      <c r="BI126" s="87"/>
      <c r="BJ126" s="87"/>
      <c r="BK126" s="87"/>
      <c r="BL126" s="87"/>
      <c r="BM126" s="87"/>
      <c r="BN126" s="87"/>
      <c r="BO126" s="87"/>
    </row>
    <row r="127" customFormat="false" ht="12" hidden="false" customHeight="true" outlineLevel="0" collapsed="false">
      <c r="A127" s="67" t="n">
        <v>37</v>
      </c>
      <c r="B127" s="67" t="s">
        <v>180</v>
      </c>
      <c r="C127" s="67" t="s">
        <v>250</v>
      </c>
      <c r="D127" s="67" t="s">
        <v>79</v>
      </c>
      <c r="E127" s="67" t="s">
        <v>432</v>
      </c>
      <c r="F127" s="67" t="s">
        <v>486</v>
      </c>
      <c r="G127" s="67" t="s">
        <v>487</v>
      </c>
      <c r="H127" s="101" t="n">
        <v>300</v>
      </c>
      <c r="I127" s="102" t="n">
        <v>27.202</v>
      </c>
      <c r="J127" s="102" t="n">
        <v>0.091</v>
      </c>
      <c r="K127" s="102" t="n">
        <v>0.274</v>
      </c>
      <c r="L127" s="101" t="n">
        <v>6</v>
      </c>
      <c r="M127" s="103" t="n">
        <v>35</v>
      </c>
      <c r="N127" s="101" t="n">
        <v>24.4</v>
      </c>
      <c r="O127" s="102" t="n">
        <v>2.469</v>
      </c>
      <c r="P127" s="102" t="n">
        <v>0.101</v>
      </c>
      <c r="Q127" s="102" t="n">
        <v>0.273</v>
      </c>
      <c r="R127" s="101" t="n">
        <v>3.4</v>
      </c>
      <c r="S127" s="103" t="n">
        <v>2217</v>
      </c>
      <c r="T127" s="101" t="n">
        <v>0</v>
      </c>
      <c r="U127" s="101" t="n">
        <v>5.2</v>
      </c>
      <c r="V127" s="103" t="n">
        <v>29</v>
      </c>
      <c r="W127" s="101" t="n">
        <v>16.9</v>
      </c>
      <c r="X127" s="102" t="n">
        <v>2.2</v>
      </c>
      <c r="Y127" s="102" t="n">
        <v>0.13</v>
      </c>
      <c r="Z127" s="102" t="n">
        <v>0.258</v>
      </c>
      <c r="AA127" s="101" t="n">
        <v>5.6</v>
      </c>
      <c r="AB127" s="103" t="n">
        <v>1378</v>
      </c>
      <c r="AC127" s="101" t="n">
        <v>0</v>
      </c>
      <c r="AD127" s="101" t="n">
        <v>7.4</v>
      </c>
      <c r="AE127" s="103" t="n">
        <v>33</v>
      </c>
      <c r="AF127" s="101" t="n">
        <v>45</v>
      </c>
      <c r="AG127" s="102" t="n">
        <v>5.466</v>
      </c>
      <c r="AH127" s="102" t="n">
        <v>0.121</v>
      </c>
      <c r="AI127" s="101" t="n">
        <v>2.7</v>
      </c>
      <c r="AJ127" s="103" t="n">
        <v>33</v>
      </c>
      <c r="AK127" s="101" t="n">
        <v>255</v>
      </c>
      <c r="AL127" s="102" t="n">
        <v>21.736</v>
      </c>
      <c r="AM127" s="102" t="n">
        <v>0.085</v>
      </c>
      <c r="AN127" s="101" t="n">
        <v>3.3</v>
      </c>
      <c r="AO127" s="64" t="n">
        <f aca="false">Table2[[#This Row],[Inside_._time]]/Table2[[#This Row],[Duration]]</f>
        <v>0.15</v>
      </c>
      <c r="AP127" s="64" t="n">
        <f aca="false">Table2[[#This Row],[Outside_._time]]/Table2[[#This Row],[Duration]]</f>
        <v>0.85</v>
      </c>
      <c r="AQ127" s="64" t="n">
        <f aca="false">Table2[[#This Row],[Inside_._distance]]/Table2[[#This Row],[Distance]]</f>
        <v>0.200941107271524</v>
      </c>
      <c r="AR127" s="64" t="n">
        <f aca="false">Table2[[#This Row],[Outside_._distance]]/Table2[[#This Row],[Distance]]</f>
        <v>0.799058892728476</v>
      </c>
      <c r="AS127" s="63"/>
      <c r="AT127" s="63"/>
      <c r="AU127" s="63"/>
      <c r="AV127" s="61"/>
      <c r="AW127" s="63"/>
      <c r="AX127" s="63"/>
      <c r="AY127" s="67" t="s">
        <v>71</v>
      </c>
      <c r="AZ127" s="67" t="s">
        <v>65</v>
      </c>
      <c r="BA127" s="67" t="s">
        <v>72</v>
      </c>
      <c r="BB127" s="103" t="n">
        <v>136</v>
      </c>
      <c r="BC127" s="101" t="n">
        <v>4.53333333333333</v>
      </c>
      <c r="BD127" s="67" t="s">
        <v>81</v>
      </c>
      <c r="BE127" s="67" t="n">
        <v>2</v>
      </c>
      <c r="BF127" s="67" t="s">
        <v>182</v>
      </c>
      <c r="BG127" s="87"/>
      <c r="BH127" s="87"/>
      <c r="BI127" s="87"/>
      <c r="BJ127" s="87"/>
      <c r="BK127" s="87"/>
      <c r="BL127" s="87"/>
      <c r="BM127" s="87"/>
      <c r="BN127" s="87"/>
      <c r="BO127" s="87"/>
    </row>
    <row r="128" customFormat="false" ht="12" hidden="false" customHeight="true" outlineLevel="0" collapsed="false">
      <c r="A128" s="67" t="n">
        <v>41</v>
      </c>
      <c r="B128" s="67" t="s">
        <v>183</v>
      </c>
      <c r="C128" s="67" t="s">
        <v>250</v>
      </c>
      <c r="D128" s="67" t="s">
        <v>60</v>
      </c>
      <c r="E128" s="67" t="s">
        <v>432</v>
      </c>
      <c r="F128" s="67" t="s">
        <v>488</v>
      </c>
      <c r="G128" s="67" t="s">
        <v>489</v>
      </c>
      <c r="H128" s="101" t="n">
        <v>300</v>
      </c>
      <c r="I128" s="102" t="n">
        <v>14.189</v>
      </c>
      <c r="J128" s="102" t="n">
        <v>0.047</v>
      </c>
      <c r="K128" s="102" t="n">
        <v>0.284</v>
      </c>
      <c r="L128" s="101" t="n">
        <v>15</v>
      </c>
      <c r="M128" s="103" t="n">
        <v>14</v>
      </c>
      <c r="N128" s="101" t="n">
        <v>9.7</v>
      </c>
      <c r="O128" s="102" t="n">
        <v>0.912</v>
      </c>
      <c r="P128" s="102" t="n">
        <v>0.094</v>
      </c>
      <c r="Q128" s="102" t="n">
        <v>0.242</v>
      </c>
      <c r="R128" s="101" t="n">
        <v>1.8</v>
      </c>
      <c r="S128" s="103" t="n">
        <v>561</v>
      </c>
      <c r="T128" s="101" t="n">
        <v>0</v>
      </c>
      <c r="U128" s="101" t="n">
        <v>4.8</v>
      </c>
      <c r="V128" s="103" t="n">
        <v>30</v>
      </c>
      <c r="W128" s="101" t="n">
        <v>68</v>
      </c>
      <c r="X128" s="102" t="n">
        <v>1.036</v>
      </c>
      <c r="Y128" s="102" t="n">
        <v>0.015</v>
      </c>
      <c r="Z128" s="102" t="n">
        <v>0.249</v>
      </c>
      <c r="AA128" s="101" t="n">
        <v>20.3</v>
      </c>
      <c r="AB128" s="103" t="n">
        <v>4886</v>
      </c>
      <c r="AC128" s="101" t="n">
        <v>6</v>
      </c>
      <c r="AD128" s="101" t="n">
        <v>24.5</v>
      </c>
      <c r="AE128" s="103" t="n">
        <v>22</v>
      </c>
      <c r="AF128" s="101" t="n">
        <v>46.1</v>
      </c>
      <c r="AG128" s="102" t="n">
        <v>2.343</v>
      </c>
      <c r="AH128" s="102" t="n">
        <v>0.051</v>
      </c>
      <c r="AI128" s="101" t="n">
        <v>2.2</v>
      </c>
      <c r="AJ128" s="103" t="n">
        <v>23</v>
      </c>
      <c r="AK128" s="101" t="n">
        <v>253.9</v>
      </c>
      <c r="AL128" s="102" t="n">
        <v>11.846</v>
      </c>
      <c r="AM128" s="102" t="n">
        <v>0.047</v>
      </c>
      <c r="AN128" s="101" t="n">
        <v>12.8</v>
      </c>
      <c r="AO128" s="64" t="n">
        <f aca="false">Table2[[#This Row],[Inside_._time]]/Table2[[#This Row],[Duration]]</f>
        <v>0.153666666666667</v>
      </c>
      <c r="AP128" s="64" t="n">
        <f aca="false">Table2[[#This Row],[Outside_._time]]/Table2[[#This Row],[Duration]]</f>
        <v>0.846333333333333</v>
      </c>
      <c r="AQ128" s="64" t="n">
        <f aca="false">Table2[[#This Row],[Inside_._distance]]/Table2[[#This Row],[Distance]]</f>
        <v>0.165127915991261</v>
      </c>
      <c r="AR128" s="64" t="n">
        <f aca="false">Table2[[#This Row],[Outside_._distance]]/Table2[[#This Row],[Distance]]</f>
        <v>0.834872084008739</v>
      </c>
      <c r="AS128" s="63"/>
      <c r="AT128" s="63"/>
      <c r="AU128" s="63"/>
      <c r="AV128" s="61"/>
      <c r="AW128" s="63"/>
      <c r="AX128" s="63"/>
      <c r="AY128" s="67" t="s">
        <v>71</v>
      </c>
      <c r="AZ128" s="67" t="s">
        <v>76</v>
      </c>
      <c r="BA128" s="67" t="s">
        <v>72</v>
      </c>
      <c r="BB128" s="103" t="n">
        <v>125</v>
      </c>
      <c r="BC128" s="101" t="n">
        <v>4.16666666666667</v>
      </c>
      <c r="BD128" s="101" t="s">
        <v>67</v>
      </c>
      <c r="BE128" s="67" t="n">
        <v>5</v>
      </c>
      <c r="BF128" s="67"/>
      <c r="BG128" s="87"/>
      <c r="BH128" s="87"/>
      <c r="BI128" s="87"/>
      <c r="BJ128" s="87"/>
      <c r="BK128" s="87"/>
      <c r="BL128" s="87"/>
      <c r="BM128" s="87"/>
      <c r="BN128" s="87"/>
      <c r="BO128" s="87"/>
    </row>
    <row r="129" customFormat="false" ht="12" hidden="false" customHeight="true" outlineLevel="0" collapsed="false">
      <c r="A129" s="67" t="n">
        <v>42</v>
      </c>
      <c r="B129" s="67" t="s">
        <v>185</v>
      </c>
      <c r="C129" s="67" t="s">
        <v>250</v>
      </c>
      <c r="D129" s="67" t="s">
        <v>69</v>
      </c>
      <c r="E129" s="67" t="s">
        <v>432</v>
      </c>
      <c r="F129" s="67" t="s">
        <v>488</v>
      </c>
      <c r="G129" s="67" t="s">
        <v>490</v>
      </c>
      <c r="H129" s="101" t="n">
        <v>300</v>
      </c>
      <c r="I129" s="102" t="n">
        <v>14.026</v>
      </c>
      <c r="J129" s="102" t="n">
        <v>0.047</v>
      </c>
      <c r="K129" s="102" t="n">
        <v>0.247</v>
      </c>
      <c r="L129" s="101" t="n">
        <v>8.8</v>
      </c>
      <c r="M129" s="103" t="n">
        <v>23</v>
      </c>
      <c r="N129" s="101" t="n">
        <v>26.3</v>
      </c>
      <c r="O129" s="102" t="n">
        <v>1.266</v>
      </c>
      <c r="P129" s="102" t="n">
        <v>0.048</v>
      </c>
      <c r="Q129" s="102" t="n">
        <v>0.246</v>
      </c>
      <c r="R129" s="101" t="n">
        <v>4.3</v>
      </c>
      <c r="S129" s="103" t="n">
        <v>2048</v>
      </c>
      <c r="T129" s="101" t="n">
        <v>1.1</v>
      </c>
      <c r="U129" s="101" t="n">
        <v>10.3</v>
      </c>
      <c r="V129" s="103" t="n">
        <v>22</v>
      </c>
      <c r="W129" s="101" t="n">
        <v>16.5</v>
      </c>
      <c r="X129" s="102" t="n">
        <v>1.096</v>
      </c>
      <c r="Y129" s="102" t="n">
        <v>0.066</v>
      </c>
      <c r="Z129" s="102" t="n">
        <v>0.193</v>
      </c>
      <c r="AA129" s="101" t="n">
        <v>1.3</v>
      </c>
      <c r="AB129" s="103" t="n">
        <v>1518</v>
      </c>
      <c r="AC129" s="101" t="n">
        <v>0</v>
      </c>
      <c r="AD129" s="101" t="n">
        <v>2.3</v>
      </c>
      <c r="AE129" s="103" t="n">
        <v>14</v>
      </c>
      <c r="AF129" s="101" t="n">
        <v>27.8</v>
      </c>
      <c r="AG129" s="102" t="n">
        <v>2.092</v>
      </c>
      <c r="AH129" s="102" t="n">
        <v>0.075</v>
      </c>
      <c r="AI129" s="101" t="n">
        <v>0</v>
      </c>
      <c r="AJ129" s="103" t="n">
        <v>15</v>
      </c>
      <c r="AK129" s="101" t="n">
        <v>272.2</v>
      </c>
      <c r="AL129" s="102" t="n">
        <v>11.934</v>
      </c>
      <c r="AM129" s="102" t="n">
        <v>0.044</v>
      </c>
      <c r="AN129" s="101" t="n">
        <v>8.8</v>
      </c>
      <c r="AO129" s="64" t="n">
        <f aca="false">Table2[[#This Row],[Inside_._time]]/Table2[[#This Row],[Duration]]</f>
        <v>0.0926666666666667</v>
      </c>
      <c r="AP129" s="64" t="n">
        <f aca="false">Table2[[#This Row],[Outside_._time]]/Table2[[#This Row],[Duration]]</f>
        <v>0.907333333333333</v>
      </c>
      <c r="AQ129" s="64" t="n">
        <f aca="false">Table2[[#This Row],[Inside_._distance]]/Table2[[#This Row],[Distance]]</f>
        <v>0.14915157564523</v>
      </c>
      <c r="AR129" s="64" t="n">
        <f aca="false">Table2[[#This Row],[Outside_._distance]]/Table2[[#This Row],[Distance]]</f>
        <v>0.85084842435477</v>
      </c>
      <c r="AS129" s="63"/>
      <c r="AT129" s="63"/>
      <c r="AU129" s="63"/>
      <c r="AV129" s="61"/>
      <c r="AW129" s="63"/>
      <c r="AX129" s="63"/>
      <c r="AY129" s="67" t="s">
        <v>71</v>
      </c>
      <c r="AZ129" s="67" t="s">
        <v>76</v>
      </c>
      <c r="BA129" s="67" t="s">
        <v>66</v>
      </c>
      <c r="BB129" s="103" t="n">
        <v>125</v>
      </c>
      <c r="BC129" s="101" t="n">
        <v>4.16666666666667</v>
      </c>
      <c r="BD129" s="101" t="s">
        <v>81</v>
      </c>
      <c r="BE129" s="67" t="n">
        <v>8</v>
      </c>
      <c r="BF129" s="67"/>
      <c r="BG129" s="87"/>
      <c r="BH129" s="87"/>
      <c r="BI129" s="87"/>
      <c r="BJ129" s="87"/>
      <c r="BK129" s="87"/>
      <c r="BL129" s="87"/>
      <c r="BM129" s="87"/>
      <c r="BN129" s="87"/>
      <c r="BO129" s="87"/>
    </row>
    <row r="130" customFormat="false" ht="12" hidden="false" customHeight="true" outlineLevel="0" collapsed="false">
      <c r="A130" s="67" t="n">
        <v>43</v>
      </c>
      <c r="B130" s="67" t="s">
        <v>188</v>
      </c>
      <c r="C130" s="67" t="s">
        <v>250</v>
      </c>
      <c r="D130" s="67" t="s">
        <v>74</v>
      </c>
      <c r="E130" s="67" t="s">
        <v>432</v>
      </c>
      <c r="F130" s="67" t="s">
        <v>488</v>
      </c>
      <c r="G130" s="67" t="s">
        <v>491</v>
      </c>
      <c r="H130" s="101" t="n">
        <v>300</v>
      </c>
      <c r="I130" s="102" t="n">
        <v>7.434</v>
      </c>
      <c r="J130" s="102" t="n">
        <v>0.025</v>
      </c>
      <c r="K130" s="102" t="n">
        <v>0.229</v>
      </c>
      <c r="L130" s="101" t="n">
        <v>44.9</v>
      </c>
      <c r="M130" s="103" t="n">
        <v>10</v>
      </c>
      <c r="N130" s="101" t="n">
        <v>12.6</v>
      </c>
      <c r="O130" s="102" t="n">
        <v>0.428</v>
      </c>
      <c r="P130" s="102" t="n">
        <v>0.034</v>
      </c>
      <c r="Q130" s="102" t="n">
        <v>0.164</v>
      </c>
      <c r="R130" s="101" t="n">
        <v>1.6</v>
      </c>
      <c r="S130" s="103" t="n">
        <v>954</v>
      </c>
      <c r="T130" s="101" t="n">
        <v>0</v>
      </c>
      <c r="U130" s="101" t="n">
        <v>3</v>
      </c>
      <c r="V130" s="103" t="n">
        <v>20</v>
      </c>
      <c r="W130" s="101" t="n">
        <v>99.6</v>
      </c>
      <c r="X130" s="102" t="n">
        <v>0.446</v>
      </c>
      <c r="Y130" s="102" t="n">
        <v>0.004</v>
      </c>
      <c r="Z130" s="102" t="n">
        <v>0.104</v>
      </c>
      <c r="AA130" s="101" t="n">
        <v>34.3</v>
      </c>
      <c r="AB130" s="103" t="n">
        <v>4927</v>
      </c>
      <c r="AC130" s="101" t="n">
        <v>33</v>
      </c>
      <c r="AD130" s="101" t="n">
        <v>61.4</v>
      </c>
      <c r="AE130" s="103" t="n">
        <v>9</v>
      </c>
      <c r="AF130" s="101" t="n">
        <v>63.8</v>
      </c>
      <c r="AG130" s="102" t="n">
        <v>1.966</v>
      </c>
      <c r="AH130" s="102" t="n">
        <v>0.031</v>
      </c>
      <c r="AI130" s="101" t="n">
        <v>15.4</v>
      </c>
      <c r="AJ130" s="103" t="n">
        <v>10</v>
      </c>
      <c r="AK130" s="101" t="n">
        <v>236.2</v>
      </c>
      <c r="AL130" s="102" t="n">
        <v>5.468</v>
      </c>
      <c r="AM130" s="102" t="n">
        <v>0.023</v>
      </c>
      <c r="AN130" s="101" t="n">
        <v>29.6</v>
      </c>
      <c r="AO130" s="64" t="n">
        <f aca="false">Table2[[#This Row],[Inside_._time]]/Table2[[#This Row],[Duration]]</f>
        <v>0.212666666666667</v>
      </c>
      <c r="AP130" s="64" t="n">
        <f aca="false">Table2[[#This Row],[Outside_._time]]/Table2[[#This Row],[Duration]]</f>
        <v>0.787333333333333</v>
      </c>
      <c r="AQ130" s="64" t="n">
        <f aca="false">Table2[[#This Row],[Inside_._distance]]/Table2[[#This Row],[Distance]]</f>
        <v>0.264460586494485</v>
      </c>
      <c r="AR130" s="64" t="n">
        <f aca="false">Table2[[#This Row],[Outside_._distance]]/Table2[[#This Row],[Distance]]</f>
        <v>0.735539413505515</v>
      </c>
      <c r="AS130" s="63"/>
      <c r="AT130" s="63"/>
      <c r="AU130" s="63"/>
      <c r="AV130" s="61"/>
      <c r="AW130" s="63"/>
      <c r="AX130" s="63"/>
      <c r="AY130" s="67" t="s">
        <v>71</v>
      </c>
      <c r="AZ130" s="67" t="s">
        <v>76</v>
      </c>
      <c r="BA130" s="67" t="s">
        <v>66</v>
      </c>
      <c r="BB130" s="103" t="n">
        <v>125</v>
      </c>
      <c r="BC130" s="101" t="n">
        <v>4.16666666666667</v>
      </c>
      <c r="BD130" s="101" t="s">
        <v>67</v>
      </c>
      <c r="BE130" s="67" t="n">
        <v>7</v>
      </c>
      <c r="BF130" s="67"/>
      <c r="BG130" s="87"/>
      <c r="BH130" s="87"/>
      <c r="BI130" s="87"/>
      <c r="BJ130" s="87"/>
      <c r="BK130" s="87"/>
      <c r="BL130" s="87"/>
      <c r="BM130" s="87"/>
      <c r="BN130" s="87"/>
      <c r="BO130" s="8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15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R20" activeCellId="0" sqref="AR20"/>
    </sheetView>
  </sheetViews>
  <sheetFormatPr defaultColWidth="10.55078125" defaultRowHeight="13" zeroHeight="false" outlineLevelRow="0" outlineLevelCol="0"/>
  <cols>
    <col collapsed="false" customWidth="true" hidden="false" outlineLevel="0" max="9" min="9" style="112" width="18.51"/>
    <col collapsed="false" customWidth="true" hidden="false" outlineLevel="0" max="14" min="14" style="112" width="17.51"/>
  </cols>
  <sheetData>
    <row r="1" customFormat="false" ht="13" hidden="false" customHeight="false" outlineLevel="0" collapsed="false">
      <c r="A1" s="113" t="s">
        <v>492</v>
      </c>
      <c r="AC1" s="114"/>
      <c r="AD1" s="115"/>
      <c r="AE1" s="116"/>
      <c r="AG1" s="114"/>
      <c r="AH1" s="115"/>
      <c r="AI1" s="116"/>
      <c r="AN1" s="113"/>
    </row>
    <row r="2" customFormat="false" ht="15" hidden="false" customHeight="false" outlineLevel="0" collapsed="false">
      <c r="A2" s="117" t="s">
        <v>1</v>
      </c>
      <c r="B2" s="118" t="s">
        <v>3</v>
      </c>
      <c r="C2" s="118" t="s">
        <v>4</v>
      </c>
      <c r="D2" s="119" t="s">
        <v>8</v>
      </c>
      <c r="E2" s="119" t="s">
        <v>9</v>
      </c>
      <c r="F2" s="119" t="s">
        <v>10</v>
      </c>
      <c r="G2" s="120" t="s">
        <v>11</v>
      </c>
      <c r="H2" s="121" t="s">
        <v>30</v>
      </c>
      <c r="I2" s="122" t="s">
        <v>31</v>
      </c>
      <c r="J2" s="119" t="s">
        <v>32</v>
      </c>
      <c r="K2" s="119" t="s">
        <v>33</v>
      </c>
      <c r="L2" s="120" t="s">
        <v>34</v>
      </c>
      <c r="M2" s="121" t="s">
        <v>35</v>
      </c>
      <c r="N2" s="122" t="s">
        <v>36</v>
      </c>
      <c r="O2" s="119" t="s">
        <v>37</v>
      </c>
      <c r="P2" s="119" t="s">
        <v>38</v>
      </c>
      <c r="Q2" s="120" t="s">
        <v>39</v>
      </c>
      <c r="R2" s="123" t="s">
        <v>50</v>
      </c>
      <c r="S2" s="123" t="s">
        <v>51</v>
      </c>
      <c r="T2" s="123" t="s">
        <v>493</v>
      </c>
      <c r="U2" s="123" t="s">
        <v>53</v>
      </c>
      <c r="V2" s="123" t="s">
        <v>54</v>
      </c>
      <c r="W2" s="123" t="s">
        <v>55</v>
      </c>
      <c r="X2" s="123" t="s">
        <v>56</v>
      </c>
      <c r="Y2" s="124" t="s">
        <v>57</v>
      </c>
      <c r="AC2" s="125" t="s">
        <v>494</v>
      </c>
      <c r="AD2" s="126" t="s">
        <v>495</v>
      </c>
      <c r="AE2" s="127" t="s">
        <v>496</v>
      </c>
      <c r="AG2" s="125" t="s">
        <v>494</v>
      </c>
      <c r="AH2" s="126" t="s">
        <v>495</v>
      </c>
      <c r="AI2" s="127" t="s">
        <v>496</v>
      </c>
      <c r="AM2" s="125" t="s">
        <v>494</v>
      </c>
      <c r="AN2" s="126" t="s">
        <v>497</v>
      </c>
      <c r="AO2" s="127" t="s">
        <v>498</v>
      </c>
    </row>
    <row r="3" customFormat="false" ht="15" hidden="false" customHeight="false" outlineLevel="0" collapsed="false">
      <c r="A3" s="128" t="n">
        <v>2</v>
      </c>
      <c r="B3" s="129" t="s">
        <v>69</v>
      </c>
      <c r="C3" s="129" t="s">
        <v>251</v>
      </c>
      <c r="D3" s="130" t="n">
        <v>10.921</v>
      </c>
      <c r="E3" s="130" t="n">
        <v>0.036</v>
      </c>
      <c r="F3" s="130" t="n">
        <v>0.243</v>
      </c>
      <c r="G3" s="131" t="n">
        <v>11.9</v>
      </c>
      <c r="H3" s="132" t="n">
        <v>26</v>
      </c>
      <c r="I3" s="133" t="n">
        <v>48.9</v>
      </c>
      <c r="J3" s="130" t="n">
        <v>3.425</v>
      </c>
      <c r="K3" s="130" t="n">
        <v>0.07</v>
      </c>
      <c r="L3" s="131" t="n">
        <v>0</v>
      </c>
      <c r="M3" s="132" t="n">
        <v>27</v>
      </c>
      <c r="N3" s="133" t="n">
        <v>251.1</v>
      </c>
      <c r="O3" s="130" t="n">
        <v>7.497</v>
      </c>
      <c r="P3" s="130" t="n">
        <v>0.03</v>
      </c>
      <c r="Q3" s="131" t="n">
        <v>11.9</v>
      </c>
      <c r="R3" s="134" t="s">
        <v>71</v>
      </c>
      <c r="S3" s="134" t="s">
        <v>65</v>
      </c>
      <c r="T3" s="132" t="s">
        <v>72</v>
      </c>
      <c r="U3" s="132" t="n">
        <v>99</v>
      </c>
      <c r="V3" s="131" t="n">
        <v>3.3</v>
      </c>
      <c r="W3" s="132" t="s">
        <v>67</v>
      </c>
      <c r="X3" s="132" t="n">
        <v>1</v>
      </c>
      <c r="Y3" s="135"/>
      <c r="AC3" s="136" t="s">
        <v>499</v>
      </c>
      <c r="AD3" s="137" t="n">
        <f aca="false">N8/300</f>
        <v>0.862866666666667</v>
      </c>
      <c r="AE3" s="138" t="n">
        <f aca="false">I8/300</f>
        <v>0.137133333333333</v>
      </c>
      <c r="AG3" s="136" t="s">
        <v>499</v>
      </c>
      <c r="AH3" s="137" t="n">
        <f aca="false">N17/300</f>
        <v>0.947466666666666</v>
      </c>
      <c r="AI3" s="138" t="n">
        <f aca="false">I17/300</f>
        <v>0.0525333333333333</v>
      </c>
      <c r="AM3" s="136" t="s">
        <v>499</v>
      </c>
      <c r="AN3" s="139" t="n">
        <f aca="false">D8</f>
        <v>15.183</v>
      </c>
      <c r="AO3" s="140" t="n">
        <f aca="false">D17</f>
        <v>8.0694</v>
      </c>
    </row>
    <row r="4" customFormat="false" ht="15" hidden="false" customHeight="false" outlineLevel="0" collapsed="false">
      <c r="A4" s="128" t="n">
        <v>15</v>
      </c>
      <c r="B4" s="129" t="s">
        <v>74</v>
      </c>
      <c r="C4" s="129" t="s">
        <v>251</v>
      </c>
      <c r="D4" s="130" t="n">
        <v>10.845</v>
      </c>
      <c r="E4" s="130" t="n">
        <v>0.036</v>
      </c>
      <c r="F4" s="130" t="n">
        <v>0.33</v>
      </c>
      <c r="G4" s="131" t="n">
        <v>83.9</v>
      </c>
      <c r="H4" s="132" t="n">
        <v>13</v>
      </c>
      <c r="I4" s="133" t="n">
        <v>14.6</v>
      </c>
      <c r="J4" s="130" t="n">
        <v>1.592</v>
      </c>
      <c r="K4" s="130" t="n">
        <v>0.109</v>
      </c>
      <c r="L4" s="131" t="n">
        <v>0</v>
      </c>
      <c r="M4" s="132" t="n">
        <v>14</v>
      </c>
      <c r="N4" s="133" t="n">
        <v>285.4</v>
      </c>
      <c r="O4" s="130" t="n">
        <v>9.253</v>
      </c>
      <c r="P4" s="130" t="n">
        <v>0.032</v>
      </c>
      <c r="Q4" s="131" t="n">
        <v>84.6</v>
      </c>
      <c r="R4" s="129" t="s">
        <v>71</v>
      </c>
      <c r="S4" s="129" t="s">
        <v>65</v>
      </c>
      <c r="T4" s="132" t="s">
        <v>72</v>
      </c>
      <c r="U4" s="132" t="n">
        <v>86</v>
      </c>
      <c r="V4" s="132" t="n">
        <v>3</v>
      </c>
      <c r="W4" s="132" t="s">
        <v>67</v>
      </c>
      <c r="X4" s="132" t="n">
        <v>1</v>
      </c>
      <c r="Y4" s="135"/>
      <c r="AC4" s="136" t="s">
        <v>500</v>
      </c>
      <c r="AD4" s="137" t="n">
        <f aca="false">N25/300</f>
        <v>0.737111111111111</v>
      </c>
      <c r="AE4" s="138" t="n">
        <f aca="false">I25/300</f>
        <v>0.262888888888889</v>
      </c>
      <c r="AG4" s="136" t="s">
        <v>500</v>
      </c>
      <c r="AH4" s="137" t="n">
        <f aca="false">N32/300</f>
        <v>0.754777777777778</v>
      </c>
      <c r="AI4" s="138" t="n">
        <f aca="false">I32/300</f>
        <v>0.245222222222222</v>
      </c>
      <c r="AM4" s="136" t="s">
        <v>500</v>
      </c>
      <c r="AN4" s="139" t="n">
        <f aca="false">D25</f>
        <v>18.8333333333333</v>
      </c>
      <c r="AO4" s="140" t="n">
        <f aca="false">D32</f>
        <v>14.8223333333333</v>
      </c>
    </row>
    <row r="5" customFormat="false" ht="15" hidden="false" customHeight="false" outlineLevel="0" collapsed="false">
      <c r="A5" s="128" t="n">
        <v>34</v>
      </c>
      <c r="B5" s="129" t="s">
        <v>69</v>
      </c>
      <c r="C5" s="129" t="s">
        <v>251</v>
      </c>
      <c r="D5" s="130" t="n">
        <v>20.928</v>
      </c>
      <c r="E5" s="130" t="n">
        <v>0.07</v>
      </c>
      <c r="F5" s="130" t="n">
        <v>0.28</v>
      </c>
      <c r="G5" s="131" t="n">
        <v>2.5</v>
      </c>
      <c r="H5" s="132" t="n">
        <v>30</v>
      </c>
      <c r="I5" s="133" t="n">
        <v>52.6</v>
      </c>
      <c r="J5" s="130" t="n">
        <v>4.759</v>
      </c>
      <c r="K5" s="130" t="n">
        <v>0.09</v>
      </c>
      <c r="L5" s="131" t="n">
        <v>1.3</v>
      </c>
      <c r="M5" s="132" t="n">
        <v>30</v>
      </c>
      <c r="N5" s="133" t="n">
        <v>247.4</v>
      </c>
      <c r="O5" s="130" t="n">
        <v>16.169</v>
      </c>
      <c r="P5" s="130" t="n">
        <v>0.065</v>
      </c>
      <c r="Q5" s="131" t="n">
        <v>1.3</v>
      </c>
      <c r="R5" s="129" t="s">
        <v>64</v>
      </c>
      <c r="S5" s="129" t="s">
        <v>65</v>
      </c>
      <c r="T5" s="132" t="s">
        <v>72</v>
      </c>
      <c r="U5" s="132" t="n">
        <v>61</v>
      </c>
      <c r="V5" s="132" t="n">
        <v>2</v>
      </c>
      <c r="W5" s="132" t="s">
        <v>67</v>
      </c>
      <c r="X5" s="132" t="n">
        <v>1</v>
      </c>
      <c r="Y5" s="135" t="s">
        <v>157</v>
      </c>
      <c r="AC5" s="136" t="s">
        <v>501</v>
      </c>
      <c r="AD5" s="137" t="n">
        <f aca="false">N42/300</f>
        <v>0.896933333333333</v>
      </c>
      <c r="AE5" s="138" t="n">
        <f aca="false">I42/300</f>
        <v>0.103066666666667</v>
      </c>
      <c r="AG5" s="136" t="s">
        <v>501</v>
      </c>
      <c r="AH5" s="137" t="n">
        <f aca="false">N51/300</f>
        <v>0.9408</v>
      </c>
      <c r="AI5" s="138" t="n">
        <f aca="false">I51/300</f>
        <v>0.0592</v>
      </c>
      <c r="AM5" s="136" t="s">
        <v>501</v>
      </c>
      <c r="AN5" s="139" t="n">
        <f aca="false">D42</f>
        <v>11.118</v>
      </c>
      <c r="AO5" s="140" t="n">
        <f aca="false">D51</f>
        <v>5.534</v>
      </c>
    </row>
    <row r="6" customFormat="false" ht="15" hidden="false" customHeight="false" outlineLevel="0" collapsed="false">
      <c r="A6" s="128" t="n">
        <v>39</v>
      </c>
      <c r="B6" s="129" t="s">
        <v>74</v>
      </c>
      <c r="C6" s="129" t="s">
        <v>251</v>
      </c>
      <c r="D6" s="130" t="n">
        <v>18.621</v>
      </c>
      <c r="E6" s="130" t="n">
        <v>0.062</v>
      </c>
      <c r="F6" s="130" t="n">
        <v>0.334</v>
      </c>
      <c r="G6" s="131" t="n">
        <v>15.3</v>
      </c>
      <c r="H6" s="132" t="n">
        <v>35</v>
      </c>
      <c r="I6" s="133" t="n">
        <v>28.7</v>
      </c>
      <c r="J6" s="130" t="n">
        <v>3.635</v>
      </c>
      <c r="K6" s="130" t="n">
        <v>0.127</v>
      </c>
      <c r="L6" s="131" t="n">
        <v>0</v>
      </c>
      <c r="M6" s="132" t="n">
        <v>36</v>
      </c>
      <c r="N6" s="133" t="n">
        <v>271.3</v>
      </c>
      <c r="O6" s="130" t="n">
        <v>14.987</v>
      </c>
      <c r="P6" s="130" t="n">
        <v>0.055</v>
      </c>
      <c r="Q6" s="131" t="n">
        <v>15.3</v>
      </c>
      <c r="R6" s="129" t="s">
        <v>71</v>
      </c>
      <c r="S6" s="129" t="s">
        <v>65</v>
      </c>
      <c r="T6" s="132" t="s">
        <v>72</v>
      </c>
      <c r="U6" s="132" t="n">
        <v>61</v>
      </c>
      <c r="V6" s="132" t="n">
        <v>2</v>
      </c>
      <c r="W6" s="132" t="s">
        <v>67</v>
      </c>
      <c r="X6" s="132" t="n">
        <v>1</v>
      </c>
      <c r="Y6" s="135" t="s">
        <v>171</v>
      </c>
      <c r="AC6" s="136" t="s">
        <v>502</v>
      </c>
      <c r="AD6" s="137" t="n">
        <f aca="false">N60/300</f>
        <v>0.76625</v>
      </c>
      <c r="AE6" s="138" t="n">
        <f aca="false">I60/300</f>
        <v>0.23375</v>
      </c>
      <c r="AG6" s="136" t="s">
        <v>502</v>
      </c>
      <c r="AH6" s="137" t="n">
        <f aca="false">N68/300</f>
        <v>0.737833333333333</v>
      </c>
      <c r="AI6" s="138" t="n">
        <f aca="false">I68/300</f>
        <v>0.262166666666667</v>
      </c>
      <c r="AM6" s="136" t="s">
        <v>502</v>
      </c>
      <c r="AN6" s="139" t="n">
        <f aca="false">D60</f>
        <v>28.651</v>
      </c>
      <c r="AO6" s="140" t="n">
        <f aca="false">D68</f>
        <v>28.0225</v>
      </c>
    </row>
    <row r="7" customFormat="false" ht="16" hidden="false" customHeight="false" outlineLevel="0" collapsed="false">
      <c r="A7" s="128" t="n">
        <v>42</v>
      </c>
      <c r="B7" s="129" t="s">
        <v>69</v>
      </c>
      <c r="C7" s="129" t="s">
        <v>251</v>
      </c>
      <c r="D7" s="130" t="n">
        <v>14.6</v>
      </c>
      <c r="E7" s="130" t="n">
        <v>0.049</v>
      </c>
      <c r="F7" s="130" t="n">
        <v>0.29</v>
      </c>
      <c r="G7" s="131" t="n">
        <v>18.7</v>
      </c>
      <c r="H7" s="132" t="n">
        <v>23</v>
      </c>
      <c r="I7" s="133" t="n">
        <v>60.9</v>
      </c>
      <c r="J7" s="130" t="n">
        <v>2.993</v>
      </c>
      <c r="K7" s="130" t="n">
        <v>0.049</v>
      </c>
      <c r="L7" s="131" t="n">
        <v>16.3</v>
      </c>
      <c r="M7" s="132" t="n">
        <v>24</v>
      </c>
      <c r="N7" s="133" t="n">
        <v>239.1</v>
      </c>
      <c r="O7" s="130" t="n">
        <v>11.607</v>
      </c>
      <c r="P7" s="130" t="n">
        <v>0.049</v>
      </c>
      <c r="Q7" s="131" t="n">
        <v>2.4</v>
      </c>
      <c r="R7" s="129" t="s">
        <v>64</v>
      </c>
      <c r="S7" s="129" t="s">
        <v>65</v>
      </c>
      <c r="T7" s="132" t="s">
        <v>72</v>
      </c>
      <c r="U7" s="132" t="n">
        <v>60</v>
      </c>
      <c r="V7" s="132" t="n">
        <v>2</v>
      </c>
      <c r="W7" s="132" t="s">
        <v>67</v>
      </c>
      <c r="X7" s="132" t="n">
        <v>1</v>
      </c>
      <c r="Y7" s="135" t="s">
        <v>179</v>
      </c>
      <c r="AC7" s="136" t="s">
        <v>503</v>
      </c>
      <c r="AD7" s="137" t="n">
        <f aca="false">N81/300</f>
        <v>0.899083333333333</v>
      </c>
      <c r="AE7" s="138" t="n">
        <f aca="false">I81/300</f>
        <v>0.100916666666667</v>
      </c>
      <c r="AG7" s="136" t="s">
        <v>503</v>
      </c>
      <c r="AH7" s="137" t="n">
        <f aca="false">N93/300</f>
        <v>0.897833333333333</v>
      </c>
      <c r="AI7" s="138" t="n">
        <f aca="false">I93/300</f>
        <v>0.102166666666667</v>
      </c>
      <c r="AM7" s="136" t="s">
        <v>503</v>
      </c>
      <c r="AN7" s="139" t="n">
        <f aca="false">D81</f>
        <v>14.484375</v>
      </c>
      <c r="AO7" s="140" t="n">
        <f aca="false">D93</f>
        <v>7.14675</v>
      </c>
    </row>
    <row r="8" customFormat="false" ht="16" hidden="false" customHeight="false" outlineLevel="0" collapsed="false">
      <c r="A8" s="141" t="s">
        <v>504</v>
      </c>
      <c r="B8" s="142"/>
      <c r="C8" s="142"/>
      <c r="D8" s="143" t="n">
        <f aca="false">AVERAGE(D3:D7)</f>
        <v>15.183</v>
      </c>
      <c r="E8" s="144"/>
      <c r="F8" s="144"/>
      <c r="G8" s="145"/>
      <c r="H8" s="144"/>
      <c r="I8" s="146" t="n">
        <f aca="false">AVERAGE(I3:I7)</f>
        <v>41.14</v>
      </c>
      <c r="J8" s="147"/>
      <c r="K8" s="147"/>
      <c r="L8" s="147"/>
      <c r="M8" s="147"/>
      <c r="N8" s="146" t="n">
        <f aca="false">AVERAGE(N3:N7)</f>
        <v>258.86</v>
      </c>
      <c r="O8" s="147"/>
      <c r="P8" s="147"/>
      <c r="Q8" s="147"/>
      <c r="R8" s="147"/>
      <c r="S8" s="147"/>
      <c r="T8" s="147"/>
      <c r="U8" s="148"/>
      <c r="V8" s="149"/>
      <c r="W8" s="147"/>
      <c r="X8" s="147"/>
      <c r="Y8" s="147"/>
      <c r="AC8" s="136" t="s">
        <v>505</v>
      </c>
      <c r="AD8" s="137" t="n">
        <f aca="false">N103/300</f>
        <v>0.817666666666667</v>
      </c>
      <c r="AE8" s="138" t="n">
        <f aca="false">I103/300</f>
        <v>0.182333333333333</v>
      </c>
      <c r="AG8" s="136" t="s">
        <v>505</v>
      </c>
      <c r="AH8" s="137" t="n">
        <f aca="false">N112/300</f>
        <v>0.699666666666667</v>
      </c>
      <c r="AI8" s="138" t="n">
        <f aca="false">I112/300</f>
        <v>0.300333333333333</v>
      </c>
      <c r="AM8" s="136" t="s">
        <v>505</v>
      </c>
      <c r="AN8" s="139" t="n">
        <f aca="false">D103</f>
        <v>13.1634</v>
      </c>
      <c r="AO8" s="140" t="n">
        <f aca="false">D112</f>
        <v>6.6125</v>
      </c>
    </row>
    <row r="9" customFormat="false" ht="15" hidden="false" customHeight="false" outlineLevel="0" collapsed="false">
      <c r="A9" s="79" t="s">
        <v>506</v>
      </c>
      <c r="B9" s="79"/>
      <c r="C9" s="79"/>
      <c r="D9" s="79"/>
      <c r="E9" s="80"/>
      <c r="F9" s="81"/>
      <c r="G9" s="81"/>
      <c r="H9" s="81"/>
      <c r="I9" s="150"/>
      <c r="J9" s="11"/>
      <c r="K9" s="11"/>
      <c r="L9" s="11"/>
      <c r="M9" s="11"/>
      <c r="N9" s="15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AC9" s="136" t="s">
        <v>507</v>
      </c>
      <c r="AD9" s="137" t="n">
        <f aca="false">N124/300</f>
        <v>0.8455</v>
      </c>
      <c r="AE9" s="138" t="n">
        <f aca="false">I124/300</f>
        <v>0.1545</v>
      </c>
      <c r="AG9" s="136" t="s">
        <v>507</v>
      </c>
      <c r="AH9" s="137" t="n">
        <f aca="false">N134/300</f>
        <v>0.861333333333333</v>
      </c>
      <c r="AI9" s="138" t="n">
        <f aca="false">I134/300</f>
        <v>0.138666666666667</v>
      </c>
      <c r="AM9" s="136" t="s">
        <v>507</v>
      </c>
      <c r="AN9" s="139" t="n">
        <f aca="false">D124</f>
        <v>14.074</v>
      </c>
      <c r="AO9" s="140" t="n">
        <f aca="false">D134</f>
        <v>8.581</v>
      </c>
    </row>
    <row r="10" customFormat="false" ht="13" hidden="false" customHeight="false" outlineLevel="0" collapsed="false">
      <c r="A10" s="113"/>
      <c r="B10" s="113"/>
      <c r="C10" s="113"/>
      <c r="D10" s="113"/>
      <c r="E10" s="113"/>
      <c r="F10" s="113"/>
      <c r="G10" s="113"/>
      <c r="H10" s="113"/>
      <c r="I10" s="152"/>
      <c r="J10" s="113"/>
      <c r="K10" s="113"/>
      <c r="L10" s="113"/>
      <c r="M10" s="113"/>
      <c r="N10" s="152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AC10" s="153" t="s">
        <v>508</v>
      </c>
      <c r="AD10" s="154" t="n">
        <f aca="false">N146/300</f>
        <v>0.864952380952381</v>
      </c>
      <c r="AE10" s="155" t="n">
        <f aca="false">I146/300</f>
        <v>0.135047619047619</v>
      </c>
      <c r="AG10" s="153" t="s">
        <v>508</v>
      </c>
      <c r="AH10" s="154" t="n">
        <f aca="false">N157/300</f>
        <v>0.925</v>
      </c>
      <c r="AI10" s="155" t="n">
        <f aca="false">I157/300</f>
        <v>0.075</v>
      </c>
      <c r="AM10" s="153" t="s">
        <v>508</v>
      </c>
      <c r="AN10" s="156" t="n">
        <f aca="false">D146</f>
        <v>13.2708571428571</v>
      </c>
      <c r="AO10" s="157" t="n">
        <f aca="false">D157</f>
        <v>9.34685714285714</v>
      </c>
    </row>
    <row r="11" customFormat="false" ht="15" hidden="false" customHeight="false" outlineLevel="0" collapsed="false">
      <c r="A11" s="158" t="s">
        <v>1</v>
      </c>
      <c r="B11" s="123" t="s">
        <v>3</v>
      </c>
      <c r="C11" s="123" t="s">
        <v>4</v>
      </c>
      <c r="D11" s="159" t="s">
        <v>8</v>
      </c>
      <c r="E11" s="159" t="s">
        <v>9</v>
      </c>
      <c r="F11" s="159" t="s">
        <v>10</v>
      </c>
      <c r="G11" s="160" t="s">
        <v>11</v>
      </c>
      <c r="H11" s="161" t="s">
        <v>30</v>
      </c>
      <c r="I11" s="162" t="s">
        <v>31</v>
      </c>
      <c r="J11" s="159" t="s">
        <v>32</v>
      </c>
      <c r="K11" s="159" t="s">
        <v>33</v>
      </c>
      <c r="L11" s="160" t="s">
        <v>34</v>
      </c>
      <c r="M11" s="161" t="s">
        <v>35</v>
      </c>
      <c r="N11" s="162" t="s">
        <v>36</v>
      </c>
      <c r="O11" s="159" t="s">
        <v>37</v>
      </c>
      <c r="P11" s="159" t="s">
        <v>38</v>
      </c>
      <c r="Q11" s="160" t="s">
        <v>39</v>
      </c>
      <c r="R11" s="161" t="s">
        <v>50</v>
      </c>
      <c r="S11" s="123" t="s">
        <v>51</v>
      </c>
      <c r="T11" s="123" t="s">
        <v>493</v>
      </c>
      <c r="U11" s="161" t="s">
        <v>53</v>
      </c>
      <c r="V11" s="160" t="s">
        <v>54</v>
      </c>
      <c r="W11" s="123" t="s">
        <v>55</v>
      </c>
      <c r="X11" s="123" t="s">
        <v>56</v>
      </c>
      <c r="Y11" s="124" t="s">
        <v>57</v>
      </c>
    </row>
    <row r="12" customFormat="false" ht="15" hidden="false" customHeight="false" outlineLevel="0" collapsed="false">
      <c r="A12" s="163" t="n">
        <v>2</v>
      </c>
      <c r="B12" s="134" t="s">
        <v>69</v>
      </c>
      <c r="C12" s="134" t="s">
        <v>432</v>
      </c>
      <c r="D12" s="164" t="n">
        <v>9.318</v>
      </c>
      <c r="E12" s="164" t="n">
        <v>0.031</v>
      </c>
      <c r="F12" s="164" t="n">
        <v>0.271</v>
      </c>
      <c r="G12" s="165" t="n">
        <v>63.4</v>
      </c>
      <c r="H12" s="166" t="n">
        <v>12</v>
      </c>
      <c r="I12" s="167" t="n">
        <v>19</v>
      </c>
      <c r="J12" s="164" t="n">
        <v>1.528</v>
      </c>
      <c r="K12" s="164" t="n">
        <v>0.08</v>
      </c>
      <c r="L12" s="165" t="n">
        <v>0</v>
      </c>
      <c r="M12" s="166" t="n">
        <v>12</v>
      </c>
      <c r="N12" s="167" t="n">
        <v>281</v>
      </c>
      <c r="O12" s="164" t="n">
        <v>7.789</v>
      </c>
      <c r="P12" s="164" t="n">
        <v>0.028</v>
      </c>
      <c r="Q12" s="165" t="n">
        <v>63.4</v>
      </c>
      <c r="R12" s="134" t="s">
        <v>71</v>
      </c>
      <c r="S12" s="134" t="s">
        <v>65</v>
      </c>
      <c r="T12" s="134" t="s">
        <v>72</v>
      </c>
      <c r="U12" s="166" t="n">
        <v>182</v>
      </c>
      <c r="V12" s="165" t="n">
        <v>6.1</v>
      </c>
      <c r="W12" s="134" t="s">
        <v>67</v>
      </c>
      <c r="X12" s="134" t="n">
        <v>1</v>
      </c>
      <c r="Y12" s="168"/>
    </row>
    <row r="13" customFormat="false" ht="15" hidden="false" customHeight="false" outlineLevel="0" collapsed="false">
      <c r="A13" s="169" t="n">
        <v>15</v>
      </c>
      <c r="B13" s="170" t="s">
        <v>69</v>
      </c>
      <c r="C13" s="170" t="s">
        <v>432</v>
      </c>
      <c r="D13" s="171" t="n">
        <v>9.187</v>
      </c>
      <c r="E13" s="171" t="n">
        <v>0.031</v>
      </c>
      <c r="F13" s="171" t="n">
        <v>0.282</v>
      </c>
      <c r="G13" s="172" t="n">
        <v>68.7</v>
      </c>
      <c r="H13" s="173" t="n">
        <v>13</v>
      </c>
      <c r="I13" s="167" t="n">
        <v>14.2</v>
      </c>
      <c r="J13" s="171" t="n">
        <v>0.875</v>
      </c>
      <c r="K13" s="171" t="n">
        <v>0.062</v>
      </c>
      <c r="L13" s="172" t="n">
        <v>0</v>
      </c>
      <c r="M13" s="173" t="n">
        <v>14</v>
      </c>
      <c r="N13" s="167" t="n">
        <v>285.8</v>
      </c>
      <c r="O13" s="171" t="n">
        <v>8.311</v>
      </c>
      <c r="P13" s="171" t="n">
        <v>0.029</v>
      </c>
      <c r="Q13" s="172" t="n">
        <v>68.7</v>
      </c>
      <c r="R13" s="170" t="s">
        <v>71</v>
      </c>
      <c r="S13" s="170" t="s">
        <v>65</v>
      </c>
      <c r="T13" s="170" t="s">
        <v>72</v>
      </c>
      <c r="U13" s="173" t="n">
        <v>169</v>
      </c>
      <c r="V13" s="172" t="n">
        <v>5.6</v>
      </c>
      <c r="W13" s="170" t="s">
        <v>67</v>
      </c>
      <c r="X13" s="170" t="n">
        <v>1</v>
      </c>
      <c r="Y13" s="174"/>
    </row>
    <row r="14" customFormat="false" ht="15" hidden="false" customHeight="false" outlineLevel="0" collapsed="false">
      <c r="A14" s="163" t="n">
        <v>34</v>
      </c>
      <c r="B14" s="134" t="s">
        <v>74</v>
      </c>
      <c r="C14" s="134" t="s">
        <v>432</v>
      </c>
      <c r="D14" s="164" t="n">
        <v>10.555</v>
      </c>
      <c r="E14" s="164" t="n">
        <v>0.035</v>
      </c>
      <c r="F14" s="164" t="n">
        <v>0.263</v>
      </c>
      <c r="G14" s="165" t="n">
        <v>14.1</v>
      </c>
      <c r="H14" s="166" t="n">
        <v>7</v>
      </c>
      <c r="I14" s="167" t="n">
        <v>8.5</v>
      </c>
      <c r="J14" s="164" t="n">
        <v>1.207</v>
      </c>
      <c r="K14" s="164" t="n">
        <v>0.143</v>
      </c>
      <c r="L14" s="165" t="n">
        <v>0</v>
      </c>
      <c r="M14" s="166" t="n">
        <v>8</v>
      </c>
      <c r="N14" s="167" t="n">
        <v>291.5</v>
      </c>
      <c r="O14" s="164" t="n">
        <v>9.348</v>
      </c>
      <c r="P14" s="164" t="n">
        <v>0.032</v>
      </c>
      <c r="Q14" s="165" t="n">
        <v>14.1</v>
      </c>
      <c r="R14" s="134" t="s">
        <v>64</v>
      </c>
      <c r="S14" s="134" t="s">
        <v>65</v>
      </c>
      <c r="T14" s="134" t="s">
        <v>72</v>
      </c>
      <c r="U14" s="166" t="n">
        <v>144</v>
      </c>
      <c r="V14" s="165" t="n">
        <v>4.8</v>
      </c>
      <c r="W14" s="134" t="s">
        <v>67</v>
      </c>
      <c r="X14" s="134" t="n">
        <v>1</v>
      </c>
      <c r="Y14" s="168" t="s">
        <v>157</v>
      </c>
    </row>
    <row r="15" customFormat="false" ht="15" hidden="false" customHeight="false" outlineLevel="0" collapsed="false">
      <c r="A15" s="169" t="n">
        <v>39</v>
      </c>
      <c r="B15" s="170" t="s">
        <v>79</v>
      </c>
      <c r="C15" s="170" t="s">
        <v>432</v>
      </c>
      <c r="D15" s="171" t="n">
        <v>5.742</v>
      </c>
      <c r="E15" s="171" t="n">
        <v>0.019</v>
      </c>
      <c r="F15" s="171" t="n">
        <v>0.335</v>
      </c>
      <c r="G15" s="172" t="n">
        <v>154.6</v>
      </c>
      <c r="H15" s="173" t="n">
        <v>22</v>
      </c>
      <c r="I15" s="167" t="n">
        <v>24.1</v>
      </c>
      <c r="J15" s="171" t="n">
        <v>1.194</v>
      </c>
      <c r="K15" s="171" t="n">
        <v>0.05</v>
      </c>
      <c r="L15" s="172" t="n">
        <v>4.1</v>
      </c>
      <c r="M15" s="173" t="n">
        <v>23</v>
      </c>
      <c r="N15" s="167" t="n">
        <v>275.9</v>
      </c>
      <c r="O15" s="171" t="n">
        <v>4.548</v>
      </c>
      <c r="P15" s="171" t="n">
        <v>0.016</v>
      </c>
      <c r="Q15" s="172" t="n">
        <v>150.4</v>
      </c>
      <c r="R15" s="170" t="s">
        <v>71</v>
      </c>
      <c r="S15" s="170" t="s">
        <v>65</v>
      </c>
      <c r="T15" s="170" t="s">
        <v>72</v>
      </c>
      <c r="U15" s="173" t="n">
        <v>144</v>
      </c>
      <c r="V15" s="172" t="n">
        <v>4.8</v>
      </c>
      <c r="W15" s="170" t="s">
        <v>67</v>
      </c>
      <c r="X15" s="170" t="n">
        <v>1</v>
      </c>
      <c r="Y15" s="174" t="s">
        <v>171</v>
      </c>
    </row>
    <row r="16" customFormat="false" ht="16" hidden="false" customHeight="false" outlineLevel="0" collapsed="false">
      <c r="A16" s="163" t="n">
        <v>42</v>
      </c>
      <c r="B16" s="134" t="s">
        <v>74</v>
      </c>
      <c r="C16" s="134" t="s">
        <v>432</v>
      </c>
      <c r="D16" s="164" t="n">
        <v>5.545</v>
      </c>
      <c r="E16" s="164" t="n">
        <v>0.018</v>
      </c>
      <c r="F16" s="164" t="n">
        <v>0.247</v>
      </c>
      <c r="G16" s="165" t="n">
        <v>34.8</v>
      </c>
      <c r="H16" s="166" t="n">
        <v>12</v>
      </c>
      <c r="I16" s="167" t="n">
        <v>13</v>
      </c>
      <c r="J16" s="164" t="n">
        <v>1.099</v>
      </c>
      <c r="K16" s="164" t="n">
        <v>0.084</v>
      </c>
      <c r="L16" s="165" t="n">
        <v>0</v>
      </c>
      <c r="M16" s="166" t="n">
        <v>13</v>
      </c>
      <c r="N16" s="167" t="n">
        <v>287</v>
      </c>
      <c r="O16" s="164" t="n">
        <v>4.446</v>
      </c>
      <c r="P16" s="164" t="n">
        <v>0.015</v>
      </c>
      <c r="Q16" s="165" t="n">
        <v>34.8</v>
      </c>
      <c r="R16" s="134" t="s">
        <v>64</v>
      </c>
      <c r="S16" s="134" t="s">
        <v>65</v>
      </c>
      <c r="T16" s="134" t="s">
        <v>72</v>
      </c>
      <c r="U16" s="166" t="n">
        <v>143</v>
      </c>
      <c r="V16" s="165" t="n">
        <v>4.8</v>
      </c>
      <c r="W16" s="134" t="s">
        <v>67</v>
      </c>
      <c r="X16" s="134" t="n">
        <v>1</v>
      </c>
      <c r="Y16" s="168" t="s">
        <v>179</v>
      </c>
    </row>
    <row r="17" customFormat="false" ht="16" hidden="false" customHeight="false" outlineLevel="0" collapsed="false">
      <c r="A17" s="141" t="s">
        <v>504</v>
      </c>
      <c r="B17" s="142"/>
      <c r="C17" s="142"/>
      <c r="D17" s="143" t="n">
        <f aca="false">AVERAGE(D12:D16)</f>
        <v>8.0694</v>
      </c>
      <c r="E17" s="144"/>
      <c r="F17" s="144"/>
      <c r="G17" s="145"/>
      <c r="H17" s="144"/>
      <c r="I17" s="146" t="n">
        <f aca="false">AVERAGE(I12:I16)</f>
        <v>15.76</v>
      </c>
      <c r="J17" s="147"/>
      <c r="K17" s="147"/>
      <c r="L17" s="147"/>
      <c r="M17" s="147"/>
      <c r="N17" s="146" t="n">
        <f aca="false">AVERAGE(N12:N16)</f>
        <v>284.24</v>
      </c>
      <c r="O17" s="147"/>
      <c r="P17" s="147"/>
      <c r="Q17" s="147"/>
      <c r="R17" s="147"/>
      <c r="S17" s="147"/>
      <c r="T17" s="147"/>
      <c r="U17" s="148"/>
      <c r="V17" s="149"/>
      <c r="W17" s="147"/>
      <c r="X17" s="147"/>
      <c r="Y17" s="147"/>
    </row>
    <row r="20" customFormat="false" ht="13" hidden="false" customHeight="false" outlineLevel="0" collapsed="false">
      <c r="A20" s="113" t="s">
        <v>509</v>
      </c>
    </row>
    <row r="21" customFormat="false" ht="15" hidden="false" customHeight="false" outlineLevel="0" collapsed="false">
      <c r="A21" s="117" t="s">
        <v>1</v>
      </c>
      <c r="B21" s="118" t="s">
        <v>3</v>
      </c>
      <c r="C21" s="118" t="s">
        <v>4</v>
      </c>
      <c r="D21" s="119" t="s">
        <v>8</v>
      </c>
      <c r="E21" s="119" t="s">
        <v>9</v>
      </c>
      <c r="F21" s="119" t="s">
        <v>10</v>
      </c>
      <c r="G21" s="120" t="s">
        <v>11</v>
      </c>
      <c r="H21" s="121" t="s">
        <v>30</v>
      </c>
      <c r="I21" s="122" t="s">
        <v>31</v>
      </c>
      <c r="J21" s="119" t="s">
        <v>32</v>
      </c>
      <c r="K21" s="119" t="s">
        <v>33</v>
      </c>
      <c r="L21" s="120" t="s">
        <v>34</v>
      </c>
      <c r="M21" s="121" t="s">
        <v>35</v>
      </c>
      <c r="N21" s="122" t="s">
        <v>36</v>
      </c>
      <c r="O21" s="119" t="s">
        <v>37</v>
      </c>
      <c r="P21" s="119" t="s">
        <v>38</v>
      </c>
      <c r="Q21" s="120" t="s">
        <v>39</v>
      </c>
      <c r="R21" s="123" t="s">
        <v>50</v>
      </c>
      <c r="S21" s="123" t="s">
        <v>51</v>
      </c>
      <c r="T21" s="123" t="s">
        <v>493</v>
      </c>
      <c r="U21" s="123" t="s">
        <v>53</v>
      </c>
      <c r="V21" s="123" t="s">
        <v>54</v>
      </c>
      <c r="W21" s="123" t="s">
        <v>55</v>
      </c>
      <c r="X21" s="123" t="s">
        <v>56</v>
      </c>
      <c r="Y21" s="124" t="s">
        <v>57</v>
      </c>
    </row>
    <row r="22" customFormat="false" ht="15" hidden="false" customHeight="false" outlineLevel="0" collapsed="false">
      <c r="A22" s="128" t="n">
        <v>36</v>
      </c>
      <c r="B22" s="129" t="s">
        <v>79</v>
      </c>
      <c r="C22" s="129" t="s">
        <v>251</v>
      </c>
      <c r="D22" s="130" t="n">
        <v>31.897</v>
      </c>
      <c r="E22" s="130" t="n">
        <v>0.106</v>
      </c>
      <c r="F22" s="130" t="n">
        <v>0.353</v>
      </c>
      <c r="G22" s="131" t="n">
        <v>2.3</v>
      </c>
      <c r="H22" s="132" t="n">
        <v>31</v>
      </c>
      <c r="I22" s="133" t="n">
        <v>25.5</v>
      </c>
      <c r="J22" s="130" t="n">
        <v>4.155</v>
      </c>
      <c r="K22" s="130" t="n">
        <v>0.163</v>
      </c>
      <c r="L22" s="131" t="n">
        <v>0</v>
      </c>
      <c r="M22" s="132" t="n">
        <v>32</v>
      </c>
      <c r="N22" s="133" t="n">
        <v>274.5</v>
      </c>
      <c r="O22" s="130" t="n">
        <v>27.742</v>
      </c>
      <c r="P22" s="130" t="n">
        <v>0.101</v>
      </c>
      <c r="Q22" s="131" t="n">
        <v>2.3</v>
      </c>
      <c r="R22" s="129" t="s">
        <v>64</v>
      </c>
      <c r="S22" s="129" t="s">
        <v>65</v>
      </c>
      <c r="T22" s="132" t="s">
        <v>72</v>
      </c>
      <c r="U22" s="132" t="n">
        <v>61</v>
      </c>
      <c r="V22" s="132" t="n">
        <v>2</v>
      </c>
      <c r="W22" s="132" t="s">
        <v>81</v>
      </c>
      <c r="X22" s="132" t="n">
        <v>2</v>
      </c>
      <c r="Y22" s="135" t="s">
        <v>157</v>
      </c>
    </row>
    <row r="23" customFormat="false" ht="15" hidden="false" customHeight="false" outlineLevel="0" collapsed="false">
      <c r="A23" s="128" t="n">
        <v>41</v>
      </c>
      <c r="B23" s="129" t="s">
        <v>60</v>
      </c>
      <c r="C23" s="129" t="s">
        <v>251</v>
      </c>
      <c r="D23" s="130" t="n">
        <v>11.309</v>
      </c>
      <c r="E23" s="130" t="n">
        <v>0.038</v>
      </c>
      <c r="F23" s="130" t="n">
        <v>0.276</v>
      </c>
      <c r="G23" s="131" t="n">
        <v>44.1</v>
      </c>
      <c r="H23" s="132" t="n">
        <v>17</v>
      </c>
      <c r="I23" s="133" t="n">
        <v>132.4</v>
      </c>
      <c r="J23" s="130" t="n">
        <v>1.723</v>
      </c>
      <c r="K23" s="130" t="n">
        <v>0.013</v>
      </c>
      <c r="L23" s="131" t="n">
        <v>38</v>
      </c>
      <c r="M23" s="132" t="n">
        <v>17</v>
      </c>
      <c r="N23" s="133" t="n">
        <v>167.6</v>
      </c>
      <c r="O23" s="130" t="n">
        <v>9.586</v>
      </c>
      <c r="P23" s="130" t="n">
        <v>0.057</v>
      </c>
      <c r="Q23" s="131" t="n">
        <v>6.1</v>
      </c>
      <c r="R23" s="129" t="s">
        <v>71</v>
      </c>
      <c r="S23" s="129" t="s">
        <v>65</v>
      </c>
      <c r="T23" s="132" t="s">
        <v>72</v>
      </c>
      <c r="U23" s="132" t="n">
        <v>61</v>
      </c>
      <c r="V23" s="132" t="n">
        <v>2</v>
      </c>
      <c r="W23" s="132" t="s">
        <v>81</v>
      </c>
      <c r="X23" s="132" t="n">
        <v>2</v>
      </c>
      <c r="Y23" s="135"/>
    </row>
    <row r="24" customFormat="false" ht="16" hidden="false" customHeight="false" outlineLevel="0" collapsed="false">
      <c r="A24" s="128" t="n">
        <v>43</v>
      </c>
      <c r="B24" s="129" t="s">
        <v>74</v>
      </c>
      <c r="C24" s="129" t="s">
        <v>251</v>
      </c>
      <c r="D24" s="130" t="n">
        <v>13.294</v>
      </c>
      <c r="E24" s="130" t="n">
        <v>0.044</v>
      </c>
      <c r="F24" s="130" t="n">
        <v>0.27</v>
      </c>
      <c r="G24" s="131" t="n">
        <v>5.3</v>
      </c>
      <c r="H24" s="132" t="n">
        <v>24</v>
      </c>
      <c r="I24" s="133" t="n">
        <v>78.7</v>
      </c>
      <c r="J24" s="130" t="n">
        <v>3.061</v>
      </c>
      <c r="K24" s="130" t="n">
        <v>0.039</v>
      </c>
      <c r="L24" s="131" t="n">
        <v>4.2</v>
      </c>
      <c r="M24" s="132" t="n">
        <v>24</v>
      </c>
      <c r="N24" s="133" t="n">
        <v>221.3</v>
      </c>
      <c r="O24" s="130" t="n">
        <v>10.233</v>
      </c>
      <c r="P24" s="130" t="n">
        <v>0.046</v>
      </c>
      <c r="Q24" s="131" t="n">
        <v>0.1</v>
      </c>
      <c r="R24" s="129" t="s">
        <v>71</v>
      </c>
      <c r="S24" s="129" t="s">
        <v>65</v>
      </c>
      <c r="T24" s="132" t="s">
        <v>72</v>
      </c>
      <c r="U24" s="132" t="n">
        <v>53</v>
      </c>
      <c r="V24" s="132" t="n">
        <v>2</v>
      </c>
      <c r="W24" s="132" t="s">
        <v>81</v>
      </c>
      <c r="X24" s="132" t="n">
        <v>2</v>
      </c>
      <c r="Y24" s="135" t="s">
        <v>182</v>
      </c>
    </row>
    <row r="25" customFormat="false" ht="16" hidden="false" customHeight="false" outlineLevel="0" collapsed="false">
      <c r="A25" s="141" t="s">
        <v>504</v>
      </c>
      <c r="B25" s="142"/>
      <c r="C25" s="142"/>
      <c r="D25" s="143" t="n">
        <f aca="false">AVERAGE(D22:D24)</f>
        <v>18.8333333333333</v>
      </c>
      <c r="E25" s="144"/>
      <c r="F25" s="144"/>
      <c r="G25" s="145"/>
      <c r="H25" s="144"/>
      <c r="I25" s="146" t="n">
        <f aca="false">AVERAGE(I22:I24)</f>
        <v>78.8666666666667</v>
      </c>
      <c r="J25" s="147"/>
      <c r="K25" s="147"/>
      <c r="L25" s="147"/>
      <c r="M25" s="147"/>
      <c r="N25" s="146" t="n">
        <f aca="false">AVERAGE(N22:N24)</f>
        <v>221.133333333333</v>
      </c>
      <c r="O25" s="147"/>
      <c r="P25" s="147"/>
      <c r="Q25" s="147"/>
      <c r="R25" s="147"/>
      <c r="S25" s="147"/>
      <c r="T25" s="147"/>
      <c r="U25" s="148"/>
      <c r="V25" s="149"/>
      <c r="W25" s="147"/>
      <c r="X25" s="147"/>
      <c r="Y25" s="147"/>
    </row>
    <row r="26" customFormat="false" ht="13" hidden="false" customHeight="false" outlineLevel="0" collapsed="false">
      <c r="A26" s="113"/>
      <c r="B26" s="113"/>
      <c r="C26" s="113"/>
      <c r="D26" s="113"/>
      <c r="E26" s="113"/>
      <c r="F26" s="113"/>
      <c r="G26" s="113"/>
      <c r="H26" s="113"/>
      <c r="I26" s="152"/>
      <c r="J26" s="113"/>
      <c r="K26" s="113"/>
      <c r="L26" s="113"/>
      <c r="M26" s="113"/>
      <c r="N26" s="152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</row>
    <row r="27" customFormat="false" ht="13" hidden="false" customHeight="false" outlineLevel="0" collapsed="false">
      <c r="A27" s="113"/>
      <c r="B27" s="113"/>
      <c r="C27" s="113"/>
      <c r="D27" s="113"/>
      <c r="E27" s="113"/>
      <c r="F27" s="113"/>
      <c r="G27" s="113"/>
      <c r="H27" s="113"/>
      <c r="I27" s="152"/>
      <c r="J27" s="113"/>
      <c r="K27" s="113"/>
      <c r="L27" s="113"/>
      <c r="M27" s="113"/>
      <c r="N27" s="152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</row>
    <row r="28" customFormat="false" ht="15" hidden="false" customHeight="false" outlineLevel="0" collapsed="false">
      <c r="A28" s="158" t="s">
        <v>1</v>
      </c>
      <c r="B28" s="123" t="s">
        <v>3</v>
      </c>
      <c r="C28" s="123" t="s">
        <v>4</v>
      </c>
      <c r="D28" s="159" t="s">
        <v>8</v>
      </c>
      <c r="E28" s="159" t="s">
        <v>9</v>
      </c>
      <c r="F28" s="159" t="s">
        <v>10</v>
      </c>
      <c r="G28" s="160" t="s">
        <v>11</v>
      </c>
      <c r="H28" s="161" t="s">
        <v>30</v>
      </c>
      <c r="I28" s="162" t="s">
        <v>31</v>
      </c>
      <c r="J28" s="159" t="s">
        <v>32</v>
      </c>
      <c r="K28" s="159" t="s">
        <v>33</v>
      </c>
      <c r="L28" s="160" t="s">
        <v>34</v>
      </c>
      <c r="M28" s="161" t="s">
        <v>35</v>
      </c>
      <c r="N28" s="162" t="s">
        <v>36</v>
      </c>
      <c r="O28" s="159" t="s">
        <v>37</v>
      </c>
      <c r="P28" s="159" t="s">
        <v>38</v>
      </c>
      <c r="Q28" s="160" t="s">
        <v>39</v>
      </c>
      <c r="R28" s="161" t="s">
        <v>50</v>
      </c>
      <c r="S28" s="123" t="s">
        <v>51</v>
      </c>
      <c r="T28" s="123" t="s">
        <v>493</v>
      </c>
      <c r="U28" s="161" t="s">
        <v>53</v>
      </c>
      <c r="V28" s="160" t="s">
        <v>54</v>
      </c>
      <c r="W28" s="123" t="s">
        <v>55</v>
      </c>
      <c r="X28" s="123" t="s">
        <v>56</v>
      </c>
      <c r="Y28" s="124" t="s">
        <v>57</v>
      </c>
    </row>
    <row r="29" customFormat="false" ht="15" hidden="false" customHeight="false" outlineLevel="0" collapsed="false">
      <c r="A29" s="163" t="n">
        <v>36</v>
      </c>
      <c r="B29" s="134" t="s">
        <v>60</v>
      </c>
      <c r="C29" s="134" t="s">
        <v>432</v>
      </c>
      <c r="D29" s="164" t="n">
        <v>12.557</v>
      </c>
      <c r="E29" s="164" t="n">
        <v>0.042</v>
      </c>
      <c r="F29" s="164" t="n">
        <v>0.349</v>
      </c>
      <c r="G29" s="165" t="n">
        <v>4</v>
      </c>
      <c r="H29" s="166" t="n">
        <v>20</v>
      </c>
      <c r="I29" s="167" t="n">
        <v>109.6</v>
      </c>
      <c r="J29" s="164" t="n">
        <v>2.665</v>
      </c>
      <c r="K29" s="164" t="n">
        <v>0.024</v>
      </c>
      <c r="L29" s="165" t="n">
        <v>1.3</v>
      </c>
      <c r="M29" s="166" t="n">
        <v>19</v>
      </c>
      <c r="N29" s="167" t="n">
        <v>190.4</v>
      </c>
      <c r="O29" s="164" t="n">
        <v>9.892</v>
      </c>
      <c r="P29" s="164" t="n">
        <v>0.052</v>
      </c>
      <c r="Q29" s="165" t="n">
        <v>2.7</v>
      </c>
      <c r="R29" s="134" t="s">
        <v>64</v>
      </c>
      <c r="S29" s="134" t="s">
        <v>65</v>
      </c>
      <c r="T29" s="134" t="s">
        <v>72</v>
      </c>
      <c r="U29" s="166" t="n">
        <v>144</v>
      </c>
      <c r="V29" s="165" t="n">
        <v>4.8</v>
      </c>
      <c r="W29" s="134" t="s">
        <v>81</v>
      </c>
      <c r="X29" s="134" t="n">
        <v>2</v>
      </c>
      <c r="Y29" s="168" t="s">
        <v>157</v>
      </c>
    </row>
    <row r="30" customFormat="false" ht="15" hidden="false" customHeight="false" outlineLevel="0" collapsed="false">
      <c r="A30" s="169" t="n">
        <v>41</v>
      </c>
      <c r="B30" s="170" t="s">
        <v>69</v>
      </c>
      <c r="C30" s="170" t="s">
        <v>432</v>
      </c>
      <c r="D30" s="171" t="n">
        <v>4.708</v>
      </c>
      <c r="E30" s="171" t="n">
        <v>0.016</v>
      </c>
      <c r="F30" s="171" t="n">
        <v>0.337</v>
      </c>
      <c r="G30" s="172" t="n">
        <v>105.9</v>
      </c>
      <c r="H30" s="173" t="n">
        <v>9</v>
      </c>
      <c r="I30" s="167" t="n">
        <v>66.1</v>
      </c>
      <c r="J30" s="171" t="n">
        <v>1.655</v>
      </c>
      <c r="K30" s="171" t="n">
        <v>0.025</v>
      </c>
      <c r="L30" s="172" t="n">
        <v>21.2</v>
      </c>
      <c r="M30" s="173" t="n">
        <v>10</v>
      </c>
      <c r="N30" s="167" t="n">
        <v>233.9</v>
      </c>
      <c r="O30" s="171" t="n">
        <v>3.053</v>
      </c>
      <c r="P30" s="171" t="n">
        <v>0.013</v>
      </c>
      <c r="Q30" s="172" t="n">
        <v>84.7</v>
      </c>
      <c r="R30" s="170" t="s">
        <v>71</v>
      </c>
      <c r="S30" s="170" t="s">
        <v>65</v>
      </c>
      <c r="T30" s="170" t="s">
        <v>72</v>
      </c>
      <c r="U30" s="173" t="n">
        <v>144</v>
      </c>
      <c r="V30" s="172" t="n">
        <v>4.8</v>
      </c>
      <c r="W30" s="170" t="s">
        <v>81</v>
      </c>
      <c r="X30" s="170" t="n">
        <v>2</v>
      </c>
      <c r="Y30" s="174"/>
    </row>
    <row r="31" customFormat="false" ht="16" hidden="false" customHeight="false" outlineLevel="0" collapsed="false">
      <c r="A31" s="163" t="n">
        <v>43</v>
      </c>
      <c r="B31" s="134" t="s">
        <v>79</v>
      </c>
      <c r="C31" s="134" t="s">
        <v>432</v>
      </c>
      <c r="D31" s="164" t="n">
        <v>27.202</v>
      </c>
      <c r="E31" s="164" t="n">
        <v>0.091</v>
      </c>
      <c r="F31" s="164" t="n">
        <v>0.274</v>
      </c>
      <c r="G31" s="165" t="n">
        <v>6</v>
      </c>
      <c r="H31" s="166" t="n">
        <v>33</v>
      </c>
      <c r="I31" s="167" t="n">
        <v>45</v>
      </c>
      <c r="J31" s="164" t="n">
        <v>5.466</v>
      </c>
      <c r="K31" s="164" t="n">
        <v>0.121</v>
      </c>
      <c r="L31" s="165" t="n">
        <v>2.7</v>
      </c>
      <c r="M31" s="166" t="n">
        <v>33</v>
      </c>
      <c r="N31" s="167" t="n">
        <v>255</v>
      </c>
      <c r="O31" s="164" t="n">
        <v>21.736</v>
      </c>
      <c r="P31" s="164" t="n">
        <v>0.085</v>
      </c>
      <c r="Q31" s="165" t="n">
        <v>3.3</v>
      </c>
      <c r="R31" s="134" t="s">
        <v>71</v>
      </c>
      <c r="S31" s="134" t="s">
        <v>65</v>
      </c>
      <c r="T31" s="134" t="s">
        <v>72</v>
      </c>
      <c r="U31" s="166" t="n">
        <v>136</v>
      </c>
      <c r="V31" s="165" t="n">
        <v>4.5</v>
      </c>
      <c r="W31" s="134" t="s">
        <v>81</v>
      </c>
      <c r="X31" s="134" t="n">
        <v>2</v>
      </c>
      <c r="Y31" s="168" t="s">
        <v>182</v>
      </c>
    </row>
    <row r="32" customFormat="false" ht="16" hidden="false" customHeight="false" outlineLevel="0" collapsed="false">
      <c r="A32" s="141" t="s">
        <v>504</v>
      </c>
      <c r="B32" s="142"/>
      <c r="C32" s="142"/>
      <c r="D32" s="143" t="n">
        <f aca="false">AVERAGE(D29:D31)</f>
        <v>14.8223333333333</v>
      </c>
      <c r="E32" s="144"/>
      <c r="F32" s="144"/>
      <c r="G32" s="145"/>
      <c r="H32" s="144"/>
      <c r="I32" s="146" t="n">
        <f aca="false">AVERAGE(I29:I31)</f>
        <v>73.5666666666667</v>
      </c>
      <c r="J32" s="147"/>
      <c r="K32" s="147"/>
      <c r="L32" s="147"/>
      <c r="M32" s="147"/>
      <c r="N32" s="146" t="n">
        <f aca="false">AVERAGE(N29:N31)</f>
        <v>226.433333333333</v>
      </c>
      <c r="O32" s="147"/>
      <c r="P32" s="147"/>
      <c r="Q32" s="147"/>
      <c r="R32" s="147"/>
      <c r="S32" s="147"/>
      <c r="T32" s="147"/>
      <c r="U32" s="148"/>
      <c r="V32" s="149"/>
      <c r="W32" s="147"/>
      <c r="X32" s="147"/>
      <c r="Y32" s="147"/>
    </row>
    <row r="35" customFormat="false" ht="13" hidden="false" customHeight="false" outlineLevel="0" collapsed="false">
      <c r="A35" s="113" t="s">
        <v>510</v>
      </c>
    </row>
    <row r="36" customFormat="false" ht="15" hidden="false" customHeight="false" outlineLevel="0" collapsed="false">
      <c r="A36" s="117" t="s">
        <v>1</v>
      </c>
      <c r="B36" s="118" t="s">
        <v>3</v>
      </c>
      <c r="C36" s="118" t="s">
        <v>4</v>
      </c>
      <c r="D36" s="119" t="s">
        <v>8</v>
      </c>
      <c r="E36" s="119" t="s">
        <v>9</v>
      </c>
      <c r="F36" s="119" t="s">
        <v>10</v>
      </c>
      <c r="G36" s="120" t="s">
        <v>11</v>
      </c>
      <c r="H36" s="121" t="s">
        <v>30</v>
      </c>
      <c r="I36" s="122" t="s">
        <v>31</v>
      </c>
      <c r="J36" s="119" t="s">
        <v>32</v>
      </c>
      <c r="K36" s="119" t="s">
        <v>33</v>
      </c>
      <c r="L36" s="120" t="s">
        <v>34</v>
      </c>
      <c r="M36" s="121" t="s">
        <v>35</v>
      </c>
      <c r="N36" s="122" t="s">
        <v>36</v>
      </c>
      <c r="O36" s="119" t="s">
        <v>37</v>
      </c>
      <c r="P36" s="119" t="s">
        <v>38</v>
      </c>
      <c r="Q36" s="120" t="s">
        <v>39</v>
      </c>
      <c r="R36" s="123" t="s">
        <v>50</v>
      </c>
      <c r="S36" s="123" t="s">
        <v>51</v>
      </c>
      <c r="T36" s="123" t="s">
        <v>493</v>
      </c>
      <c r="U36" s="123" t="s">
        <v>53</v>
      </c>
      <c r="V36" s="123" t="s">
        <v>54</v>
      </c>
      <c r="W36" s="123" t="s">
        <v>55</v>
      </c>
      <c r="X36" s="123" t="s">
        <v>56</v>
      </c>
      <c r="Y36" s="124" t="s">
        <v>57</v>
      </c>
    </row>
    <row r="37" customFormat="false" ht="15" hidden="false" customHeight="false" outlineLevel="0" collapsed="false">
      <c r="A37" s="128" t="n">
        <v>1</v>
      </c>
      <c r="B37" s="129" t="s">
        <v>60</v>
      </c>
      <c r="C37" s="129" t="s">
        <v>251</v>
      </c>
      <c r="D37" s="130" t="n">
        <v>10.212</v>
      </c>
      <c r="E37" s="130" t="n">
        <v>0.034</v>
      </c>
      <c r="F37" s="130" t="n">
        <v>0.323</v>
      </c>
      <c r="G37" s="131" t="n">
        <v>35.9</v>
      </c>
      <c r="H37" s="132" t="n">
        <v>7</v>
      </c>
      <c r="I37" s="133" t="n">
        <v>7.3</v>
      </c>
      <c r="J37" s="130" t="n">
        <v>1.19</v>
      </c>
      <c r="K37" s="130" t="n">
        <v>0.162</v>
      </c>
      <c r="L37" s="131" t="n">
        <v>0</v>
      </c>
      <c r="M37" s="132" t="n">
        <v>8</v>
      </c>
      <c r="N37" s="133" t="n">
        <v>292.7</v>
      </c>
      <c r="O37" s="130" t="n">
        <v>9.022</v>
      </c>
      <c r="P37" s="130" t="n">
        <v>0.031</v>
      </c>
      <c r="Q37" s="131" t="n">
        <v>35.9</v>
      </c>
      <c r="R37" s="134" t="s">
        <v>64</v>
      </c>
      <c r="S37" s="134" t="s">
        <v>65</v>
      </c>
      <c r="T37" s="132" t="s">
        <v>66</v>
      </c>
      <c r="U37" s="132" t="n">
        <v>99</v>
      </c>
      <c r="V37" s="131" t="n">
        <v>3.3</v>
      </c>
      <c r="W37" s="132" t="s">
        <v>67</v>
      </c>
      <c r="X37" s="132" t="n">
        <v>3</v>
      </c>
      <c r="Y37" s="135"/>
    </row>
    <row r="38" customFormat="false" ht="15" hidden="false" customHeight="false" outlineLevel="0" collapsed="false">
      <c r="A38" s="128" t="n">
        <v>17</v>
      </c>
      <c r="B38" s="129" t="s">
        <v>60</v>
      </c>
      <c r="C38" s="129" t="s">
        <v>251</v>
      </c>
      <c r="D38" s="130" t="n">
        <v>6.729</v>
      </c>
      <c r="E38" s="130" t="n">
        <v>0.022</v>
      </c>
      <c r="F38" s="130" t="n">
        <v>0.294</v>
      </c>
      <c r="G38" s="131" t="n">
        <v>38</v>
      </c>
      <c r="H38" s="132" t="n">
        <v>10</v>
      </c>
      <c r="I38" s="133" t="n">
        <v>25.1</v>
      </c>
      <c r="J38" s="130" t="n">
        <v>1.48</v>
      </c>
      <c r="K38" s="130" t="n">
        <v>0.059</v>
      </c>
      <c r="L38" s="131" t="n">
        <v>0</v>
      </c>
      <c r="M38" s="132" t="n">
        <v>10</v>
      </c>
      <c r="N38" s="133" t="n">
        <v>274.9</v>
      </c>
      <c r="O38" s="130" t="n">
        <v>5.25</v>
      </c>
      <c r="P38" s="130" t="n">
        <v>0.019</v>
      </c>
      <c r="Q38" s="131" t="n">
        <v>38</v>
      </c>
      <c r="R38" s="129" t="s">
        <v>71</v>
      </c>
      <c r="S38" s="129" t="s">
        <v>65</v>
      </c>
      <c r="T38" s="132" t="s">
        <v>66</v>
      </c>
      <c r="U38" s="132" t="n">
        <v>86</v>
      </c>
      <c r="V38" s="132" t="n">
        <v>3</v>
      </c>
      <c r="W38" s="132" t="s">
        <v>67</v>
      </c>
      <c r="X38" s="132" t="n">
        <v>3</v>
      </c>
      <c r="Y38" s="135"/>
    </row>
    <row r="39" customFormat="false" ht="15" hidden="false" customHeight="false" outlineLevel="0" collapsed="false">
      <c r="A39" s="128" t="n">
        <v>18</v>
      </c>
      <c r="B39" s="129" t="s">
        <v>69</v>
      </c>
      <c r="C39" s="129" t="s">
        <v>251</v>
      </c>
      <c r="D39" s="130" t="n">
        <v>12.123</v>
      </c>
      <c r="E39" s="130" t="n">
        <v>0.04</v>
      </c>
      <c r="F39" s="130" t="n">
        <v>0.27</v>
      </c>
      <c r="G39" s="131" t="n">
        <v>31.6</v>
      </c>
      <c r="H39" s="132" t="n">
        <v>30</v>
      </c>
      <c r="I39" s="133" t="n">
        <v>50</v>
      </c>
      <c r="J39" s="130" t="n">
        <v>3.711</v>
      </c>
      <c r="K39" s="130" t="n">
        <v>0.074</v>
      </c>
      <c r="L39" s="131" t="n">
        <v>3.8</v>
      </c>
      <c r="M39" s="132" t="n">
        <v>31</v>
      </c>
      <c r="N39" s="133" t="n">
        <v>250</v>
      </c>
      <c r="O39" s="130" t="n">
        <v>8.412</v>
      </c>
      <c r="P39" s="130" t="n">
        <v>0.034</v>
      </c>
      <c r="Q39" s="131" t="n">
        <v>27.8</v>
      </c>
      <c r="R39" s="129" t="s">
        <v>64</v>
      </c>
      <c r="S39" s="129" t="s">
        <v>65</v>
      </c>
      <c r="T39" s="132" t="s">
        <v>66</v>
      </c>
      <c r="U39" s="132" t="n">
        <v>76</v>
      </c>
      <c r="V39" s="132" t="n">
        <v>3</v>
      </c>
      <c r="W39" s="132" t="s">
        <v>67</v>
      </c>
      <c r="X39" s="132" t="n">
        <v>3</v>
      </c>
      <c r="Y39" s="135"/>
    </row>
    <row r="40" customFormat="false" ht="15" hidden="false" customHeight="false" outlineLevel="0" collapsed="false">
      <c r="A40" s="175" t="n">
        <v>20</v>
      </c>
      <c r="B40" s="176" t="s">
        <v>79</v>
      </c>
      <c r="C40" s="176" t="s">
        <v>251</v>
      </c>
      <c r="D40" s="177" t="n">
        <v>14.232</v>
      </c>
      <c r="E40" s="177" t="n">
        <v>0.047</v>
      </c>
      <c r="F40" s="177" t="n">
        <v>0.272</v>
      </c>
      <c r="G40" s="178" t="n">
        <v>26.3</v>
      </c>
      <c r="H40" s="179" t="n">
        <v>19</v>
      </c>
      <c r="I40" s="133" t="n">
        <v>53.9</v>
      </c>
      <c r="J40" s="177" t="n">
        <v>2.808</v>
      </c>
      <c r="K40" s="177" t="n">
        <v>0.052</v>
      </c>
      <c r="L40" s="178" t="n">
        <v>14.9</v>
      </c>
      <c r="M40" s="179" t="n">
        <v>19</v>
      </c>
      <c r="N40" s="133" t="n">
        <v>246.1</v>
      </c>
      <c r="O40" s="177" t="n">
        <v>11.424</v>
      </c>
      <c r="P40" s="177" t="n">
        <v>0.046</v>
      </c>
      <c r="Q40" s="178" t="n">
        <v>11.5</v>
      </c>
      <c r="R40" s="176" t="s">
        <v>71</v>
      </c>
      <c r="S40" s="176" t="s">
        <v>65</v>
      </c>
      <c r="T40" s="179" t="s">
        <v>66</v>
      </c>
      <c r="U40" s="179" t="n">
        <v>76</v>
      </c>
      <c r="V40" s="179" t="n">
        <v>3</v>
      </c>
      <c r="W40" s="179" t="s">
        <v>67</v>
      </c>
      <c r="X40" s="179" t="n">
        <v>3</v>
      </c>
      <c r="Y40" s="180"/>
    </row>
    <row r="41" customFormat="false" ht="16" hidden="false" customHeight="false" outlineLevel="0" collapsed="false">
      <c r="A41" s="128" t="n">
        <v>38</v>
      </c>
      <c r="B41" s="129" t="s">
        <v>69</v>
      </c>
      <c r="C41" s="129" t="s">
        <v>251</v>
      </c>
      <c r="D41" s="130" t="n">
        <v>12.294</v>
      </c>
      <c r="E41" s="130" t="n">
        <v>0.041</v>
      </c>
      <c r="F41" s="130" t="n">
        <v>0.219</v>
      </c>
      <c r="G41" s="131" t="n">
        <v>15.7</v>
      </c>
      <c r="H41" s="132" t="n">
        <v>15</v>
      </c>
      <c r="I41" s="133" t="n">
        <v>18.3</v>
      </c>
      <c r="J41" s="130" t="n">
        <v>2.157</v>
      </c>
      <c r="K41" s="130" t="n">
        <v>0.118</v>
      </c>
      <c r="L41" s="131" t="n">
        <v>0</v>
      </c>
      <c r="M41" s="132" t="n">
        <v>15</v>
      </c>
      <c r="N41" s="133" t="n">
        <v>281.7</v>
      </c>
      <c r="O41" s="130" t="n">
        <v>10.137</v>
      </c>
      <c r="P41" s="130" t="n">
        <v>0.036</v>
      </c>
      <c r="Q41" s="131" t="n">
        <v>15.7</v>
      </c>
      <c r="R41" s="129" t="s">
        <v>64</v>
      </c>
      <c r="S41" s="129" t="s">
        <v>65</v>
      </c>
      <c r="T41" s="132" t="s">
        <v>66</v>
      </c>
      <c r="U41" s="132" t="n">
        <v>61</v>
      </c>
      <c r="V41" s="132" t="n">
        <v>2</v>
      </c>
      <c r="W41" s="132" t="s">
        <v>67</v>
      </c>
      <c r="X41" s="132" t="n">
        <v>3</v>
      </c>
      <c r="Y41" s="135" t="s">
        <v>168</v>
      </c>
    </row>
    <row r="42" customFormat="false" ht="16" hidden="false" customHeight="false" outlineLevel="0" collapsed="false">
      <c r="A42" s="141" t="s">
        <v>504</v>
      </c>
      <c r="B42" s="142"/>
      <c r="C42" s="142"/>
      <c r="D42" s="143" t="n">
        <f aca="false">AVERAGE(D37:D41)</f>
        <v>11.118</v>
      </c>
      <c r="E42" s="144"/>
      <c r="F42" s="144"/>
      <c r="G42" s="145"/>
      <c r="H42" s="144"/>
      <c r="I42" s="146" t="n">
        <f aca="false">AVERAGE(I37:I41)</f>
        <v>30.92</v>
      </c>
      <c r="J42" s="147"/>
      <c r="K42" s="147"/>
      <c r="L42" s="147"/>
      <c r="M42" s="147"/>
      <c r="N42" s="146" t="n">
        <f aca="false">AVERAGE(N37:N41)</f>
        <v>269.08</v>
      </c>
      <c r="O42" s="147"/>
      <c r="P42" s="147"/>
      <c r="Q42" s="147"/>
      <c r="R42" s="147"/>
      <c r="S42" s="147"/>
      <c r="T42" s="147"/>
      <c r="U42" s="148"/>
      <c r="V42" s="149"/>
      <c r="W42" s="147"/>
      <c r="X42" s="147"/>
      <c r="Y42" s="147"/>
    </row>
    <row r="43" customFormat="false" ht="13" hidden="false" customHeight="false" outlineLevel="0" collapsed="false">
      <c r="A43" s="113"/>
      <c r="B43" s="113"/>
      <c r="C43" s="113"/>
      <c r="D43" s="113"/>
      <c r="E43" s="113"/>
      <c r="F43" s="113"/>
      <c r="G43" s="113"/>
      <c r="H43" s="113"/>
      <c r="I43" s="152"/>
      <c r="J43" s="113"/>
      <c r="K43" s="113"/>
      <c r="L43" s="113"/>
      <c r="M43" s="113"/>
      <c r="N43" s="152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</row>
    <row r="44" customFormat="false" ht="13" hidden="false" customHeight="false" outlineLevel="0" collapsed="false">
      <c r="A44" s="113"/>
      <c r="B44" s="113"/>
      <c r="C44" s="113"/>
      <c r="D44" s="113"/>
      <c r="E44" s="113"/>
      <c r="F44" s="113"/>
      <c r="G44" s="113"/>
      <c r="H44" s="113"/>
      <c r="I44" s="152"/>
      <c r="J44" s="113"/>
      <c r="K44" s="113"/>
      <c r="L44" s="113"/>
      <c r="M44" s="113"/>
      <c r="N44" s="152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</row>
    <row r="45" customFormat="false" ht="15" hidden="false" customHeight="false" outlineLevel="0" collapsed="false">
      <c r="A45" s="158" t="s">
        <v>1</v>
      </c>
      <c r="B45" s="123" t="s">
        <v>3</v>
      </c>
      <c r="C45" s="123" t="s">
        <v>4</v>
      </c>
      <c r="D45" s="159" t="s">
        <v>8</v>
      </c>
      <c r="E45" s="159" t="s">
        <v>9</v>
      </c>
      <c r="F45" s="159" t="s">
        <v>10</v>
      </c>
      <c r="G45" s="160" t="s">
        <v>11</v>
      </c>
      <c r="H45" s="161" t="s">
        <v>30</v>
      </c>
      <c r="I45" s="162" t="s">
        <v>31</v>
      </c>
      <c r="J45" s="159" t="s">
        <v>32</v>
      </c>
      <c r="K45" s="159" t="s">
        <v>33</v>
      </c>
      <c r="L45" s="160" t="s">
        <v>34</v>
      </c>
      <c r="M45" s="161" t="s">
        <v>35</v>
      </c>
      <c r="N45" s="162" t="s">
        <v>36</v>
      </c>
      <c r="O45" s="159" t="s">
        <v>37</v>
      </c>
      <c r="P45" s="159" t="s">
        <v>38</v>
      </c>
      <c r="Q45" s="160" t="s">
        <v>39</v>
      </c>
      <c r="R45" s="161" t="s">
        <v>50</v>
      </c>
      <c r="S45" s="123" t="s">
        <v>51</v>
      </c>
      <c r="T45" s="123" t="s">
        <v>493</v>
      </c>
      <c r="U45" s="161" t="s">
        <v>53</v>
      </c>
      <c r="V45" s="160" t="s">
        <v>54</v>
      </c>
      <c r="W45" s="123" t="s">
        <v>55</v>
      </c>
      <c r="X45" s="123" t="s">
        <v>56</v>
      </c>
      <c r="Y45" s="124" t="s">
        <v>57</v>
      </c>
    </row>
    <row r="46" customFormat="false" ht="15" hidden="false" customHeight="false" outlineLevel="0" collapsed="false">
      <c r="A46" s="163" t="n">
        <v>1</v>
      </c>
      <c r="B46" s="134" t="s">
        <v>60</v>
      </c>
      <c r="C46" s="134" t="s">
        <v>432</v>
      </c>
      <c r="D46" s="164" t="n">
        <v>5.113</v>
      </c>
      <c r="E46" s="164" t="n">
        <v>0.017</v>
      </c>
      <c r="F46" s="164" t="n">
        <v>0.273</v>
      </c>
      <c r="G46" s="165" t="n">
        <v>120.7</v>
      </c>
      <c r="H46" s="166" t="n">
        <v>13</v>
      </c>
      <c r="I46" s="167" t="n">
        <v>10.9</v>
      </c>
      <c r="J46" s="164" t="n">
        <v>1.379</v>
      </c>
      <c r="K46" s="164" t="n">
        <v>0.127</v>
      </c>
      <c r="L46" s="165" t="n">
        <v>0</v>
      </c>
      <c r="M46" s="166" t="n">
        <v>14</v>
      </c>
      <c r="N46" s="167" t="n">
        <v>289.1</v>
      </c>
      <c r="O46" s="164" t="n">
        <v>3.734</v>
      </c>
      <c r="P46" s="164" t="n">
        <v>0.013</v>
      </c>
      <c r="Q46" s="165" t="n">
        <v>120.7</v>
      </c>
      <c r="R46" s="134" t="s">
        <v>64</v>
      </c>
      <c r="S46" s="134" t="s">
        <v>65</v>
      </c>
      <c r="T46" s="134" t="s">
        <v>66</v>
      </c>
      <c r="U46" s="166" t="n">
        <v>182</v>
      </c>
      <c r="V46" s="165" t="n">
        <v>6.1</v>
      </c>
      <c r="W46" s="134" t="s">
        <v>67</v>
      </c>
      <c r="X46" s="134" t="n">
        <v>3</v>
      </c>
      <c r="Y46" s="168"/>
    </row>
    <row r="47" customFormat="false" ht="15" hidden="false" customHeight="false" outlineLevel="0" collapsed="false">
      <c r="A47" s="169" t="n">
        <v>17</v>
      </c>
      <c r="B47" s="170" t="s">
        <v>79</v>
      </c>
      <c r="C47" s="170" t="s">
        <v>432</v>
      </c>
      <c r="D47" s="171" t="n">
        <v>5.466</v>
      </c>
      <c r="E47" s="171" t="n">
        <v>0.018</v>
      </c>
      <c r="F47" s="171" t="n">
        <v>0.249</v>
      </c>
      <c r="G47" s="172" t="n">
        <v>45.5</v>
      </c>
      <c r="H47" s="173" t="n">
        <v>18</v>
      </c>
      <c r="I47" s="167" t="n">
        <v>24</v>
      </c>
      <c r="J47" s="171" t="n">
        <v>0.78</v>
      </c>
      <c r="K47" s="171" t="n">
        <v>0.032</v>
      </c>
      <c r="L47" s="172" t="n">
        <v>1.2</v>
      </c>
      <c r="M47" s="173" t="n">
        <v>19</v>
      </c>
      <c r="N47" s="167" t="n">
        <v>276</v>
      </c>
      <c r="O47" s="171" t="n">
        <v>4.686</v>
      </c>
      <c r="P47" s="171" t="n">
        <v>0.017</v>
      </c>
      <c r="Q47" s="172" t="n">
        <v>44.3</v>
      </c>
      <c r="R47" s="170" t="s">
        <v>71</v>
      </c>
      <c r="S47" s="170" t="s">
        <v>65</v>
      </c>
      <c r="T47" s="170" t="s">
        <v>66</v>
      </c>
      <c r="U47" s="173" t="n">
        <v>169</v>
      </c>
      <c r="V47" s="172" t="n">
        <v>5.6</v>
      </c>
      <c r="W47" s="170" t="s">
        <v>67</v>
      </c>
      <c r="X47" s="170" t="n">
        <v>3</v>
      </c>
      <c r="Y47" s="174"/>
    </row>
    <row r="48" customFormat="false" ht="15" hidden="false" customHeight="false" outlineLevel="0" collapsed="false">
      <c r="A48" s="163" t="n">
        <v>18</v>
      </c>
      <c r="B48" s="134" t="s">
        <v>60</v>
      </c>
      <c r="C48" s="134" t="s">
        <v>432</v>
      </c>
      <c r="D48" s="164" t="n">
        <v>3.999</v>
      </c>
      <c r="E48" s="164" t="n">
        <v>0.013</v>
      </c>
      <c r="F48" s="164" t="n">
        <v>0.221</v>
      </c>
      <c r="G48" s="165" t="n">
        <v>120</v>
      </c>
      <c r="H48" s="166" t="n">
        <v>8</v>
      </c>
      <c r="I48" s="167" t="n">
        <v>14.4</v>
      </c>
      <c r="J48" s="164" t="n">
        <v>0.621</v>
      </c>
      <c r="K48" s="164" t="n">
        <v>0.043</v>
      </c>
      <c r="L48" s="165" t="n">
        <v>1.9</v>
      </c>
      <c r="M48" s="166" t="n">
        <v>9</v>
      </c>
      <c r="N48" s="167" t="n">
        <v>285.6</v>
      </c>
      <c r="O48" s="164" t="n">
        <v>3.378</v>
      </c>
      <c r="P48" s="164" t="n">
        <v>0.012</v>
      </c>
      <c r="Q48" s="165" t="n">
        <v>118</v>
      </c>
      <c r="R48" s="134" t="s">
        <v>64</v>
      </c>
      <c r="S48" s="134" t="s">
        <v>65</v>
      </c>
      <c r="T48" s="134" t="s">
        <v>66</v>
      </c>
      <c r="U48" s="166" t="n">
        <v>159</v>
      </c>
      <c r="V48" s="165" t="n">
        <v>5.3</v>
      </c>
      <c r="W48" s="134" t="s">
        <v>67</v>
      </c>
      <c r="X48" s="134" t="n">
        <v>3</v>
      </c>
      <c r="Y48" s="168"/>
    </row>
    <row r="49" customFormat="false" ht="15" hidden="false" customHeight="false" outlineLevel="0" collapsed="false">
      <c r="A49" s="163" t="n">
        <v>20</v>
      </c>
      <c r="B49" s="134" t="s">
        <v>74</v>
      </c>
      <c r="C49" s="134" t="s">
        <v>432</v>
      </c>
      <c r="D49" s="164" t="n">
        <v>6.664</v>
      </c>
      <c r="E49" s="164" t="n">
        <v>0.022</v>
      </c>
      <c r="F49" s="164" t="n">
        <v>0.255</v>
      </c>
      <c r="G49" s="165" t="n">
        <v>107.8</v>
      </c>
      <c r="H49" s="166" t="n">
        <v>10</v>
      </c>
      <c r="I49" s="167" t="n">
        <v>13.1</v>
      </c>
      <c r="J49" s="164" t="n">
        <v>1.308</v>
      </c>
      <c r="K49" s="164" t="n">
        <v>0.1</v>
      </c>
      <c r="L49" s="165" t="n">
        <v>0</v>
      </c>
      <c r="M49" s="166" t="n">
        <v>11</v>
      </c>
      <c r="N49" s="167" t="n">
        <v>286.9</v>
      </c>
      <c r="O49" s="164" t="n">
        <v>5.356</v>
      </c>
      <c r="P49" s="164" t="n">
        <v>0.019</v>
      </c>
      <c r="Q49" s="165" t="n">
        <v>107.8</v>
      </c>
      <c r="R49" s="134" t="s">
        <v>71</v>
      </c>
      <c r="S49" s="134" t="s">
        <v>65</v>
      </c>
      <c r="T49" s="134" t="s">
        <v>66</v>
      </c>
      <c r="U49" s="166" t="n">
        <v>159</v>
      </c>
      <c r="V49" s="165" t="n">
        <v>5.3</v>
      </c>
      <c r="W49" s="134" t="s">
        <v>67</v>
      </c>
      <c r="X49" s="134" t="n">
        <v>3</v>
      </c>
      <c r="Y49" s="168"/>
    </row>
    <row r="50" customFormat="false" ht="16" hidden="false" customHeight="false" outlineLevel="0" collapsed="false">
      <c r="A50" s="163" t="n">
        <v>38</v>
      </c>
      <c r="B50" s="134" t="s">
        <v>74</v>
      </c>
      <c r="C50" s="134" t="s">
        <v>432</v>
      </c>
      <c r="D50" s="164" t="n">
        <v>6.428</v>
      </c>
      <c r="E50" s="164" t="n">
        <v>0.021</v>
      </c>
      <c r="F50" s="164" t="n">
        <v>0.295</v>
      </c>
      <c r="G50" s="165" t="n">
        <v>36.6</v>
      </c>
      <c r="H50" s="166" t="n">
        <v>15</v>
      </c>
      <c r="I50" s="167" t="n">
        <v>26.4</v>
      </c>
      <c r="J50" s="164" t="n">
        <v>2.09</v>
      </c>
      <c r="K50" s="164" t="n">
        <v>0.079</v>
      </c>
      <c r="L50" s="165" t="n">
        <v>1.3</v>
      </c>
      <c r="M50" s="166" t="n">
        <v>16</v>
      </c>
      <c r="N50" s="167" t="n">
        <v>273.6</v>
      </c>
      <c r="O50" s="164" t="n">
        <v>4.338</v>
      </c>
      <c r="P50" s="164" t="n">
        <v>0.016</v>
      </c>
      <c r="Q50" s="165" t="n">
        <v>35.2</v>
      </c>
      <c r="R50" s="134" t="s">
        <v>64</v>
      </c>
      <c r="S50" s="134" t="s">
        <v>65</v>
      </c>
      <c r="T50" s="134" t="s">
        <v>66</v>
      </c>
      <c r="U50" s="166" t="n">
        <v>144</v>
      </c>
      <c r="V50" s="165" t="n">
        <v>4.8</v>
      </c>
      <c r="W50" s="134" t="s">
        <v>67</v>
      </c>
      <c r="X50" s="134" t="n">
        <v>3</v>
      </c>
      <c r="Y50" s="168" t="s">
        <v>168</v>
      </c>
    </row>
    <row r="51" customFormat="false" ht="16" hidden="false" customHeight="false" outlineLevel="0" collapsed="false">
      <c r="A51" s="141" t="s">
        <v>504</v>
      </c>
      <c r="B51" s="142"/>
      <c r="C51" s="142"/>
      <c r="D51" s="143" t="n">
        <f aca="false">AVERAGE(D46:D50)</f>
        <v>5.534</v>
      </c>
      <c r="E51" s="144"/>
      <c r="F51" s="144"/>
      <c r="G51" s="145"/>
      <c r="H51" s="144"/>
      <c r="I51" s="146" t="n">
        <f aca="false">AVERAGE(I46:I50)</f>
        <v>17.76</v>
      </c>
      <c r="J51" s="147"/>
      <c r="K51" s="147"/>
      <c r="L51" s="147"/>
      <c r="M51" s="147"/>
      <c r="N51" s="146" t="n">
        <f aca="false">AVERAGE(N46:N50)</f>
        <v>282.24</v>
      </c>
      <c r="O51" s="147"/>
      <c r="P51" s="147"/>
      <c r="Q51" s="147"/>
      <c r="R51" s="147"/>
      <c r="S51" s="147"/>
      <c r="T51" s="147"/>
      <c r="U51" s="148"/>
      <c r="V51" s="149"/>
      <c r="W51" s="147"/>
      <c r="X51" s="147"/>
      <c r="Y51" s="147"/>
    </row>
    <row r="54" customFormat="false" ht="13" hidden="false" customHeight="false" outlineLevel="0" collapsed="false">
      <c r="A54" s="113" t="s">
        <v>511</v>
      </c>
    </row>
    <row r="55" customFormat="false" ht="15" hidden="false" customHeight="false" outlineLevel="0" collapsed="false">
      <c r="A55" s="117" t="s">
        <v>1</v>
      </c>
      <c r="B55" s="118" t="s">
        <v>3</v>
      </c>
      <c r="C55" s="118" t="s">
        <v>4</v>
      </c>
      <c r="D55" s="119" t="s">
        <v>8</v>
      </c>
      <c r="E55" s="119" t="s">
        <v>9</v>
      </c>
      <c r="F55" s="119" t="s">
        <v>10</v>
      </c>
      <c r="G55" s="120" t="s">
        <v>11</v>
      </c>
      <c r="H55" s="121" t="s">
        <v>30</v>
      </c>
      <c r="I55" s="122" t="s">
        <v>31</v>
      </c>
      <c r="J55" s="119" t="s">
        <v>32</v>
      </c>
      <c r="K55" s="119" t="s">
        <v>33</v>
      </c>
      <c r="L55" s="120" t="s">
        <v>34</v>
      </c>
      <c r="M55" s="121" t="s">
        <v>35</v>
      </c>
      <c r="N55" s="122" t="s">
        <v>36</v>
      </c>
      <c r="O55" s="119" t="s">
        <v>37</v>
      </c>
      <c r="P55" s="119" t="s">
        <v>38</v>
      </c>
      <c r="Q55" s="120" t="s">
        <v>39</v>
      </c>
      <c r="R55" s="123" t="s">
        <v>50</v>
      </c>
      <c r="S55" s="123" t="s">
        <v>51</v>
      </c>
      <c r="T55" s="123" t="s">
        <v>493</v>
      </c>
      <c r="U55" s="123" t="s">
        <v>53</v>
      </c>
      <c r="V55" s="123" t="s">
        <v>54</v>
      </c>
      <c r="W55" s="123" t="s">
        <v>55</v>
      </c>
      <c r="X55" s="123" t="s">
        <v>56</v>
      </c>
      <c r="Y55" s="124" t="s">
        <v>57</v>
      </c>
    </row>
    <row r="56" customFormat="false" ht="15" hidden="false" customHeight="false" outlineLevel="0" collapsed="false">
      <c r="A56" s="128" t="n">
        <v>14</v>
      </c>
      <c r="B56" s="129" t="s">
        <v>69</v>
      </c>
      <c r="C56" s="129" t="s">
        <v>251</v>
      </c>
      <c r="D56" s="130" t="n">
        <v>9.909</v>
      </c>
      <c r="E56" s="130" t="n">
        <v>0.033</v>
      </c>
      <c r="F56" s="130" t="n">
        <v>0.29</v>
      </c>
      <c r="G56" s="131" t="n">
        <v>49.3</v>
      </c>
      <c r="H56" s="132" t="n">
        <v>17</v>
      </c>
      <c r="I56" s="133" t="n">
        <v>54.4</v>
      </c>
      <c r="J56" s="130" t="n">
        <v>2.833</v>
      </c>
      <c r="K56" s="130" t="n">
        <v>0.052</v>
      </c>
      <c r="L56" s="131" t="n">
        <v>2.4</v>
      </c>
      <c r="M56" s="132" t="n">
        <v>18</v>
      </c>
      <c r="N56" s="133" t="n">
        <v>245.6</v>
      </c>
      <c r="O56" s="130" t="n">
        <v>7.076</v>
      </c>
      <c r="P56" s="130" t="n">
        <v>0.029</v>
      </c>
      <c r="Q56" s="131" t="n">
        <v>34.3</v>
      </c>
      <c r="R56" s="129" t="s">
        <v>64</v>
      </c>
      <c r="S56" s="129" t="s">
        <v>65</v>
      </c>
      <c r="T56" s="132" t="s">
        <v>66</v>
      </c>
      <c r="U56" s="132" t="n">
        <v>86</v>
      </c>
      <c r="V56" s="132" t="n">
        <v>3</v>
      </c>
      <c r="W56" s="132" t="s">
        <v>81</v>
      </c>
      <c r="X56" s="132" t="n">
        <v>4</v>
      </c>
      <c r="Y56" s="135" t="s">
        <v>109</v>
      </c>
    </row>
    <row r="57" customFormat="false" ht="15" hidden="false" customHeight="false" outlineLevel="0" collapsed="false">
      <c r="A57" s="128" t="n">
        <v>35</v>
      </c>
      <c r="B57" s="129" t="s">
        <v>74</v>
      </c>
      <c r="C57" s="129" t="s">
        <v>251</v>
      </c>
      <c r="D57" s="130" t="n">
        <v>65.501</v>
      </c>
      <c r="E57" s="130" t="n">
        <v>0.218</v>
      </c>
      <c r="F57" s="130" t="n">
        <v>0.484</v>
      </c>
      <c r="G57" s="131" t="n">
        <v>0</v>
      </c>
      <c r="H57" s="132" t="n">
        <v>139</v>
      </c>
      <c r="I57" s="133" t="n">
        <v>78.8</v>
      </c>
      <c r="J57" s="130" t="n">
        <v>25.369</v>
      </c>
      <c r="K57" s="130" t="n">
        <v>0.322</v>
      </c>
      <c r="L57" s="131" t="n">
        <v>0</v>
      </c>
      <c r="M57" s="132" t="n">
        <v>139</v>
      </c>
      <c r="N57" s="133" t="n">
        <v>221.2</v>
      </c>
      <c r="O57" s="130" t="n">
        <v>40.132</v>
      </c>
      <c r="P57" s="130" t="n">
        <v>0.181</v>
      </c>
      <c r="Q57" s="131" t="n">
        <v>0</v>
      </c>
      <c r="R57" s="129" t="s">
        <v>64</v>
      </c>
      <c r="S57" s="129" t="s">
        <v>65</v>
      </c>
      <c r="T57" s="132" t="s">
        <v>66</v>
      </c>
      <c r="U57" s="132" t="n">
        <v>61</v>
      </c>
      <c r="V57" s="132" t="n">
        <v>2</v>
      </c>
      <c r="W57" s="132" t="s">
        <v>81</v>
      </c>
      <c r="X57" s="132" t="n">
        <v>4</v>
      </c>
      <c r="Y57" s="135" t="s">
        <v>160</v>
      </c>
    </row>
    <row r="58" customFormat="false" ht="15" hidden="false" customHeight="false" outlineLevel="0" collapsed="false">
      <c r="A58" s="128" t="n">
        <v>37</v>
      </c>
      <c r="B58" s="129" t="s">
        <v>60</v>
      </c>
      <c r="C58" s="129" t="s">
        <v>251</v>
      </c>
      <c r="D58" s="130" t="n">
        <v>15.636</v>
      </c>
      <c r="E58" s="130" t="n">
        <v>0.052</v>
      </c>
      <c r="F58" s="130" t="n">
        <v>0.26</v>
      </c>
      <c r="G58" s="131" t="n">
        <v>5.8</v>
      </c>
      <c r="H58" s="132" t="n">
        <v>24</v>
      </c>
      <c r="I58" s="133" t="n">
        <v>36.7</v>
      </c>
      <c r="J58" s="130" t="n">
        <v>3.397</v>
      </c>
      <c r="K58" s="130" t="n">
        <v>0.093</v>
      </c>
      <c r="L58" s="131" t="n">
        <v>0</v>
      </c>
      <c r="M58" s="132" t="n">
        <v>24</v>
      </c>
      <c r="N58" s="133" t="n">
        <v>263.3</v>
      </c>
      <c r="O58" s="130" t="n">
        <v>12.239</v>
      </c>
      <c r="P58" s="130" t="n">
        <v>0.046</v>
      </c>
      <c r="Q58" s="131" t="n">
        <v>5.8</v>
      </c>
      <c r="R58" s="129" t="s">
        <v>64</v>
      </c>
      <c r="S58" s="129" t="s">
        <v>65</v>
      </c>
      <c r="T58" s="132" t="s">
        <v>66</v>
      </c>
      <c r="U58" s="132" t="n">
        <v>61</v>
      </c>
      <c r="V58" s="132" t="n">
        <v>2</v>
      </c>
      <c r="W58" s="132" t="s">
        <v>81</v>
      </c>
      <c r="X58" s="132" t="n">
        <v>4</v>
      </c>
      <c r="Y58" s="135"/>
    </row>
    <row r="59" customFormat="false" ht="16" hidden="false" customHeight="false" outlineLevel="0" collapsed="false">
      <c r="A59" s="175" t="n">
        <v>40</v>
      </c>
      <c r="B59" s="176" t="s">
        <v>79</v>
      </c>
      <c r="C59" s="176" t="s">
        <v>251</v>
      </c>
      <c r="D59" s="177" t="n">
        <v>23.558</v>
      </c>
      <c r="E59" s="177" t="n">
        <v>0.079</v>
      </c>
      <c r="F59" s="177" t="n">
        <v>0.293</v>
      </c>
      <c r="G59" s="178" t="n">
        <v>13.3</v>
      </c>
      <c r="H59" s="179" t="n">
        <v>36</v>
      </c>
      <c r="I59" s="133" t="n">
        <v>110.6</v>
      </c>
      <c r="J59" s="177" t="n">
        <v>5.678</v>
      </c>
      <c r="K59" s="177" t="n">
        <v>0.051</v>
      </c>
      <c r="L59" s="178" t="n">
        <v>12.1</v>
      </c>
      <c r="M59" s="179" t="n">
        <v>37</v>
      </c>
      <c r="N59" s="133" t="n">
        <v>189.4</v>
      </c>
      <c r="O59" s="177" t="n">
        <v>17.88</v>
      </c>
      <c r="P59" s="177" t="n">
        <v>0.094</v>
      </c>
      <c r="Q59" s="178" t="n">
        <v>1.2</v>
      </c>
      <c r="R59" s="176" t="s">
        <v>71</v>
      </c>
      <c r="S59" s="176" t="s">
        <v>65</v>
      </c>
      <c r="T59" s="179" t="s">
        <v>66</v>
      </c>
      <c r="U59" s="179" t="n">
        <v>61</v>
      </c>
      <c r="V59" s="179" t="n">
        <v>2</v>
      </c>
      <c r="W59" s="179" t="s">
        <v>81</v>
      </c>
      <c r="X59" s="179" t="n">
        <v>4</v>
      </c>
      <c r="Y59" s="180"/>
    </row>
    <row r="60" customFormat="false" ht="16" hidden="false" customHeight="false" outlineLevel="0" collapsed="false">
      <c r="A60" s="141" t="s">
        <v>504</v>
      </c>
      <c r="B60" s="142"/>
      <c r="C60" s="142"/>
      <c r="D60" s="143" t="n">
        <f aca="false">AVERAGE(D56:D59)</f>
        <v>28.651</v>
      </c>
      <c r="E60" s="144"/>
      <c r="F60" s="144"/>
      <c r="G60" s="145"/>
      <c r="H60" s="144"/>
      <c r="I60" s="146" t="n">
        <f aca="false">AVERAGE(I56:I59)</f>
        <v>70.125</v>
      </c>
      <c r="J60" s="147"/>
      <c r="K60" s="147"/>
      <c r="L60" s="147"/>
      <c r="M60" s="147"/>
      <c r="N60" s="146" t="n">
        <f aca="false">AVERAGE(N56:N59)</f>
        <v>229.875</v>
      </c>
      <c r="O60" s="147"/>
      <c r="P60" s="147"/>
      <c r="Q60" s="147"/>
      <c r="R60" s="147"/>
      <c r="S60" s="147"/>
      <c r="T60" s="147"/>
      <c r="U60" s="148"/>
      <c r="V60" s="149"/>
      <c r="W60" s="147"/>
      <c r="X60" s="147"/>
      <c r="Y60" s="147"/>
    </row>
    <row r="61" customFormat="false" ht="13" hidden="false" customHeight="false" outlineLevel="0" collapsed="false">
      <c r="A61" s="113"/>
      <c r="B61" s="113"/>
      <c r="C61" s="113"/>
      <c r="D61" s="113"/>
      <c r="E61" s="113"/>
      <c r="F61" s="113"/>
      <c r="G61" s="113"/>
      <c r="H61" s="113"/>
      <c r="I61" s="152"/>
      <c r="J61" s="113"/>
      <c r="K61" s="113"/>
      <c r="L61" s="113"/>
      <c r="M61" s="113"/>
      <c r="N61" s="152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</row>
    <row r="62" customFormat="false" ht="13" hidden="false" customHeight="false" outlineLevel="0" collapsed="false">
      <c r="A62" s="113"/>
      <c r="B62" s="113"/>
      <c r="C62" s="113"/>
      <c r="D62" s="113"/>
      <c r="E62" s="113"/>
      <c r="F62" s="113"/>
      <c r="G62" s="113"/>
      <c r="H62" s="113"/>
      <c r="I62" s="152"/>
      <c r="J62" s="113"/>
      <c r="K62" s="113"/>
      <c r="L62" s="113"/>
      <c r="M62" s="113"/>
      <c r="N62" s="152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</row>
    <row r="63" customFormat="false" ht="15" hidden="false" customHeight="false" outlineLevel="0" collapsed="false">
      <c r="A63" s="158" t="s">
        <v>1</v>
      </c>
      <c r="B63" s="123" t="s">
        <v>3</v>
      </c>
      <c r="C63" s="123" t="s">
        <v>4</v>
      </c>
      <c r="D63" s="159" t="s">
        <v>8</v>
      </c>
      <c r="E63" s="159" t="s">
        <v>9</v>
      </c>
      <c r="F63" s="159" t="s">
        <v>10</v>
      </c>
      <c r="G63" s="160" t="s">
        <v>11</v>
      </c>
      <c r="H63" s="161" t="s">
        <v>30</v>
      </c>
      <c r="I63" s="162" t="s">
        <v>31</v>
      </c>
      <c r="J63" s="159" t="s">
        <v>32</v>
      </c>
      <c r="K63" s="159" t="s">
        <v>33</v>
      </c>
      <c r="L63" s="160" t="s">
        <v>34</v>
      </c>
      <c r="M63" s="161" t="s">
        <v>35</v>
      </c>
      <c r="N63" s="162" t="s">
        <v>36</v>
      </c>
      <c r="O63" s="159" t="s">
        <v>37</v>
      </c>
      <c r="P63" s="159" t="s">
        <v>38</v>
      </c>
      <c r="Q63" s="160" t="s">
        <v>39</v>
      </c>
      <c r="R63" s="161" t="s">
        <v>50</v>
      </c>
      <c r="S63" s="123" t="s">
        <v>51</v>
      </c>
      <c r="T63" s="123" t="s">
        <v>493</v>
      </c>
      <c r="U63" s="161" t="s">
        <v>53</v>
      </c>
      <c r="V63" s="160" t="s">
        <v>54</v>
      </c>
      <c r="W63" s="123" t="s">
        <v>55</v>
      </c>
      <c r="X63" s="123" t="s">
        <v>56</v>
      </c>
      <c r="Y63" s="124" t="s">
        <v>57</v>
      </c>
    </row>
    <row r="64" customFormat="false" ht="15" hidden="false" customHeight="false" outlineLevel="0" collapsed="false">
      <c r="A64" s="163" t="n">
        <v>14</v>
      </c>
      <c r="B64" s="134" t="s">
        <v>60</v>
      </c>
      <c r="C64" s="134" t="s">
        <v>432</v>
      </c>
      <c r="D64" s="164" t="n">
        <v>14.293</v>
      </c>
      <c r="E64" s="164" t="n">
        <v>0.048</v>
      </c>
      <c r="F64" s="164" t="n">
        <v>0.295</v>
      </c>
      <c r="G64" s="165" t="n">
        <v>25.9</v>
      </c>
      <c r="H64" s="166" t="n">
        <v>34</v>
      </c>
      <c r="I64" s="167" t="n">
        <v>58.1</v>
      </c>
      <c r="J64" s="164" t="n">
        <v>3.682</v>
      </c>
      <c r="K64" s="164" t="n">
        <v>0.063</v>
      </c>
      <c r="L64" s="165" t="n">
        <v>7.8</v>
      </c>
      <c r="M64" s="166" t="n">
        <v>33</v>
      </c>
      <c r="N64" s="167" t="n">
        <v>241.9</v>
      </c>
      <c r="O64" s="164" t="n">
        <v>10.611</v>
      </c>
      <c r="P64" s="164" t="n">
        <v>0.044</v>
      </c>
      <c r="Q64" s="165" t="n">
        <v>18.1</v>
      </c>
      <c r="R64" s="134" t="s">
        <v>64</v>
      </c>
      <c r="S64" s="134" t="s">
        <v>65</v>
      </c>
      <c r="T64" s="134" t="s">
        <v>66</v>
      </c>
      <c r="U64" s="166" t="n">
        <v>169</v>
      </c>
      <c r="V64" s="165" t="n">
        <v>5.6</v>
      </c>
      <c r="W64" s="134" t="s">
        <v>81</v>
      </c>
      <c r="X64" s="134" t="n">
        <v>4</v>
      </c>
      <c r="Y64" s="168" t="s">
        <v>109</v>
      </c>
    </row>
    <row r="65" customFormat="false" ht="15" hidden="false" customHeight="false" outlineLevel="0" collapsed="false">
      <c r="A65" s="169" t="n">
        <v>35</v>
      </c>
      <c r="B65" s="170" t="s">
        <v>79</v>
      </c>
      <c r="C65" s="170" t="s">
        <v>432</v>
      </c>
      <c r="D65" s="171" t="n">
        <v>64.701</v>
      </c>
      <c r="E65" s="171" t="n">
        <v>0.216</v>
      </c>
      <c r="F65" s="171" t="n">
        <v>0.503</v>
      </c>
      <c r="G65" s="172" t="n">
        <v>0</v>
      </c>
      <c r="H65" s="173" t="n">
        <v>162</v>
      </c>
      <c r="I65" s="167" t="n">
        <v>94.3</v>
      </c>
      <c r="J65" s="171" t="n">
        <v>25.943</v>
      </c>
      <c r="K65" s="171" t="n">
        <v>0.275</v>
      </c>
      <c r="L65" s="172" t="n">
        <v>0</v>
      </c>
      <c r="M65" s="173" t="n">
        <v>163</v>
      </c>
      <c r="N65" s="167" t="n">
        <v>205.7</v>
      </c>
      <c r="O65" s="171" t="n">
        <v>38.758</v>
      </c>
      <c r="P65" s="171" t="n">
        <v>0.188</v>
      </c>
      <c r="Q65" s="172" t="n">
        <v>0</v>
      </c>
      <c r="R65" s="170" t="s">
        <v>64</v>
      </c>
      <c r="S65" s="170" t="s">
        <v>65</v>
      </c>
      <c r="T65" s="170" t="s">
        <v>66</v>
      </c>
      <c r="U65" s="173" t="n">
        <v>144</v>
      </c>
      <c r="V65" s="172" t="n">
        <v>4.8</v>
      </c>
      <c r="W65" s="170" t="s">
        <v>81</v>
      </c>
      <c r="X65" s="170" t="n">
        <v>4</v>
      </c>
      <c r="Y65" s="174" t="s">
        <v>160</v>
      </c>
    </row>
    <row r="66" customFormat="false" ht="15" hidden="false" customHeight="false" outlineLevel="0" collapsed="false">
      <c r="A66" s="163" t="n">
        <v>37</v>
      </c>
      <c r="B66" s="134" t="s">
        <v>69</v>
      </c>
      <c r="C66" s="134" t="s">
        <v>432</v>
      </c>
      <c r="D66" s="164" t="n">
        <v>9.627</v>
      </c>
      <c r="E66" s="164" t="n">
        <v>0.032</v>
      </c>
      <c r="F66" s="164" t="n">
        <v>0.242</v>
      </c>
      <c r="G66" s="165" t="n">
        <v>30.9</v>
      </c>
      <c r="H66" s="166" t="n">
        <v>21</v>
      </c>
      <c r="I66" s="167" t="n">
        <v>119.8</v>
      </c>
      <c r="J66" s="164" t="n">
        <v>2.658</v>
      </c>
      <c r="K66" s="164" t="n">
        <v>0.022</v>
      </c>
      <c r="L66" s="165" t="n">
        <v>19.6</v>
      </c>
      <c r="M66" s="166" t="n">
        <v>22</v>
      </c>
      <c r="N66" s="167" t="n">
        <v>180.2</v>
      </c>
      <c r="O66" s="164" t="n">
        <v>6.968</v>
      </c>
      <c r="P66" s="164" t="n">
        <v>0.039</v>
      </c>
      <c r="Q66" s="165" t="n">
        <v>11.3</v>
      </c>
      <c r="R66" s="134" t="s">
        <v>64</v>
      </c>
      <c r="S66" s="134" t="s">
        <v>65</v>
      </c>
      <c r="T66" s="134" t="s">
        <v>66</v>
      </c>
      <c r="U66" s="166" t="n">
        <v>144</v>
      </c>
      <c r="V66" s="165" t="n">
        <v>4.8</v>
      </c>
      <c r="W66" s="134" t="s">
        <v>81</v>
      </c>
      <c r="X66" s="134" t="n">
        <v>4</v>
      </c>
      <c r="Y66" s="168"/>
    </row>
    <row r="67" customFormat="false" ht="16" hidden="false" customHeight="false" outlineLevel="0" collapsed="false">
      <c r="A67" s="163" t="n">
        <v>40</v>
      </c>
      <c r="B67" s="134" t="s">
        <v>60</v>
      </c>
      <c r="C67" s="134" t="s">
        <v>432</v>
      </c>
      <c r="D67" s="164" t="n">
        <v>23.469</v>
      </c>
      <c r="E67" s="164" t="n">
        <v>0.078</v>
      </c>
      <c r="F67" s="164" t="n">
        <v>0.31</v>
      </c>
      <c r="G67" s="165" t="n">
        <v>7.8</v>
      </c>
      <c r="H67" s="166" t="n">
        <v>46</v>
      </c>
      <c r="I67" s="167" t="n">
        <v>42.4</v>
      </c>
      <c r="J67" s="164" t="n">
        <v>5.607</v>
      </c>
      <c r="K67" s="164" t="n">
        <v>0.132</v>
      </c>
      <c r="L67" s="165" t="n">
        <v>1.3</v>
      </c>
      <c r="M67" s="166" t="n">
        <v>45</v>
      </c>
      <c r="N67" s="167" t="n">
        <v>257.6</v>
      </c>
      <c r="O67" s="164" t="n">
        <v>17.862</v>
      </c>
      <c r="P67" s="164" t="n">
        <v>0.069</v>
      </c>
      <c r="Q67" s="165" t="n">
        <v>6.5</v>
      </c>
      <c r="R67" s="134" t="s">
        <v>71</v>
      </c>
      <c r="S67" s="134" t="s">
        <v>65</v>
      </c>
      <c r="T67" s="134" t="s">
        <v>66</v>
      </c>
      <c r="U67" s="166" t="n">
        <v>144</v>
      </c>
      <c r="V67" s="165" t="n">
        <v>4.8</v>
      </c>
      <c r="W67" s="134" t="s">
        <v>81</v>
      </c>
      <c r="X67" s="134" t="n">
        <v>4</v>
      </c>
      <c r="Y67" s="168"/>
    </row>
    <row r="68" customFormat="false" ht="16" hidden="false" customHeight="false" outlineLevel="0" collapsed="false">
      <c r="A68" s="141" t="s">
        <v>504</v>
      </c>
      <c r="B68" s="142"/>
      <c r="C68" s="142"/>
      <c r="D68" s="143" t="n">
        <f aca="false">AVERAGE(D64:D67)</f>
        <v>28.0225</v>
      </c>
      <c r="E68" s="144"/>
      <c r="F68" s="144"/>
      <c r="G68" s="145"/>
      <c r="H68" s="144"/>
      <c r="I68" s="146" t="n">
        <f aca="false">AVERAGE(I64:I67)</f>
        <v>78.65</v>
      </c>
      <c r="J68" s="147"/>
      <c r="K68" s="147"/>
      <c r="L68" s="147"/>
      <c r="M68" s="147"/>
      <c r="N68" s="146" t="n">
        <f aca="false">AVERAGE(N64:N67)</f>
        <v>221.35</v>
      </c>
      <c r="O68" s="147"/>
      <c r="P68" s="147"/>
      <c r="Q68" s="147"/>
      <c r="R68" s="147"/>
      <c r="S68" s="147"/>
      <c r="T68" s="147"/>
      <c r="U68" s="148"/>
      <c r="V68" s="149"/>
      <c r="W68" s="147"/>
      <c r="X68" s="147"/>
      <c r="Y68" s="147"/>
    </row>
    <row r="71" customFormat="false" ht="13" hidden="false" customHeight="false" outlineLevel="0" collapsed="false">
      <c r="A71" s="113" t="s">
        <v>512</v>
      </c>
    </row>
    <row r="72" customFormat="false" ht="15" hidden="false" customHeight="false" outlineLevel="0" collapsed="false">
      <c r="A72" s="117" t="s">
        <v>1</v>
      </c>
      <c r="B72" s="118" t="s">
        <v>3</v>
      </c>
      <c r="C72" s="118" t="s">
        <v>4</v>
      </c>
      <c r="D72" s="119" t="s">
        <v>8</v>
      </c>
      <c r="E72" s="119" t="s">
        <v>9</v>
      </c>
      <c r="F72" s="119" t="s">
        <v>10</v>
      </c>
      <c r="G72" s="120" t="s">
        <v>11</v>
      </c>
      <c r="H72" s="121" t="s">
        <v>30</v>
      </c>
      <c r="I72" s="122" t="s">
        <v>31</v>
      </c>
      <c r="J72" s="119" t="s">
        <v>32</v>
      </c>
      <c r="K72" s="119" t="s">
        <v>33</v>
      </c>
      <c r="L72" s="120" t="s">
        <v>34</v>
      </c>
      <c r="M72" s="121" t="s">
        <v>35</v>
      </c>
      <c r="N72" s="122" t="s">
        <v>36</v>
      </c>
      <c r="O72" s="119" t="s">
        <v>37</v>
      </c>
      <c r="P72" s="119" t="s">
        <v>38</v>
      </c>
      <c r="Q72" s="120" t="s">
        <v>39</v>
      </c>
      <c r="R72" s="123" t="s">
        <v>50</v>
      </c>
      <c r="S72" s="123" t="s">
        <v>51</v>
      </c>
      <c r="T72" s="123" t="s">
        <v>493</v>
      </c>
      <c r="U72" s="123" t="s">
        <v>53</v>
      </c>
      <c r="V72" s="123" t="s">
        <v>54</v>
      </c>
      <c r="W72" s="123" t="s">
        <v>55</v>
      </c>
      <c r="X72" s="123" t="s">
        <v>56</v>
      </c>
      <c r="Y72" s="124" t="s">
        <v>57</v>
      </c>
    </row>
    <row r="73" customFormat="false" ht="15" hidden="false" customHeight="false" outlineLevel="0" collapsed="false">
      <c r="A73" s="128" t="n">
        <v>3</v>
      </c>
      <c r="B73" s="129" t="s">
        <v>74</v>
      </c>
      <c r="C73" s="129" t="s">
        <v>251</v>
      </c>
      <c r="D73" s="130" t="n">
        <v>7.487</v>
      </c>
      <c r="E73" s="130" t="n">
        <v>0.025</v>
      </c>
      <c r="F73" s="130" t="n">
        <v>0.248</v>
      </c>
      <c r="G73" s="131" t="n">
        <v>95.7</v>
      </c>
      <c r="H73" s="132" t="n">
        <v>9</v>
      </c>
      <c r="I73" s="133" t="n">
        <v>26.5</v>
      </c>
      <c r="J73" s="130" t="n">
        <v>1.234</v>
      </c>
      <c r="K73" s="130" t="n">
        <v>0.047</v>
      </c>
      <c r="L73" s="131" t="n">
        <v>6.7</v>
      </c>
      <c r="M73" s="132" t="n">
        <v>10</v>
      </c>
      <c r="N73" s="133" t="n">
        <v>273.5</v>
      </c>
      <c r="O73" s="130" t="n">
        <v>6.254</v>
      </c>
      <c r="P73" s="130" t="n">
        <v>0.023</v>
      </c>
      <c r="Q73" s="131" t="n">
        <v>89.1</v>
      </c>
      <c r="R73" s="134" t="s">
        <v>64</v>
      </c>
      <c r="S73" s="134" t="s">
        <v>76</v>
      </c>
      <c r="T73" s="132" t="s">
        <v>72</v>
      </c>
      <c r="U73" s="132" t="n">
        <v>94</v>
      </c>
      <c r="V73" s="131" t="n">
        <v>3.1</v>
      </c>
      <c r="W73" s="132" t="s">
        <v>67</v>
      </c>
      <c r="X73" s="132" t="n">
        <v>5</v>
      </c>
      <c r="Y73" s="135" t="s">
        <v>77</v>
      </c>
    </row>
    <row r="74" customFormat="false" ht="15" hidden="false" customHeight="false" outlineLevel="0" collapsed="false">
      <c r="A74" s="128" t="n">
        <v>7</v>
      </c>
      <c r="B74" s="129" t="s">
        <v>74</v>
      </c>
      <c r="C74" s="129" t="s">
        <v>251</v>
      </c>
      <c r="D74" s="130" t="n">
        <v>10.189</v>
      </c>
      <c r="E74" s="130" t="n">
        <v>0.034</v>
      </c>
      <c r="F74" s="130" t="n">
        <v>0.24</v>
      </c>
      <c r="G74" s="131" t="n">
        <v>13.7</v>
      </c>
      <c r="H74" s="132" t="n">
        <v>21</v>
      </c>
      <c r="I74" s="133" t="n">
        <v>28.5</v>
      </c>
      <c r="J74" s="130" t="n">
        <v>1.865</v>
      </c>
      <c r="K74" s="130" t="n">
        <v>0.065</v>
      </c>
      <c r="L74" s="131" t="n">
        <v>0</v>
      </c>
      <c r="M74" s="132" t="n">
        <v>22</v>
      </c>
      <c r="N74" s="133" t="n">
        <v>271.5</v>
      </c>
      <c r="O74" s="130" t="n">
        <v>8.323</v>
      </c>
      <c r="P74" s="130" t="n">
        <v>0.031</v>
      </c>
      <c r="Q74" s="131" t="n">
        <v>13.7</v>
      </c>
      <c r="R74" s="134" t="s">
        <v>71</v>
      </c>
      <c r="S74" s="134" t="s">
        <v>76</v>
      </c>
      <c r="T74" s="132" t="s">
        <v>72</v>
      </c>
      <c r="U74" s="132" t="n">
        <v>94</v>
      </c>
      <c r="V74" s="131" t="n">
        <v>3.1</v>
      </c>
      <c r="W74" s="132" t="s">
        <v>67</v>
      </c>
      <c r="X74" s="132" t="n">
        <v>5</v>
      </c>
      <c r="Y74" s="135"/>
    </row>
    <row r="75" customFormat="false" ht="15" hidden="false" customHeight="false" outlineLevel="0" collapsed="false">
      <c r="A75" s="128" t="n">
        <v>11</v>
      </c>
      <c r="B75" s="129" t="s">
        <v>74</v>
      </c>
      <c r="C75" s="129" t="s">
        <v>251</v>
      </c>
      <c r="D75" s="130" t="n">
        <v>8.329</v>
      </c>
      <c r="E75" s="130" t="n">
        <v>0.028</v>
      </c>
      <c r="F75" s="130" t="n">
        <v>0.218</v>
      </c>
      <c r="G75" s="131" t="n">
        <v>42.3</v>
      </c>
      <c r="H75" s="132" t="n">
        <v>20</v>
      </c>
      <c r="I75" s="133" t="n">
        <v>48.7</v>
      </c>
      <c r="J75" s="130" t="n">
        <v>1.67</v>
      </c>
      <c r="K75" s="130" t="n">
        <v>0.034</v>
      </c>
      <c r="L75" s="131" t="n">
        <v>10.8</v>
      </c>
      <c r="M75" s="132" t="n">
        <v>20</v>
      </c>
      <c r="N75" s="133" t="n">
        <v>251.3</v>
      </c>
      <c r="O75" s="130" t="n">
        <v>6.66</v>
      </c>
      <c r="P75" s="130" t="n">
        <v>0.027</v>
      </c>
      <c r="Q75" s="131" t="n">
        <v>31.4</v>
      </c>
      <c r="R75" s="134" t="s">
        <v>71</v>
      </c>
      <c r="S75" s="134" t="s">
        <v>76</v>
      </c>
      <c r="T75" s="132" t="s">
        <v>72</v>
      </c>
      <c r="U75" s="132" t="n">
        <v>94</v>
      </c>
      <c r="V75" s="131" t="n">
        <v>3.1</v>
      </c>
      <c r="W75" s="132" t="s">
        <v>67</v>
      </c>
      <c r="X75" s="132" t="n">
        <v>5</v>
      </c>
      <c r="Y75" s="135" t="s">
        <v>101</v>
      </c>
    </row>
    <row r="76" customFormat="false" ht="15" hidden="false" customHeight="false" outlineLevel="0" collapsed="false">
      <c r="A76" s="128" t="n">
        <v>21</v>
      </c>
      <c r="B76" s="129" t="s">
        <v>60</v>
      </c>
      <c r="C76" s="129" t="s">
        <v>251</v>
      </c>
      <c r="D76" s="130" t="n">
        <v>20.986</v>
      </c>
      <c r="E76" s="130" t="n">
        <v>0.07</v>
      </c>
      <c r="F76" s="130" t="n">
        <v>0.337</v>
      </c>
      <c r="G76" s="131" t="n">
        <v>2.2</v>
      </c>
      <c r="H76" s="132" t="n">
        <v>32</v>
      </c>
      <c r="I76" s="133" t="n">
        <v>34.6</v>
      </c>
      <c r="J76" s="130" t="n">
        <v>5.416</v>
      </c>
      <c r="K76" s="130" t="n">
        <v>0.156</v>
      </c>
      <c r="L76" s="131" t="n">
        <v>0</v>
      </c>
      <c r="M76" s="132" t="n">
        <v>33</v>
      </c>
      <c r="N76" s="133" t="n">
        <v>265.4</v>
      </c>
      <c r="O76" s="130" t="n">
        <v>15.57</v>
      </c>
      <c r="P76" s="130" t="n">
        <v>0.059</v>
      </c>
      <c r="Q76" s="131" t="n">
        <v>2.2</v>
      </c>
      <c r="R76" s="129" t="s">
        <v>71</v>
      </c>
      <c r="S76" s="129" t="s">
        <v>76</v>
      </c>
      <c r="T76" s="132" t="s">
        <v>72</v>
      </c>
      <c r="U76" s="132" t="n">
        <v>76</v>
      </c>
      <c r="V76" s="132" t="n">
        <v>3</v>
      </c>
      <c r="W76" s="132" t="s">
        <v>67</v>
      </c>
      <c r="X76" s="132" t="n">
        <v>5</v>
      </c>
      <c r="Y76" s="135"/>
    </row>
    <row r="77" customFormat="false" ht="15" hidden="false" customHeight="false" outlineLevel="0" collapsed="false">
      <c r="A77" s="128" t="n">
        <v>24</v>
      </c>
      <c r="B77" s="129" t="s">
        <v>79</v>
      </c>
      <c r="C77" s="129" t="s">
        <v>251</v>
      </c>
      <c r="D77" s="130" t="n">
        <v>17.585</v>
      </c>
      <c r="E77" s="130" t="n">
        <v>0.059</v>
      </c>
      <c r="F77" s="130" t="n">
        <v>0.272</v>
      </c>
      <c r="G77" s="131" t="n">
        <v>8.9</v>
      </c>
      <c r="H77" s="132" t="n">
        <v>27</v>
      </c>
      <c r="I77" s="133" t="n">
        <v>31.5</v>
      </c>
      <c r="J77" s="130" t="n">
        <v>3.398</v>
      </c>
      <c r="K77" s="130" t="n">
        <v>0.108</v>
      </c>
      <c r="L77" s="131" t="n">
        <v>0</v>
      </c>
      <c r="M77" s="132" t="n">
        <v>28</v>
      </c>
      <c r="N77" s="133" t="n">
        <v>268.5</v>
      </c>
      <c r="O77" s="130" t="n">
        <v>14.187</v>
      </c>
      <c r="P77" s="130" t="n">
        <v>0.053</v>
      </c>
      <c r="Q77" s="131" t="n">
        <v>8.9</v>
      </c>
      <c r="R77" s="129" t="s">
        <v>64</v>
      </c>
      <c r="S77" s="129" t="s">
        <v>76</v>
      </c>
      <c r="T77" s="132" t="s">
        <v>72</v>
      </c>
      <c r="U77" s="132" t="n">
        <v>68</v>
      </c>
      <c r="V77" s="132" t="n">
        <v>2</v>
      </c>
      <c r="W77" s="132" t="s">
        <v>67</v>
      </c>
      <c r="X77" s="132" t="n">
        <v>5</v>
      </c>
      <c r="Y77" s="135"/>
    </row>
    <row r="78" customFormat="false" ht="15" hidden="false" customHeight="false" outlineLevel="0" collapsed="false">
      <c r="A78" s="175" t="n">
        <v>28</v>
      </c>
      <c r="B78" s="176" t="s">
        <v>79</v>
      </c>
      <c r="C78" s="176" t="s">
        <v>251</v>
      </c>
      <c r="D78" s="177" t="n">
        <v>13.036</v>
      </c>
      <c r="E78" s="177" t="n">
        <v>0.043</v>
      </c>
      <c r="F78" s="177" t="n">
        <v>1.072</v>
      </c>
      <c r="G78" s="178" t="n">
        <v>18.7</v>
      </c>
      <c r="H78" s="179" t="n">
        <v>18</v>
      </c>
      <c r="I78" s="133" t="n">
        <v>33.6</v>
      </c>
      <c r="J78" s="177" t="n">
        <v>2.923</v>
      </c>
      <c r="K78" s="177" t="n">
        <v>0.087</v>
      </c>
      <c r="L78" s="178" t="n">
        <v>0</v>
      </c>
      <c r="M78" s="179" t="n">
        <v>18</v>
      </c>
      <c r="N78" s="133" t="n">
        <v>266.4</v>
      </c>
      <c r="O78" s="177" t="n">
        <v>10.113</v>
      </c>
      <c r="P78" s="177" t="n">
        <v>0.038</v>
      </c>
      <c r="Q78" s="178" t="n">
        <v>18.7</v>
      </c>
      <c r="R78" s="176" t="s">
        <v>64</v>
      </c>
      <c r="S78" s="176" t="s">
        <v>76</v>
      </c>
      <c r="T78" s="179" t="s">
        <v>72</v>
      </c>
      <c r="U78" s="179" t="n">
        <v>68</v>
      </c>
      <c r="V78" s="179" t="n">
        <v>2</v>
      </c>
      <c r="W78" s="179" t="s">
        <v>67</v>
      </c>
      <c r="X78" s="179" t="n">
        <v>5</v>
      </c>
      <c r="Y78" s="180" t="s">
        <v>141</v>
      </c>
    </row>
    <row r="79" customFormat="false" ht="15" hidden="false" customHeight="false" outlineLevel="0" collapsed="false">
      <c r="A79" s="128" t="n">
        <v>33</v>
      </c>
      <c r="B79" s="129" t="s">
        <v>60</v>
      </c>
      <c r="C79" s="129" t="s">
        <v>251</v>
      </c>
      <c r="D79" s="130" t="n">
        <v>12.683</v>
      </c>
      <c r="E79" s="130" t="n">
        <v>0.042</v>
      </c>
      <c r="F79" s="130" t="n">
        <v>0.277</v>
      </c>
      <c r="G79" s="131" t="n">
        <v>17.9</v>
      </c>
      <c r="H79" s="132" t="n">
        <v>20</v>
      </c>
      <c r="I79" s="133" t="n">
        <v>19.9</v>
      </c>
      <c r="J79" s="130" t="n">
        <v>2.087</v>
      </c>
      <c r="K79" s="130" t="n">
        <v>0.105</v>
      </c>
      <c r="L79" s="131" t="n">
        <v>0</v>
      </c>
      <c r="M79" s="132" t="n">
        <v>21</v>
      </c>
      <c r="N79" s="133" t="n">
        <v>280.1</v>
      </c>
      <c r="O79" s="130" t="n">
        <v>10.596</v>
      </c>
      <c r="P79" s="130" t="n">
        <v>0.038</v>
      </c>
      <c r="Q79" s="131" t="n">
        <v>17.9</v>
      </c>
      <c r="R79" s="129" t="s">
        <v>71</v>
      </c>
      <c r="S79" s="129" t="s">
        <v>76</v>
      </c>
      <c r="T79" s="132" t="s">
        <v>72</v>
      </c>
      <c r="U79" s="132" t="n">
        <v>68</v>
      </c>
      <c r="V79" s="132" t="n">
        <v>2</v>
      </c>
      <c r="W79" s="132" t="s">
        <v>67</v>
      </c>
      <c r="X79" s="132" t="n">
        <v>5</v>
      </c>
      <c r="Y79" s="135" t="s">
        <v>154</v>
      </c>
    </row>
    <row r="80" customFormat="false" ht="16" hidden="false" customHeight="false" outlineLevel="0" collapsed="false">
      <c r="A80" s="175" t="n">
        <v>44</v>
      </c>
      <c r="B80" s="176" t="s">
        <v>79</v>
      </c>
      <c r="C80" s="176" t="s">
        <v>251</v>
      </c>
      <c r="D80" s="177" t="n">
        <v>25.58</v>
      </c>
      <c r="E80" s="177" t="n">
        <v>0.085</v>
      </c>
      <c r="F80" s="177" t="n">
        <v>0.299</v>
      </c>
      <c r="G80" s="178" t="n">
        <v>10.5</v>
      </c>
      <c r="H80" s="179" t="n">
        <v>23</v>
      </c>
      <c r="I80" s="133" t="n">
        <v>18.9</v>
      </c>
      <c r="J80" s="177" t="n">
        <v>3.796</v>
      </c>
      <c r="K80" s="177" t="n">
        <v>0.201</v>
      </c>
      <c r="L80" s="178" t="n">
        <v>0</v>
      </c>
      <c r="M80" s="179" t="n">
        <v>24</v>
      </c>
      <c r="N80" s="133" t="n">
        <v>281.1</v>
      </c>
      <c r="O80" s="177" t="n">
        <v>21.784</v>
      </c>
      <c r="P80" s="177" t="n">
        <v>0.077</v>
      </c>
      <c r="Q80" s="178" t="n">
        <v>10.5</v>
      </c>
      <c r="R80" s="176" t="s">
        <v>71</v>
      </c>
      <c r="S80" s="176" t="s">
        <v>76</v>
      </c>
      <c r="T80" s="179" t="s">
        <v>72</v>
      </c>
      <c r="U80" s="179" t="n">
        <v>42</v>
      </c>
      <c r="V80" s="179" t="n">
        <v>1</v>
      </c>
      <c r="W80" s="179" t="s">
        <v>67</v>
      </c>
      <c r="X80" s="179" t="n">
        <v>5</v>
      </c>
      <c r="Y80" s="180"/>
    </row>
    <row r="81" customFormat="false" ht="16" hidden="false" customHeight="false" outlineLevel="0" collapsed="false">
      <c r="A81" s="141" t="s">
        <v>504</v>
      </c>
      <c r="B81" s="142"/>
      <c r="C81" s="142"/>
      <c r="D81" s="143" t="n">
        <f aca="false">AVERAGE(D73:D80)</f>
        <v>14.484375</v>
      </c>
      <c r="E81" s="144"/>
      <c r="F81" s="144"/>
      <c r="G81" s="145"/>
      <c r="H81" s="144"/>
      <c r="I81" s="146" t="n">
        <f aca="false">AVERAGE(I73:I80)</f>
        <v>30.275</v>
      </c>
      <c r="J81" s="147"/>
      <c r="K81" s="147"/>
      <c r="L81" s="147"/>
      <c r="M81" s="147"/>
      <c r="N81" s="146" t="n">
        <f aca="false">AVERAGE(N73:N80)</f>
        <v>269.725</v>
      </c>
      <c r="O81" s="147"/>
      <c r="P81" s="147"/>
      <c r="Q81" s="147"/>
      <c r="R81" s="147"/>
      <c r="S81" s="147"/>
      <c r="T81" s="147"/>
      <c r="U81" s="148"/>
      <c r="V81" s="149"/>
      <c r="W81" s="147"/>
      <c r="X81" s="147"/>
      <c r="Y81" s="147"/>
    </row>
    <row r="82" customFormat="false" ht="13" hidden="false" customHeight="false" outlineLevel="0" collapsed="false">
      <c r="A82" s="113"/>
      <c r="B82" s="113"/>
      <c r="C82" s="113"/>
      <c r="D82" s="113"/>
      <c r="E82" s="113"/>
      <c r="F82" s="113"/>
      <c r="G82" s="113"/>
      <c r="H82" s="113"/>
      <c r="I82" s="152"/>
      <c r="J82" s="113"/>
      <c r="K82" s="113"/>
      <c r="L82" s="113"/>
      <c r="M82" s="113"/>
      <c r="N82" s="152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</row>
    <row r="83" customFormat="false" ht="13" hidden="false" customHeight="false" outlineLevel="0" collapsed="false">
      <c r="A83" s="113"/>
      <c r="B83" s="113"/>
      <c r="C83" s="113"/>
      <c r="D83" s="113"/>
      <c r="E83" s="113"/>
      <c r="F83" s="113"/>
      <c r="G83" s="113"/>
      <c r="H83" s="113"/>
      <c r="I83" s="152"/>
      <c r="J83" s="113"/>
      <c r="K83" s="113"/>
      <c r="L83" s="113"/>
      <c r="M83" s="113"/>
      <c r="N83" s="152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</row>
    <row r="84" customFormat="false" ht="15" hidden="false" customHeight="false" outlineLevel="0" collapsed="false">
      <c r="A84" s="158" t="s">
        <v>1</v>
      </c>
      <c r="B84" s="123" t="s">
        <v>3</v>
      </c>
      <c r="C84" s="123" t="s">
        <v>4</v>
      </c>
      <c r="D84" s="159" t="s">
        <v>8</v>
      </c>
      <c r="E84" s="159" t="s">
        <v>9</v>
      </c>
      <c r="F84" s="159" t="s">
        <v>10</v>
      </c>
      <c r="G84" s="160" t="s">
        <v>11</v>
      </c>
      <c r="H84" s="161" t="s">
        <v>30</v>
      </c>
      <c r="I84" s="162" t="s">
        <v>31</v>
      </c>
      <c r="J84" s="159" t="s">
        <v>32</v>
      </c>
      <c r="K84" s="159" t="s">
        <v>33</v>
      </c>
      <c r="L84" s="160" t="s">
        <v>34</v>
      </c>
      <c r="M84" s="161" t="s">
        <v>35</v>
      </c>
      <c r="N84" s="162" t="s">
        <v>36</v>
      </c>
      <c r="O84" s="159" t="s">
        <v>37</v>
      </c>
      <c r="P84" s="159" t="s">
        <v>38</v>
      </c>
      <c r="Q84" s="160" t="s">
        <v>39</v>
      </c>
      <c r="R84" s="161" t="s">
        <v>50</v>
      </c>
      <c r="S84" s="123" t="s">
        <v>51</v>
      </c>
      <c r="T84" s="123" t="s">
        <v>493</v>
      </c>
      <c r="U84" s="161" t="s">
        <v>53</v>
      </c>
      <c r="V84" s="160" t="s">
        <v>54</v>
      </c>
      <c r="W84" s="123" t="s">
        <v>55</v>
      </c>
      <c r="X84" s="123" t="s">
        <v>56</v>
      </c>
      <c r="Y84" s="124" t="s">
        <v>57</v>
      </c>
    </row>
    <row r="85" customFormat="false" ht="15" hidden="false" customHeight="false" outlineLevel="0" collapsed="false">
      <c r="A85" s="163" t="n">
        <v>3</v>
      </c>
      <c r="B85" s="134" t="s">
        <v>74</v>
      </c>
      <c r="C85" s="134" t="s">
        <v>432</v>
      </c>
      <c r="D85" s="164" t="n">
        <v>4.157</v>
      </c>
      <c r="E85" s="164" t="n">
        <v>0.014</v>
      </c>
      <c r="F85" s="164" t="n">
        <v>0.245</v>
      </c>
      <c r="G85" s="165" t="n">
        <v>29.8</v>
      </c>
      <c r="H85" s="166" t="n">
        <v>13</v>
      </c>
      <c r="I85" s="167" t="n">
        <v>64.1</v>
      </c>
      <c r="J85" s="164" t="n">
        <v>1.149</v>
      </c>
      <c r="K85" s="164" t="n">
        <v>0.018</v>
      </c>
      <c r="L85" s="165" t="n">
        <v>3.9</v>
      </c>
      <c r="M85" s="166" t="n">
        <v>14</v>
      </c>
      <c r="N85" s="167" t="n">
        <v>235.9</v>
      </c>
      <c r="O85" s="164" t="n">
        <v>3.008</v>
      </c>
      <c r="P85" s="164" t="n">
        <v>0.013</v>
      </c>
      <c r="Q85" s="165" t="n">
        <v>25.9</v>
      </c>
      <c r="R85" s="134" t="s">
        <v>64</v>
      </c>
      <c r="S85" s="134" t="s">
        <v>76</v>
      </c>
      <c r="T85" s="134" t="s">
        <v>72</v>
      </c>
      <c r="U85" s="166" t="n">
        <v>177</v>
      </c>
      <c r="V85" s="165" t="n">
        <v>5.9</v>
      </c>
      <c r="W85" s="165" t="s">
        <v>67</v>
      </c>
      <c r="X85" s="134" t="n">
        <v>5</v>
      </c>
      <c r="Y85" s="168" t="s">
        <v>77</v>
      </c>
    </row>
    <row r="86" customFormat="false" ht="15" hidden="false" customHeight="false" outlineLevel="0" collapsed="false">
      <c r="A86" s="163" t="n">
        <v>7</v>
      </c>
      <c r="B86" s="134" t="s">
        <v>74</v>
      </c>
      <c r="C86" s="134" t="s">
        <v>432</v>
      </c>
      <c r="D86" s="164" t="n">
        <v>8.964</v>
      </c>
      <c r="E86" s="164" t="n">
        <v>0.03</v>
      </c>
      <c r="F86" s="164" t="n">
        <v>0.285</v>
      </c>
      <c r="G86" s="165" t="n">
        <v>23.5</v>
      </c>
      <c r="H86" s="166" t="n">
        <v>22</v>
      </c>
      <c r="I86" s="167" t="n">
        <v>16.5</v>
      </c>
      <c r="J86" s="164" t="n">
        <v>1.242</v>
      </c>
      <c r="K86" s="164" t="n">
        <v>0.075</v>
      </c>
      <c r="L86" s="165" t="n">
        <v>0</v>
      </c>
      <c r="M86" s="166" t="n">
        <v>23</v>
      </c>
      <c r="N86" s="167" t="n">
        <v>283.5</v>
      </c>
      <c r="O86" s="164" t="n">
        <v>7.722</v>
      </c>
      <c r="P86" s="164" t="n">
        <v>0.027</v>
      </c>
      <c r="Q86" s="165" t="n">
        <v>23.5</v>
      </c>
      <c r="R86" s="134" t="s">
        <v>71</v>
      </c>
      <c r="S86" s="134" t="s">
        <v>76</v>
      </c>
      <c r="T86" s="134" t="s">
        <v>72</v>
      </c>
      <c r="U86" s="166" t="n">
        <v>177</v>
      </c>
      <c r="V86" s="165" t="n">
        <v>5.9</v>
      </c>
      <c r="W86" s="165" t="s">
        <v>67</v>
      </c>
      <c r="X86" s="134" t="n">
        <v>5</v>
      </c>
      <c r="Y86" s="168"/>
    </row>
    <row r="87" customFormat="false" ht="15" hidden="false" customHeight="false" outlineLevel="0" collapsed="false">
      <c r="A87" s="163" t="n">
        <v>11</v>
      </c>
      <c r="B87" s="134" t="s">
        <v>74</v>
      </c>
      <c r="C87" s="134" t="s">
        <v>432</v>
      </c>
      <c r="D87" s="164" t="n">
        <v>5.434</v>
      </c>
      <c r="E87" s="164" t="n">
        <v>0.018</v>
      </c>
      <c r="F87" s="164" t="n">
        <v>0.213</v>
      </c>
      <c r="G87" s="165" t="n">
        <v>25.6</v>
      </c>
      <c r="H87" s="166" t="n">
        <v>6</v>
      </c>
      <c r="I87" s="167" t="n">
        <v>63.1</v>
      </c>
      <c r="J87" s="164" t="n">
        <v>0.772</v>
      </c>
      <c r="K87" s="164" t="n">
        <v>0.012</v>
      </c>
      <c r="L87" s="165" t="n">
        <v>8.3</v>
      </c>
      <c r="M87" s="166" t="n">
        <v>7</v>
      </c>
      <c r="N87" s="167" t="n">
        <v>236.9</v>
      </c>
      <c r="O87" s="164" t="n">
        <v>4.662</v>
      </c>
      <c r="P87" s="164" t="n">
        <v>0.02</v>
      </c>
      <c r="Q87" s="165" t="n">
        <v>17.3</v>
      </c>
      <c r="R87" s="134" t="s">
        <v>71</v>
      </c>
      <c r="S87" s="134" t="s">
        <v>76</v>
      </c>
      <c r="T87" s="134" t="s">
        <v>72</v>
      </c>
      <c r="U87" s="166" t="n">
        <v>177</v>
      </c>
      <c r="V87" s="165" t="n">
        <v>5.9</v>
      </c>
      <c r="W87" s="165" t="s">
        <v>67</v>
      </c>
      <c r="X87" s="134" t="n">
        <v>5</v>
      </c>
      <c r="Y87" s="168" t="s">
        <v>101</v>
      </c>
    </row>
    <row r="88" customFormat="false" ht="15" hidden="false" customHeight="false" outlineLevel="0" collapsed="false">
      <c r="A88" s="169" t="n">
        <v>21</v>
      </c>
      <c r="B88" s="170" t="s">
        <v>79</v>
      </c>
      <c r="C88" s="170" t="s">
        <v>432</v>
      </c>
      <c r="D88" s="171" t="n">
        <v>10.236</v>
      </c>
      <c r="E88" s="171" t="n">
        <v>0.034</v>
      </c>
      <c r="F88" s="171" t="n">
        <v>0.287</v>
      </c>
      <c r="G88" s="172" t="n">
        <v>37.9</v>
      </c>
      <c r="H88" s="173" t="n">
        <v>14</v>
      </c>
      <c r="I88" s="167" t="n">
        <v>17.9</v>
      </c>
      <c r="J88" s="171" t="n">
        <v>1.868</v>
      </c>
      <c r="K88" s="171" t="n">
        <v>0.104</v>
      </c>
      <c r="L88" s="172" t="n">
        <v>0</v>
      </c>
      <c r="M88" s="173" t="n">
        <v>15</v>
      </c>
      <c r="N88" s="167" t="n">
        <v>282.1</v>
      </c>
      <c r="O88" s="171" t="n">
        <v>8.368</v>
      </c>
      <c r="P88" s="171" t="n">
        <v>0.03</v>
      </c>
      <c r="Q88" s="172" t="n">
        <v>37.9</v>
      </c>
      <c r="R88" s="170" t="s">
        <v>71</v>
      </c>
      <c r="S88" s="170" t="s">
        <v>76</v>
      </c>
      <c r="T88" s="170" t="s">
        <v>72</v>
      </c>
      <c r="U88" s="173" t="n">
        <v>159</v>
      </c>
      <c r="V88" s="172" t="n">
        <v>5.3</v>
      </c>
      <c r="W88" s="170" t="s">
        <v>67</v>
      </c>
      <c r="X88" s="170" t="n">
        <v>5</v>
      </c>
      <c r="Y88" s="174"/>
    </row>
    <row r="89" customFormat="false" ht="15" hidden="false" customHeight="false" outlineLevel="0" collapsed="false">
      <c r="A89" s="163" t="n">
        <v>24</v>
      </c>
      <c r="B89" s="134" t="s">
        <v>69</v>
      </c>
      <c r="C89" s="134" t="s">
        <v>432</v>
      </c>
      <c r="D89" s="164" t="n">
        <v>4.836</v>
      </c>
      <c r="E89" s="164" t="n">
        <v>0.016</v>
      </c>
      <c r="F89" s="164" t="n">
        <v>0.224</v>
      </c>
      <c r="G89" s="165" t="n">
        <v>96.8</v>
      </c>
      <c r="H89" s="166" t="n">
        <v>5</v>
      </c>
      <c r="I89" s="167" t="n">
        <v>7.9</v>
      </c>
      <c r="J89" s="164" t="n">
        <v>0.631</v>
      </c>
      <c r="K89" s="164" t="n">
        <v>0.079</v>
      </c>
      <c r="L89" s="165" t="n">
        <v>0</v>
      </c>
      <c r="M89" s="166" t="n">
        <v>6</v>
      </c>
      <c r="N89" s="167" t="n">
        <v>292.1</v>
      </c>
      <c r="O89" s="164" t="n">
        <v>4.205</v>
      </c>
      <c r="P89" s="164" t="n">
        <v>0.014</v>
      </c>
      <c r="Q89" s="165" t="n">
        <v>96.8</v>
      </c>
      <c r="R89" s="134" t="s">
        <v>64</v>
      </c>
      <c r="S89" s="134" t="s">
        <v>76</v>
      </c>
      <c r="T89" s="134" t="s">
        <v>72</v>
      </c>
      <c r="U89" s="166" t="n">
        <v>151</v>
      </c>
      <c r="V89" s="165" t="n">
        <v>5</v>
      </c>
      <c r="W89" s="134" t="s">
        <v>67</v>
      </c>
      <c r="X89" s="134" t="n">
        <v>5</v>
      </c>
      <c r="Y89" s="168"/>
    </row>
    <row r="90" customFormat="false" ht="15" hidden="false" customHeight="false" outlineLevel="0" collapsed="false">
      <c r="A90" s="163" t="n">
        <v>28</v>
      </c>
      <c r="B90" s="134" t="s">
        <v>60</v>
      </c>
      <c r="C90" s="134" t="s">
        <v>432</v>
      </c>
      <c r="D90" s="164" t="n">
        <v>3.383</v>
      </c>
      <c r="E90" s="164" t="n">
        <v>0.011</v>
      </c>
      <c r="F90" s="164" t="n">
        <v>0.277</v>
      </c>
      <c r="G90" s="165" t="n">
        <v>143.6</v>
      </c>
      <c r="H90" s="166" t="n">
        <v>3</v>
      </c>
      <c r="I90" s="167" t="n">
        <v>2.3</v>
      </c>
      <c r="J90" s="164" t="n">
        <v>0.647</v>
      </c>
      <c r="K90" s="164" t="n">
        <v>0.277</v>
      </c>
      <c r="L90" s="165" t="n">
        <v>0</v>
      </c>
      <c r="M90" s="166" t="n">
        <v>4</v>
      </c>
      <c r="N90" s="167" t="n">
        <v>297.7</v>
      </c>
      <c r="O90" s="164" t="n">
        <v>2.736</v>
      </c>
      <c r="P90" s="164" t="n">
        <v>0.009</v>
      </c>
      <c r="Q90" s="165" t="n">
        <v>143.6</v>
      </c>
      <c r="R90" s="134" t="s">
        <v>64</v>
      </c>
      <c r="S90" s="134" t="s">
        <v>76</v>
      </c>
      <c r="T90" s="134" t="s">
        <v>72</v>
      </c>
      <c r="U90" s="166" t="n">
        <v>151</v>
      </c>
      <c r="V90" s="165" t="n">
        <v>5</v>
      </c>
      <c r="W90" s="134" t="s">
        <v>67</v>
      </c>
      <c r="X90" s="134" t="n">
        <v>5</v>
      </c>
      <c r="Y90" s="168" t="s">
        <v>141</v>
      </c>
    </row>
    <row r="91" customFormat="false" ht="15" hidden="false" customHeight="false" outlineLevel="0" collapsed="false">
      <c r="A91" s="163" t="n">
        <v>33</v>
      </c>
      <c r="B91" s="134" t="s">
        <v>69</v>
      </c>
      <c r="C91" s="134" t="s">
        <v>432</v>
      </c>
      <c r="D91" s="164" t="n">
        <v>5.975</v>
      </c>
      <c r="E91" s="164" t="n">
        <v>0.02</v>
      </c>
      <c r="F91" s="164" t="n">
        <v>0.235</v>
      </c>
      <c r="G91" s="165" t="n">
        <v>63.5</v>
      </c>
      <c r="H91" s="166" t="n">
        <v>7</v>
      </c>
      <c r="I91" s="167" t="n">
        <v>27.3</v>
      </c>
      <c r="J91" s="164" t="n">
        <v>1.21</v>
      </c>
      <c r="K91" s="164" t="n">
        <v>0.044</v>
      </c>
      <c r="L91" s="165" t="n">
        <v>3.3</v>
      </c>
      <c r="M91" s="166" t="n">
        <v>8</v>
      </c>
      <c r="N91" s="167" t="n">
        <v>272.7</v>
      </c>
      <c r="O91" s="164" t="n">
        <v>4.764</v>
      </c>
      <c r="P91" s="164" t="n">
        <v>0.017</v>
      </c>
      <c r="Q91" s="165" t="n">
        <v>60.2</v>
      </c>
      <c r="R91" s="134" t="s">
        <v>71</v>
      </c>
      <c r="S91" s="134" t="s">
        <v>76</v>
      </c>
      <c r="T91" s="134" t="s">
        <v>72</v>
      </c>
      <c r="U91" s="166" t="n">
        <v>151</v>
      </c>
      <c r="V91" s="165" t="n">
        <v>5</v>
      </c>
      <c r="W91" s="134" t="s">
        <v>67</v>
      </c>
      <c r="X91" s="134" t="n">
        <v>5</v>
      </c>
      <c r="Y91" s="168" t="s">
        <v>154</v>
      </c>
    </row>
    <row r="92" customFormat="false" ht="16" hidden="false" customHeight="false" outlineLevel="0" collapsed="false">
      <c r="A92" s="163" t="n">
        <v>44</v>
      </c>
      <c r="B92" s="134" t="s">
        <v>60</v>
      </c>
      <c r="C92" s="134" t="s">
        <v>432</v>
      </c>
      <c r="D92" s="164" t="n">
        <v>14.189</v>
      </c>
      <c r="E92" s="164" t="n">
        <v>0.047</v>
      </c>
      <c r="F92" s="164" t="n">
        <v>0.284</v>
      </c>
      <c r="G92" s="165" t="n">
        <v>15</v>
      </c>
      <c r="H92" s="166" t="n">
        <v>22</v>
      </c>
      <c r="I92" s="167" t="n">
        <v>46.1</v>
      </c>
      <c r="J92" s="164" t="n">
        <v>2.343</v>
      </c>
      <c r="K92" s="164" t="n">
        <v>0.051</v>
      </c>
      <c r="L92" s="165" t="n">
        <v>2.2</v>
      </c>
      <c r="M92" s="166" t="n">
        <v>23</v>
      </c>
      <c r="N92" s="167" t="n">
        <v>253.9</v>
      </c>
      <c r="O92" s="164" t="n">
        <v>11.846</v>
      </c>
      <c r="P92" s="164" t="n">
        <v>0.047</v>
      </c>
      <c r="Q92" s="165" t="n">
        <v>12.8</v>
      </c>
      <c r="R92" s="134" t="s">
        <v>71</v>
      </c>
      <c r="S92" s="134" t="s">
        <v>76</v>
      </c>
      <c r="T92" s="134" t="s">
        <v>72</v>
      </c>
      <c r="U92" s="166" t="n">
        <v>125</v>
      </c>
      <c r="V92" s="165" t="n">
        <v>4.2</v>
      </c>
      <c r="W92" s="165" t="s">
        <v>67</v>
      </c>
      <c r="X92" s="134" t="n">
        <v>5</v>
      </c>
      <c r="Y92" s="168"/>
    </row>
    <row r="93" customFormat="false" ht="16" hidden="false" customHeight="false" outlineLevel="0" collapsed="false">
      <c r="A93" s="141" t="s">
        <v>504</v>
      </c>
      <c r="B93" s="142"/>
      <c r="C93" s="142"/>
      <c r="D93" s="143" t="n">
        <f aca="false">AVERAGE(D85:D92)</f>
        <v>7.14675</v>
      </c>
      <c r="E93" s="144"/>
      <c r="F93" s="144"/>
      <c r="G93" s="145"/>
      <c r="H93" s="144"/>
      <c r="I93" s="146" t="n">
        <f aca="false">AVERAGE(I85:I92)</f>
        <v>30.65</v>
      </c>
      <c r="J93" s="147"/>
      <c r="K93" s="147"/>
      <c r="L93" s="147"/>
      <c r="M93" s="147"/>
      <c r="N93" s="146" t="n">
        <f aca="false">AVERAGE(N85:N92)</f>
        <v>269.35</v>
      </c>
      <c r="O93" s="147"/>
      <c r="P93" s="147"/>
      <c r="Q93" s="147"/>
      <c r="R93" s="147"/>
      <c r="S93" s="147"/>
      <c r="T93" s="147"/>
      <c r="U93" s="148"/>
      <c r="V93" s="149"/>
      <c r="W93" s="147"/>
      <c r="X93" s="147"/>
      <c r="Y93" s="147"/>
    </row>
    <row r="96" customFormat="false" ht="13" hidden="false" customHeight="false" outlineLevel="0" collapsed="false">
      <c r="A96" s="113" t="s">
        <v>513</v>
      </c>
    </row>
    <row r="97" customFormat="false" ht="15" hidden="false" customHeight="false" outlineLevel="0" collapsed="false">
      <c r="A97" s="117" t="s">
        <v>1</v>
      </c>
      <c r="B97" s="118" t="s">
        <v>3</v>
      </c>
      <c r="C97" s="118" t="s">
        <v>4</v>
      </c>
      <c r="D97" s="119" t="s">
        <v>8</v>
      </c>
      <c r="E97" s="119" t="s">
        <v>9</v>
      </c>
      <c r="F97" s="119" t="s">
        <v>10</v>
      </c>
      <c r="G97" s="120" t="s">
        <v>11</v>
      </c>
      <c r="H97" s="121" t="s">
        <v>30</v>
      </c>
      <c r="I97" s="122" t="s">
        <v>31</v>
      </c>
      <c r="J97" s="119" t="s">
        <v>32</v>
      </c>
      <c r="K97" s="119" t="s">
        <v>33</v>
      </c>
      <c r="L97" s="120" t="s">
        <v>34</v>
      </c>
      <c r="M97" s="121" t="s">
        <v>35</v>
      </c>
      <c r="N97" s="122" t="s">
        <v>36</v>
      </c>
      <c r="O97" s="119" t="s">
        <v>37</v>
      </c>
      <c r="P97" s="119" t="s">
        <v>38</v>
      </c>
      <c r="Q97" s="120" t="s">
        <v>39</v>
      </c>
      <c r="R97" s="123" t="s">
        <v>50</v>
      </c>
      <c r="S97" s="123" t="s">
        <v>51</v>
      </c>
      <c r="T97" s="123" t="s">
        <v>493</v>
      </c>
      <c r="U97" s="123" t="s">
        <v>53</v>
      </c>
      <c r="V97" s="123" t="s">
        <v>54</v>
      </c>
      <c r="W97" s="123" t="s">
        <v>55</v>
      </c>
      <c r="X97" s="123" t="s">
        <v>56</v>
      </c>
      <c r="Y97" s="124" t="s">
        <v>57</v>
      </c>
    </row>
    <row r="98" customFormat="false" ht="15" hidden="false" customHeight="false" outlineLevel="0" collapsed="false">
      <c r="A98" s="128" t="n">
        <v>10</v>
      </c>
      <c r="B98" s="129" t="s">
        <v>69</v>
      </c>
      <c r="C98" s="129" t="s">
        <v>251</v>
      </c>
      <c r="D98" s="130" t="n">
        <v>11.738</v>
      </c>
      <c r="E98" s="130" t="n">
        <v>0.039</v>
      </c>
      <c r="F98" s="130" t="n">
        <v>0.211</v>
      </c>
      <c r="G98" s="131" t="n">
        <v>29.9</v>
      </c>
      <c r="H98" s="132" t="n">
        <v>21</v>
      </c>
      <c r="I98" s="133" t="n">
        <v>51.8</v>
      </c>
      <c r="J98" s="130" t="n">
        <v>2.159</v>
      </c>
      <c r="K98" s="130" t="n">
        <v>0.042</v>
      </c>
      <c r="L98" s="131" t="n">
        <v>7.1</v>
      </c>
      <c r="M98" s="132" t="n">
        <v>21</v>
      </c>
      <c r="N98" s="133" t="n">
        <v>248.2</v>
      </c>
      <c r="O98" s="130" t="n">
        <v>9.579</v>
      </c>
      <c r="P98" s="130" t="n">
        <v>0.039</v>
      </c>
      <c r="Q98" s="131" t="n">
        <v>22.8</v>
      </c>
      <c r="R98" s="134" t="s">
        <v>71</v>
      </c>
      <c r="S98" s="134" t="s">
        <v>76</v>
      </c>
      <c r="T98" s="132" t="s">
        <v>72</v>
      </c>
      <c r="U98" s="132" t="n">
        <v>94</v>
      </c>
      <c r="V98" s="131" t="n">
        <v>3.1</v>
      </c>
      <c r="W98" s="132" t="s">
        <v>81</v>
      </c>
      <c r="X98" s="132" t="n">
        <v>6</v>
      </c>
      <c r="Y98" s="135" t="s">
        <v>98</v>
      </c>
    </row>
    <row r="99" customFormat="false" ht="15" hidden="false" customHeight="false" outlineLevel="0" collapsed="false">
      <c r="A99" s="175" t="n">
        <v>12</v>
      </c>
      <c r="B99" s="176" t="s">
        <v>79</v>
      </c>
      <c r="C99" s="176" t="s">
        <v>251</v>
      </c>
      <c r="D99" s="177" t="n">
        <v>7.094</v>
      </c>
      <c r="E99" s="177" t="n">
        <v>0.024</v>
      </c>
      <c r="F99" s="177" t="n">
        <v>0.269</v>
      </c>
      <c r="G99" s="178" t="n">
        <v>95.1</v>
      </c>
      <c r="H99" s="179" t="n">
        <v>13</v>
      </c>
      <c r="I99" s="133" t="n">
        <v>78.1</v>
      </c>
      <c r="J99" s="177" t="n">
        <v>2.072</v>
      </c>
      <c r="K99" s="177" t="n">
        <v>0.027</v>
      </c>
      <c r="L99" s="178" t="n">
        <v>31.7</v>
      </c>
      <c r="M99" s="179" t="n">
        <v>13</v>
      </c>
      <c r="N99" s="133" t="n">
        <v>221.9</v>
      </c>
      <c r="O99" s="177" t="n">
        <v>5.022</v>
      </c>
      <c r="P99" s="177" t="n">
        <v>0.023</v>
      </c>
      <c r="Q99" s="178" t="n">
        <v>63.3</v>
      </c>
      <c r="R99" s="170" t="s">
        <v>71</v>
      </c>
      <c r="S99" s="170" t="s">
        <v>76</v>
      </c>
      <c r="T99" s="179" t="s">
        <v>72</v>
      </c>
      <c r="U99" s="179" t="n">
        <v>94</v>
      </c>
      <c r="V99" s="178" t="n">
        <v>3.1</v>
      </c>
      <c r="W99" s="179" t="s">
        <v>81</v>
      </c>
      <c r="X99" s="179" t="n">
        <v>6</v>
      </c>
      <c r="Y99" s="180"/>
    </row>
    <row r="100" customFormat="false" ht="15" hidden="false" customHeight="false" outlineLevel="0" collapsed="false">
      <c r="A100" s="128" t="n">
        <v>23</v>
      </c>
      <c r="B100" s="129" t="s">
        <v>74</v>
      </c>
      <c r="C100" s="129" t="s">
        <v>251</v>
      </c>
      <c r="D100" s="130" t="n">
        <v>10.277</v>
      </c>
      <c r="E100" s="130" t="n">
        <v>0.034</v>
      </c>
      <c r="F100" s="130" t="n">
        <v>0.205</v>
      </c>
      <c r="G100" s="131" t="n">
        <v>38.6</v>
      </c>
      <c r="H100" s="132" t="n">
        <v>10</v>
      </c>
      <c r="I100" s="133" t="n">
        <v>65.5</v>
      </c>
      <c r="J100" s="130" t="n">
        <v>1.947</v>
      </c>
      <c r="K100" s="130" t="n">
        <v>0.03</v>
      </c>
      <c r="L100" s="131" t="n">
        <v>7.9</v>
      </c>
      <c r="M100" s="132" t="n">
        <v>11</v>
      </c>
      <c r="N100" s="133" t="n">
        <v>234.5</v>
      </c>
      <c r="O100" s="130" t="n">
        <v>8.33</v>
      </c>
      <c r="P100" s="130" t="n">
        <v>0.036</v>
      </c>
      <c r="Q100" s="131" t="n">
        <v>30.8</v>
      </c>
      <c r="R100" s="129" t="s">
        <v>64</v>
      </c>
      <c r="S100" s="129" t="s">
        <v>76</v>
      </c>
      <c r="T100" s="132" t="s">
        <v>72</v>
      </c>
      <c r="U100" s="132" t="n">
        <v>68</v>
      </c>
      <c r="V100" s="132" t="n">
        <v>2</v>
      </c>
      <c r="W100" s="132" t="s">
        <v>81</v>
      </c>
      <c r="X100" s="132" t="n">
        <v>6</v>
      </c>
      <c r="Y100" s="135"/>
    </row>
    <row r="101" customFormat="false" ht="15" hidden="false" customHeight="false" outlineLevel="0" collapsed="false">
      <c r="A101" s="175" t="n">
        <v>26</v>
      </c>
      <c r="B101" s="176" t="s">
        <v>69</v>
      </c>
      <c r="C101" s="176" t="s">
        <v>251</v>
      </c>
      <c r="D101" s="177" t="n">
        <v>17.007</v>
      </c>
      <c r="E101" s="177" t="n">
        <v>0.057</v>
      </c>
      <c r="F101" s="177" t="n">
        <v>1.105</v>
      </c>
      <c r="G101" s="178" t="n">
        <v>23.1</v>
      </c>
      <c r="H101" s="179" t="n">
        <v>21</v>
      </c>
      <c r="I101" s="133" t="n">
        <v>32.8</v>
      </c>
      <c r="J101" s="177" t="n">
        <v>3.062</v>
      </c>
      <c r="K101" s="177" t="n">
        <v>0.093</v>
      </c>
      <c r="L101" s="178" t="n">
        <v>1.9</v>
      </c>
      <c r="M101" s="179" t="n">
        <v>22</v>
      </c>
      <c r="N101" s="133" t="n">
        <v>267.2</v>
      </c>
      <c r="O101" s="177" t="n">
        <v>13.945</v>
      </c>
      <c r="P101" s="177" t="n">
        <v>0.052</v>
      </c>
      <c r="Q101" s="178" t="n">
        <v>21.2</v>
      </c>
      <c r="R101" s="176" t="s">
        <v>64</v>
      </c>
      <c r="S101" s="176" t="s">
        <v>76</v>
      </c>
      <c r="T101" s="179" t="s">
        <v>72</v>
      </c>
      <c r="U101" s="179" t="n">
        <v>68</v>
      </c>
      <c r="V101" s="179" t="n">
        <v>2</v>
      </c>
      <c r="W101" s="179" t="s">
        <v>81</v>
      </c>
      <c r="X101" s="179" t="n">
        <v>6</v>
      </c>
      <c r="Y101" s="180"/>
    </row>
    <row r="102" customFormat="false" ht="16" hidden="false" customHeight="false" outlineLevel="0" collapsed="false">
      <c r="A102" s="128" t="n">
        <v>30</v>
      </c>
      <c r="B102" s="129" t="s">
        <v>69</v>
      </c>
      <c r="C102" s="129" t="s">
        <v>251</v>
      </c>
      <c r="D102" s="130" t="n">
        <v>19.701</v>
      </c>
      <c r="E102" s="130" t="n">
        <v>0.066</v>
      </c>
      <c r="F102" s="130" t="n">
        <v>0.341</v>
      </c>
      <c r="G102" s="131" t="n">
        <v>3.6</v>
      </c>
      <c r="H102" s="132" t="n">
        <v>31</v>
      </c>
      <c r="I102" s="133" t="n">
        <v>45.3</v>
      </c>
      <c r="J102" s="130" t="n">
        <v>4.655</v>
      </c>
      <c r="K102" s="130" t="n">
        <v>0.103</v>
      </c>
      <c r="L102" s="131" t="n">
        <v>0</v>
      </c>
      <c r="M102" s="132" t="n">
        <v>32</v>
      </c>
      <c r="N102" s="133" t="n">
        <v>254.7</v>
      </c>
      <c r="O102" s="130" t="n">
        <v>15.046</v>
      </c>
      <c r="P102" s="130" t="n">
        <v>0.059</v>
      </c>
      <c r="Q102" s="131" t="n">
        <v>3.6</v>
      </c>
      <c r="R102" s="129" t="s">
        <v>71</v>
      </c>
      <c r="S102" s="129" t="s">
        <v>76</v>
      </c>
      <c r="T102" s="132" t="s">
        <v>72</v>
      </c>
      <c r="U102" s="132" t="n">
        <v>68</v>
      </c>
      <c r="V102" s="132" t="n">
        <v>2</v>
      </c>
      <c r="W102" s="132" t="s">
        <v>81</v>
      </c>
      <c r="X102" s="132" t="n">
        <v>6</v>
      </c>
      <c r="Y102" s="135"/>
    </row>
    <row r="103" customFormat="false" ht="16" hidden="false" customHeight="false" outlineLevel="0" collapsed="false">
      <c r="A103" s="141" t="s">
        <v>504</v>
      </c>
      <c r="B103" s="142"/>
      <c r="C103" s="142"/>
      <c r="D103" s="143" t="n">
        <f aca="false">AVERAGE(D98:D102)</f>
        <v>13.1634</v>
      </c>
      <c r="E103" s="144"/>
      <c r="F103" s="144"/>
      <c r="G103" s="145"/>
      <c r="H103" s="144"/>
      <c r="I103" s="146" t="n">
        <f aca="false">AVERAGE(I98:I102)</f>
        <v>54.7</v>
      </c>
      <c r="J103" s="147"/>
      <c r="K103" s="147"/>
      <c r="L103" s="147"/>
      <c r="M103" s="147"/>
      <c r="N103" s="146" t="n">
        <f aca="false">AVERAGE(N98:N102)</f>
        <v>245.3</v>
      </c>
      <c r="O103" s="147"/>
      <c r="P103" s="147"/>
      <c r="Q103" s="147"/>
      <c r="R103" s="147"/>
      <c r="S103" s="147"/>
      <c r="T103" s="147"/>
      <c r="U103" s="148"/>
      <c r="V103" s="149"/>
      <c r="W103" s="147"/>
      <c r="X103" s="147"/>
      <c r="Y103" s="147"/>
    </row>
    <row r="104" customFormat="false" ht="13" hidden="false" customHeight="false" outlineLevel="0" collapsed="false">
      <c r="A104" s="113"/>
      <c r="B104" s="113"/>
      <c r="C104" s="113"/>
      <c r="D104" s="113"/>
      <c r="E104" s="113"/>
      <c r="F104" s="113"/>
      <c r="G104" s="113"/>
      <c r="H104" s="113"/>
      <c r="I104" s="152"/>
      <c r="J104" s="113"/>
      <c r="K104" s="113"/>
      <c r="L104" s="113"/>
      <c r="M104" s="113"/>
      <c r="N104" s="152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</row>
    <row r="105" customFormat="false" ht="13" hidden="false" customHeight="false" outlineLevel="0" collapsed="false">
      <c r="A105" s="113"/>
      <c r="B105" s="113"/>
      <c r="C105" s="113"/>
      <c r="D105" s="113"/>
      <c r="E105" s="113"/>
      <c r="F105" s="113"/>
      <c r="G105" s="113"/>
      <c r="H105" s="113"/>
      <c r="I105" s="152"/>
      <c r="J105" s="113"/>
      <c r="K105" s="113"/>
      <c r="L105" s="113"/>
      <c r="M105" s="113"/>
      <c r="N105" s="152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</row>
    <row r="106" customFormat="false" ht="15" hidden="false" customHeight="false" outlineLevel="0" collapsed="false">
      <c r="A106" s="158" t="s">
        <v>1</v>
      </c>
      <c r="B106" s="123" t="s">
        <v>3</v>
      </c>
      <c r="C106" s="123" t="s">
        <v>4</v>
      </c>
      <c r="D106" s="159" t="s">
        <v>8</v>
      </c>
      <c r="E106" s="159" t="s">
        <v>9</v>
      </c>
      <c r="F106" s="159" t="s">
        <v>10</v>
      </c>
      <c r="G106" s="160" t="s">
        <v>11</v>
      </c>
      <c r="H106" s="161" t="s">
        <v>30</v>
      </c>
      <c r="I106" s="162" t="s">
        <v>31</v>
      </c>
      <c r="J106" s="159" t="s">
        <v>32</v>
      </c>
      <c r="K106" s="159" t="s">
        <v>33</v>
      </c>
      <c r="L106" s="160" t="s">
        <v>34</v>
      </c>
      <c r="M106" s="161" t="s">
        <v>35</v>
      </c>
      <c r="N106" s="162" t="s">
        <v>36</v>
      </c>
      <c r="O106" s="159" t="s">
        <v>37</v>
      </c>
      <c r="P106" s="159" t="s">
        <v>38</v>
      </c>
      <c r="Q106" s="160" t="s">
        <v>39</v>
      </c>
      <c r="R106" s="161" t="s">
        <v>50</v>
      </c>
      <c r="S106" s="123" t="s">
        <v>51</v>
      </c>
      <c r="T106" s="123" t="s">
        <v>493</v>
      </c>
      <c r="U106" s="161" t="s">
        <v>53</v>
      </c>
      <c r="V106" s="160" t="s">
        <v>54</v>
      </c>
      <c r="W106" s="123" t="s">
        <v>55</v>
      </c>
      <c r="X106" s="123" t="s">
        <v>56</v>
      </c>
      <c r="Y106" s="124" t="s">
        <v>57</v>
      </c>
    </row>
    <row r="107" customFormat="false" ht="15" hidden="false" customHeight="false" outlineLevel="0" collapsed="false">
      <c r="A107" s="181" t="n">
        <v>10</v>
      </c>
      <c r="B107" s="182" t="s">
        <v>69</v>
      </c>
      <c r="C107" s="182" t="s">
        <v>432</v>
      </c>
      <c r="D107" s="183" t="n">
        <v>0</v>
      </c>
      <c r="E107" s="183" t="n">
        <v>0</v>
      </c>
      <c r="F107" s="183"/>
      <c r="G107" s="184" t="n">
        <v>28.7</v>
      </c>
      <c r="H107" s="185" t="n">
        <v>1</v>
      </c>
      <c r="I107" s="167" t="n">
        <v>300</v>
      </c>
      <c r="J107" s="183" t="n">
        <v>0</v>
      </c>
      <c r="K107" s="183" t="n">
        <v>0</v>
      </c>
      <c r="L107" s="184" t="n">
        <v>28.7</v>
      </c>
      <c r="M107" s="185" t="n">
        <v>0</v>
      </c>
      <c r="N107" s="167" t="n">
        <v>0</v>
      </c>
      <c r="O107" s="183" t="n">
        <v>0</v>
      </c>
      <c r="P107" s="183"/>
      <c r="Q107" s="184" t="n">
        <v>0</v>
      </c>
      <c r="R107" s="182" t="s">
        <v>71</v>
      </c>
      <c r="S107" s="182" t="s">
        <v>76</v>
      </c>
      <c r="T107" s="182" t="s">
        <v>72</v>
      </c>
      <c r="U107" s="185" t="n">
        <v>177</v>
      </c>
      <c r="V107" s="184" t="n">
        <v>5.9</v>
      </c>
      <c r="W107" s="184" t="s">
        <v>81</v>
      </c>
      <c r="X107" s="182" t="n">
        <v>6</v>
      </c>
      <c r="Y107" s="186" t="s">
        <v>98</v>
      </c>
    </row>
    <row r="108" customFormat="false" ht="15" hidden="false" customHeight="false" outlineLevel="0" collapsed="false">
      <c r="A108" s="169" t="n">
        <v>12</v>
      </c>
      <c r="B108" s="170" t="s">
        <v>79</v>
      </c>
      <c r="C108" s="170" t="s">
        <v>432</v>
      </c>
      <c r="D108" s="171" t="n">
        <v>6.367</v>
      </c>
      <c r="E108" s="171" t="n">
        <v>0.021</v>
      </c>
      <c r="F108" s="171" t="n">
        <v>0.247</v>
      </c>
      <c r="G108" s="172" t="n">
        <v>89.4</v>
      </c>
      <c r="H108" s="173" t="n">
        <v>7</v>
      </c>
      <c r="I108" s="167" t="n">
        <v>82.2</v>
      </c>
      <c r="J108" s="171" t="n">
        <v>0.995</v>
      </c>
      <c r="K108" s="171" t="n">
        <v>0.012</v>
      </c>
      <c r="L108" s="172" t="n">
        <v>39.5</v>
      </c>
      <c r="M108" s="173" t="n">
        <v>8</v>
      </c>
      <c r="N108" s="167" t="n">
        <v>217.8</v>
      </c>
      <c r="O108" s="171" t="n">
        <v>5.372</v>
      </c>
      <c r="P108" s="171" t="n">
        <v>0.025</v>
      </c>
      <c r="Q108" s="172" t="n">
        <v>49.9</v>
      </c>
      <c r="R108" s="170" t="s">
        <v>71</v>
      </c>
      <c r="S108" s="170" t="s">
        <v>76</v>
      </c>
      <c r="T108" s="170" t="s">
        <v>72</v>
      </c>
      <c r="U108" s="173" t="n">
        <v>177</v>
      </c>
      <c r="V108" s="172" t="n">
        <v>5.9</v>
      </c>
      <c r="W108" s="172" t="s">
        <v>81</v>
      </c>
      <c r="X108" s="170" t="n">
        <v>6</v>
      </c>
      <c r="Y108" s="174"/>
    </row>
    <row r="109" customFormat="false" ht="15" hidden="false" customHeight="false" outlineLevel="0" collapsed="false">
      <c r="A109" s="163" t="n">
        <v>23</v>
      </c>
      <c r="B109" s="134" t="s">
        <v>60</v>
      </c>
      <c r="C109" s="134" t="s">
        <v>432</v>
      </c>
      <c r="D109" s="164" t="n">
        <v>8.587</v>
      </c>
      <c r="E109" s="164" t="n">
        <v>0.029</v>
      </c>
      <c r="F109" s="164" t="n">
        <v>0.237</v>
      </c>
      <c r="G109" s="165" t="n">
        <v>38.6</v>
      </c>
      <c r="H109" s="166" t="n">
        <v>13</v>
      </c>
      <c r="I109" s="167" t="n">
        <v>21.9</v>
      </c>
      <c r="J109" s="164" t="n">
        <v>1.487</v>
      </c>
      <c r="K109" s="164" t="n">
        <v>0.068</v>
      </c>
      <c r="L109" s="165" t="n">
        <v>0</v>
      </c>
      <c r="M109" s="166" t="n">
        <v>14</v>
      </c>
      <c r="N109" s="167" t="n">
        <v>278.1</v>
      </c>
      <c r="O109" s="164" t="n">
        <v>7.101</v>
      </c>
      <c r="P109" s="164" t="n">
        <v>0.026</v>
      </c>
      <c r="Q109" s="165" t="n">
        <v>38.6</v>
      </c>
      <c r="R109" s="134" t="s">
        <v>64</v>
      </c>
      <c r="S109" s="134" t="s">
        <v>76</v>
      </c>
      <c r="T109" s="134" t="s">
        <v>72</v>
      </c>
      <c r="U109" s="166" t="n">
        <v>151</v>
      </c>
      <c r="V109" s="165" t="n">
        <v>5</v>
      </c>
      <c r="W109" s="134" t="s">
        <v>81</v>
      </c>
      <c r="X109" s="134" t="n">
        <v>6</v>
      </c>
      <c r="Y109" s="168"/>
    </row>
    <row r="110" customFormat="false" ht="15" hidden="false" customHeight="false" outlineLevel="0" collapsed="false">
      <c r="A110" s="163" t="n">
        <v>26</v>
      </c>
      <c r="B110" s="134" t="s">
        <v>74</v>
      </c>
      <c r="C110" s="134" t="s">
        <v>432</v>
      </c>
      <c r="D110" s="164" t="n">
        <v>7.184</v>
      </c>
      <c r="E110" s="164" t="n">
        <v>0.024</v>
      </c>
      <c r="F110" s="164" t="n">
        <v>0.261</v>
      </c>
      <c r="G110" s="165" t="n">
        <v>21</v>
      </c>
      <c r="H110" s="166" t="n">
        <v>18</v>
      </c>
      <c r="I110" s="167" t="n">
        <v>42.8</v>
      </c>
      <c r="J110" s="164" t="n">
        <v>1.313</v>
      </c>
      <c r="K110" s="164" t="n">
        <v>0.031</v>
      </c>
      <c r="L110" s="165" t="n">
        <v>2.9</v>
      </c>
      <c r="M110" s="166" t="n">
        <v>18</v>
      </c>
      <c r="N110" s="167" t="n">
        <v>257.2</v>
      </c>
      <c r="O110" s="164" t="n">
        <v>5.871</v>
      </c>
      <c r="P110" s="164" t="n">
        <v>0.023</v>
      </c>
      <c r="Q110" s="165" t="n">
        <v>18.1</v>
      </c>
      <c r="R110" s="134" t="s">
        <v>64</v>
      </c>
      <c r="S110" s="134" t="s">
        <v>76</v>
      </c>
      <c r="T110" s="134" t="s">
        <v>72</v>
      </c>
      <c r="U110" s="166" t="n">
        <v>151</v>
      </c>
      <c r="V110" s="165" t="n">
        <v>5</v>
      </c>
      <c r="W110" s="134" t="s">
        <v>81</v>
      </c>
      <c r="X110" s="134" t="n">
        <v>6</v>
      </c>
      <c r="Y110" s="168"/>
    </row>
    <row r="111" customFormat="false" ht="16" hidden="false" customHeight="false" outlineLevel="0" collapsed="false">
      <c r="A111" s="163" t="n">
        <v>30</v>
      </c>
      <c r="B111" s="134" t="s">
        <v>74</v>
      </c>
      <c r="C111" s="134" t="s">
        <v>432</v>
      </c>
      <c r="D111" s="164" t="n">
        <v>4.312</v>
      </c>
      <c r="E111" s="164" t="n">
        <v>0.014</v>
      </c>
      <c r="F111" s="164" t="n">
        <v>0.192</v>
      </c>
      <c r="G111" s="165" t="n">
        <v>55.5</v>
      </c>
      <c r="H111" s="166" t="n">
        <v>5</v>
      </c>
      <c r="I111" s="167" t="n">
        <v>3.6</v>
      </c>
      <c r="J111" s="164" t="n">
        <v>0.407</v>
      </c>
      <c r="K111" s="164" t="n">
        <v>0.115</v>
      </c>
      <c r="L111" s="165" t="n">
        <v>0</v>
      </c>
      <c r="M111" s="166" t="n">
        <v>6</v>
      </c>
      <c r="N111" s="167" t="n">
        <v>296.4</v>
      </c>
      <c r="O111" s="164" t="n">
        <v>3.905</v>
      </c>
      <c r="P111" s="164" t="n">
        <v>0.013</v>
      </c>
      <c r="Q111" s="165" t="n">
        <v>55.5</v>
      </c>
      <c r="R111" s="134" t="s">
        <v>71</v>
      </c>
      <c r="S111" s="134" t="s">
        <v>76</v>
      </c>
      <c r="T111" s="134" t="s">
        <v>72</v>
      </c>
      <c r="U111" s="166" t="n">
        <v>151</v>
      </c>
      <c r="V111" s="165" t="n">
        <v>5</v>
      </c>
      <c r="W111" s="134" t="s">
        <v>81</v>
      </c>
      <c r="X111" s="134" t="n">
        <v>6</v>
      </c>
      <c r="Y111" s="168"/>
    </row>
    <row r="112" customFormat="false" ht="16" hidden="false" customHeight="false" outlineLevel="0" collapsed="false">
      <c r="A112" s="141" t="s">
        <v>504</v>
      </c>
      <c r="B112" s="142"/>
      <c r="C112" s="142"/>
      <c r="D112" s="143" t="n">
        <f aca="false">AVERAGE(D108:D111)</f>
        <v>6.6125</v>
      </c>
      <c r="E112" s="144"/>
      <c r="F112" s="144"/>
      <c r="G112" s="145"/>
      <c r="H112" s="144"/>
      <c r="I112" s="146" t="n">
        <f aca="false">AVERAGE(I107:I111)</f>
        <v>90.1</v>
      </c>
      <c r="J112" s="147"/>
      <c r="K112" s="147"/>
      <c r="L112" s="147"/>
      <c r="M112" s="147"/>
      <c r="N112" s="146" t="n">
        <f aca="false">AVERAGE(N107:N111)</f>
        <v>209.9</v>
      </c>
      <c r="O112" s="147"/>
      <c r="P112" s="147"/>
      <c r="Q112" s="147"/>
      <c r="R112" s="147"/>
      <c r="S112" s="147"/>
      <c r="T112" s="147"/>
      <c r="U112" s="148"/>
      <c r="V112" s="149"/>
      <c r="W112" s="147"/>
      <c r="X112" s="147"/>
      <c r="Y112" s="147"/>
    </row>
    <row r="116" customFormat="false" ht="13" hidden="false" customHeight="false" outlineLevel="0" collapsed="false">
      <c r="A116" s="113" t="s">
        <v>514</v>
      </c>
    </row>
    <row r="117" customFormat="false" ht="15" hidden="false" customHeight="false" outlineLevel="0" collapsed="false">
      <c r="A117" s="117" t="s">
        <v>1</v>
      </c>
      <c r="B117" s="118" t="s">
        <v>3</v>
      </c>
      <c r="C117" s="118" t="s">
        <v>4</v>
      </c>
      <c r="D117" s="119" t="s">
        <v>8</v>
      </c>
      <c r="E117" s="119" t="s">
        <v>9</v>
      </c>
      <c r="F117" s="119" t="s">
        <v>10</v>
      </c>
      <c r="G117" s="120" t="s">
        <v>11</v>
      </c>
      <c r="H117" s="121" t="s">
        <v>30</v>
      </c>
      <c r="I117" s="122" t="s">
        <v>31</v>
      </c>
      <c r="J117" s="119" t="s">
        <v>32</v>
      </c>
      <c r="K117" s="119" t="s">
        <v>33</v>
      </c>
      <c r="L117" s="120" t="s">
        <v>34</v>
      </c>
      <c r="M117" s="121" t="s">
        <v>35</v>
      </c>
      <c r="N117" s="122" t="s">
        <v>36</v>
      </c>
      <c r="O117" s="119" t="s">
        <v>37</v>
      </c>
      <c r="P117" s="119" t="s">
        <v>38</v>
      </c>
      <c r="Q117" s="120" t="s">
        <v>39</v>
      </c>
      <c r="R117" s="123" t="s">
        <v>50</v>
      </c>
      <c r="S117" s="123" t="s">
        <v>51</v>
      </c>
      <c r="T117" s="123" t="s">
        <v>493</v>
      </c>
      <c r="U117" s="123" t="s">
        <v>53</v>
      </c>
      <c r="V117" s="123" t="s">
        <v>54</v>
      </c>
      <c r="W117" s="123" t="s">
        <v>55</v>
      </c>
      <c r="X117" s="123" t="s">
        <v>56</v>
      </c>
      <c r="Y117" s="124" t="s">
        <v>57</v>
      </c>
    </row>
    <row r="118" customFormat="false" ht="15" hidden="false" customHeight="false" outlineLevel="0" collapsed="false">
      <c r="A118" s="128" t="n">
        <v>5</v>
      </c>
      <c r="B118" s="129" t="s">
        <v>60</v>
      </c>
      <c r="C118" s="129" t="s">
        <v>251</v>
      </c>
      <c r="D118" s="130" t="n">
        <v>10.15</v>
      </c>
      <c r="E118" s="130" t="n">
        <v>0.034</v>
      </c>
      <c r="F118" s="130" t="n">
        <v>0.251</v>
      </c>
      <c r="G118" s="131" t="n">
        <v>11.1</v>
      </c>
      <c r="H118" s="132" t="n">
        <v>24</v>
      </c>
      <c r="I118" s="133" t="n">
        <v>90.5</v>
      </c>
      <c r="J118" s="130" t="n">
        <v>3.287</v>
      </c>
      <c r="K118" s="130" t="n">
        <v>0.036</v>
      </c>
      <c r="L118" s="131" t="n">
        <v>2.5</v>
      </c>
      <c r="M118" s="132" t="n">
        <v>25</v>
      </c>
      <c r="N118" s="133" t="n">
        <v>209.5</v>
      </c>
      <c r="O118" s="130" t="n">
        <v>6.863</v>
      </c>
      <c r="P118" s="130" t="n">
        <v>0.033</v>
      </c>
      <c r="Q118" s="131" t="n">
        <v>8.6</v>
      </c>
      <c r="R118" s="134" t="s">
        <v>64</v>
      </c>
      <c r="S118" s="134" t="s">
        <v>76</v>
      </c>
      <c r="T118" s="132" t="s">
        <v>66</v>
      </c>
      <c r="U118" s="132" t="n">
        <v>94</v>
      </c>
      <c r="V118" s="131" t="n">
        <v>3.1</v>
      </c>
      <c r="W118" s="132" t="s">
        <v>67</v>
      </c>
      <c r="X118" s="132" t="n">
        <v>7</v>
      </c>
      <c r="Y118" s="135" t="s">
        <v>77</v>
      </c>
    </row>
    <row r="119" customFormat="false" ht="15" hidden="false" customHeight="false" outlineLevel="0" collapsed="false">
      <c r="A119" s="128" t="n">
        <v>9</v>
      </c>
      <c r="B119" s="129" t="s">
        <v>60</v>
      </c>
      <c r="C119" s="129" t="s">
        <v>251</v>
      </c>
      <c r="D119" s="130" t="n">
        <v>11.809</v>
      </c>
      <c r="E119" s="130" t="n">
        <v>0.039</v>
      </c>
      <c r="F119" s="130" t="n">
        <v>0.285</v>
      </c>
      <c r="G119" s="131" t="n">
        <v>20.5</v>
      </c>
      <c r="H119" s="132" t="n">
        <v>19</v>
      </c>
      <c r="I119" s="133" t="n">
        <v>23.4</v>
      </c>
      <c r="J119" s="130" t="n">
        <v>1.985</v>
      </c>
      <c r="K119" s="130" t="n">
        <v>0.085</v>
      </c>
      <c r="L119" s="131" t="n">
        <v>0</v>
      </c>
      <c r="M119" s="132" t="n">
        <v>20</v>
      </c>
      <c r="N119" s="133" t="n">
        <v>276.6</v>
      </c>
      <c r="O119" s="130" t="n">
        <v>9.823</v>
      </c>
      <c r="P119" s="130" t="n">
        <v>0.036</v>
      </c>
      <c r="Q119" s="131" t="n">
        <v>20.5</v>
      </c>
      <c r="R119" s="134" t="s">
        <v>71</v>
      </c>
      <c r="S119" s="134" t="s">
        <v>76</v>
      </c>
      <c r="T119" s="132" t="s">
        <v>66</v>
      </c>
      <c r="U119" s="132" t="n">
        <v>94</v>
      </c>
      <c r="V119" s="131" t="n">
        <v>3.1</v>
      </c>
      <c r="W119" s="132" t="s">
        <v>67</v>
      </c>
      <c r="X119" s="132" t="n">
        <v>7</v>
      </c>
      <c r="Y119" s="135" t="s">
        <v>95</v>
      </c>
    </row>
    <row r="120" customFormat="false" ht="15" hidden="false" customHeight="false" outlineLevel="0" collapsed="false">
      <c r="A120" s="128" t="n">
        <v>16</v>
      </c>
      <c r="B120" s="129" t="s">
        <v>79</v>
      </c>
      <c r="C120" s="129" t="s">
        <v>251</v>
      </c>
      <c r="D120" s="130" t="n">
        <v>23.18</v>
      </c>
      <c r="E120" s="130" t="n">
        <v>0.077</v>
      </c>
      <c r="F120" s="130" t="n">
        <v>0.407</v>
      </c>
      <c r="G120" s="131" t="n">
        <v>17.2</v>
      </c>
      <c r="H120" s="132" t="n">
        <v>29</v>
      </c>
      <c r="I120" s="133" t="n">
        <v>59.8</v>
      </c>
      <c r="J120" s="130" t="n">
        <v>5.528</v>
      </c>
      <c r="K120" s="130" t="n">
        <v>0.092</v>
      </c>
      <c r="L120" s="131" t="n">
        <v>0</v>
      </c>
      <c r="M120" s="132" t="n">
        <v>29</v>
      </c>
      <c r="N120" s="133" t="n">
        <v>240.2</v>
      </c>
      <c r="O120" s="130" t="n">
        <v>17.653</v>
      </c>
      <c r="P120" s="130" t="n">
        <v>0.074</v>
      </c>
      <c r="Q120" s="131" t="n">
        <v>3.7</v>
      </c>
      <c r="R120" s="129" t="s">
        <v>71</v>
      </c>
      <c r="S120" s="129" t="s">
        <v>76</v>
      </c>
      <c r="T120" s="132" t="s">
        <v>66</v>
      </c>
      <c r="U120" s="132" t="n">
        <v>86</v>
      </c>
      <c r="V120" s="132" t="n">
        <v>3</v>
      </c>
      <c r="W120" s="132" t="s">
        <v>67</v>
      </c>
      <c r="X120" s="132" t="n">
        <v>7</v>
      </c>
      <c r="Y120" s="135"/>
    </row>
    <row r="121" customFormat="false" ht="15" hidden="false" customHeight="false" outlineLevel="0" collapsed="false">
      <c r="A121" s="128" t="n">
        <v>29</v>
      </c>
      <c r="B121" s="129" t="s">
        <v>60</v>
      </c>
      <c r="C121" s="129" t="s">
        <v>251</v>
      </c>
      <c r="D121" s="130" t="n">
        <v>10.342</v>
      </c>
      <c r="E121" s="130" t="n">
        <v>0.034</v>
      </c>
      <c r="F121" s="130" t="n">
        <v>0.226</v>
      </c>
      <c r="G121" s="131" t="n">
        <v>27.9</v>
      </c>
      <c r="H121" s="132" t="n">
        <v>18</v>
      </c>
      <c r="I121" s="133" t="n">
        <v>22</v>
      </c>
      <c r="J121" s="130" t="n">
        <v>1.89</v>
      </c>
      <c r="K121" s="130" t="n">
        <v>0.086</v>
      </c>
      <c r="L121" s="131" t="n">
        <v>0</v>
      </c>
      <c r="M121" s="132" t="n">
        <v>19</v>
      </c>
      <c r="N121" s="133" t="n">
        <v>278</v>
      </c>
      <c r="O121" s="130" t="n">
        <v>8.452</v>
      </c>
      <c r="P121" s="130" t="n">
        <v>0.03</v>
      </c>
      <c r="Q121" s="131" t="n">
        <v>27.9</v>
      </c>
      <c r="R121" s="129" t="s">
        <v>64</v>
      </c>
      <c r="S121" s="129" t="s">
        <v>76</v>
      </c>
      <c r="T121" s="132" t="s">
        <v>66</v>
      </c>
      <c r="U121" s="132" t="n">
        <v>68</v>
      </c>
      <c r="V121" s="132" t="n">
        <v>2</v>
      </c>
      <c r="W121" s="132" t="s">
        <v>67</v>
      </c>
      <c r="X121" s="132" t="n">
        <v>7</v>
      </c>
      <c r="Y121" s="135"/>
    </row>
    <row r="122" customFormat="false" ht="15" hidden="false" customHeight="false" outlineLevel="0" collapsed="false">
      <c r="A122" s="128" t="n">
        <v>32</v>
      </c>
      <c r="B122" s="129" t="s">
        <v>79</v>
      </c>
      <c r="C122" s="129" t="s">
        <v>251</v>
      </c>
      <c r="D122" s="130" t="n">
        <v>14.103</v>
      </c>
      <c r="E122" s="130" t="n">
        <v>0.047</v>
      </c>
      <c r="F122" s="130" t="n">
        <v>0.24</v>
      </c>
      <c r="G122" s="131" t="n">
        <v>30.5</v>
      </c>
      <c r="H122" s="132" t="n">
        <v>39</v>
      </c>
      <c r="I122" s="133" t="n">
        <v>55.1</v>
      </c>
      <c r="J122" s="130" t="n">
        <v>3.486</v>
      </c>
      <c r="K122" s="130" t="n">
        <v>0.063</v>
      </c>
      <c r="L122" s="131" t="n">
        <v>4.6</v>
      </c>
      <c r="M122" s="132" t="n">
        <v>39</v>
      </c>
      <c r="N122" s="133" t="n">
        <v>244.9</v>
      </c>
      <c r="O122" s="130" t="n">
        <v>10.617</v>
      </c>
      <c r="P122" s="130" t="n">
        <v>0.043</v>
      </c>
      <c r="Q122" s="131" t="n">
        <v>25.9</v>
      </c>
      <c r="R122" s="129" t="s">
        <v>71</v>
      </c>
      <c r="S122" s="129" t="s">
        <v>76</v>
      </c>
      <c r="T122" s="132" t="s">
        <v>66</v>
      </c>
      <c r="U122" s="132" t="n">
        <v>68</v>
      </c>
      <c r="V122" s="132" t="n">
        <v>2</v>
      </c>
      <c r="W122" s="132" t="s">
        <v>67</v>
      </c>
      <c r="X122" s="132" t="n">
        <v>7</v>
      </c>
      <c r="Y122" s="135"/>
    </row>
    <row r="123" customFormat="false" ht="16" hidden="false" customHeight="false" outlineLevel="0" collapsed="false">
      <c r="A123" s="187" t="n">
        <v>46</v>
      </c>
      <c r="B123" s="188" t="s">
        <v>69</v>
      </c>
      <c r="C123" s="188" t="s">
        <v>251</v>
      </c>
      <c r="D123" s="189" t="n">
        <v>14.86</v>
      </c>
      <c r="E123" s="189" t="n">
        <v>0.05</v>
      </c>
      <c r="F123" s="189" t="n">
        <v>0.253</v>
      </c>
      <c r="G123" s="190" t="n">
        <v>28.4</v>
      </c>
      <c r="H123" s="191" t="n">
        <v>23</v>
      </c>
      <c r="I123" s="192" t="n">
        <v>27.3</v>
      </c>
      <c r="J123" s="189" t="n">
        <v>2.814</v>
      </c>
      <c r="K123" s="189" t="n">
        <v>0.103</v>
      </c>
      <c r="L123" s="190" t="n">
        <v>0</v>
      </c>
      <c r="M123" s="191" t="n">
        <v>24</v>
      </c>
      <c r="N123" s="192" t="n">
        <v>272.7</v>
      </c>
      <c r="O123" s="189" t="n">
        <v>12.046</v>
      </c>
      <c r="P123" s="189" t="n">
        <v>0.044</v>
      </c>
      <c r="Q123" s="190" t="n">
        <v>28.4</v>
      </c>
      <c r="R123" s="193" t="s">
        <v>71</v>
      </c>
      <c r="S123" s="193" t="s">
        <v>76</v>
      </c>
      <c r="T123" s="191" t="s">
        <v>66</v>
      </c>
      <c r="U123" s="191" t="n">
        <v>42</v>
      </c>
      <c r="V123" s="190" t="n">
        <v>1.4</v>
      </c>
      <c r="W123" s="191" t="s">
        <v>67</v>
      </c>
      <c r="X123" s="191" t="n">
        <v>7</v>
      </c>
      <c r="Y123" s="194"/>
    </row>
    <row r="124" customFormat="false" ht="16" hidden="false" customHeight="false" outlineLevel="0" collapsed="false">
      <c r="A124" s="141" t="s">
        <v>504</v>
      </c>
      <c r="B124" s="142"/>
      <c r="C124" s="142"/>
      <c r="D124" s="143" t="n">
        <f aca="false">AVERAGE(D118:D123)</f>
        <v>14.074</v>
      </c>
      <c r="E124" s="144"/>
      <c r="F124" s="144"/>
      <c r="G124" s="145"/>
      <c r="H124" s="144"/>
      <c r="I124" s="146" t="n">
        <f aca="false">AVERAGE(I118:I123)</f>
        <v>46.35</v>
      </c>
      <c r="J124" s="147"/>
      <c r="K124" s="147"/>
      <c r="L124" s="147"/>
      <c r="M124" s="147"/>
      <c r="N124" s="146" t="n">
        <f aca="false">AVERAGE(N118:N123)</f>
        <v>253.65</v>
      </c>
      <c r="O124" s="147"/>
      <c r="P124" s="147"/>
      <c r="Q124" s="147"/>
      <c r="R124" s="147"/>
      <c r="S124" s="147"/>
      <c r="T124" s="147"/>
      <c r="U124" s="148"/>
      <c r="V124" s="149"/>
      <c r="W124" s="147"/>
      <c r="X124" s="147"/>
      <c r="Y124" s="147"/>
    </row>
    <row r="125" customFormat="false" ht="13" hidden="false" customHeight="false" outlineLevel="0" collapsed="false">
      <c r="A125" s="113"/>
      <c r="B125" s="113"/>
      <c r="C125" s="113"/>
      <c r="D125" s="113"/>
      <c r="E125" s="113"/>
      <c r="F125" s="113"/>
      <c r="G125" s="113"/>
      <c r="H125" s="113"/>
      <c r="I125" s="152"/>
      <c r="J125" s="113"/>
      <c r="K125" s="113"/>
      <c r="L125" s="113"/>
      <c r="M125" s="113"/>
      <c r="N125" s="152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</row>
    <row r="126" customFormat="false" ht="13" hidden="false" customHeight="false" outlineLevel="0" collapsed="false">
      <c r="A126" s="113"/>
      <c r="B126" s="113"/>
      <c r="C126" s="113"/>
      <c r="D126" s="113"/>
      <c r="E126" s="113"/>
      <c r="F126" s="113"/>
      <c r="G126" s="113"/>
      <c r="H126" s="113"/>
      <c r="I126" s="152"/>
      <c r="J126" s="113"/>
      <c r="K126" s="113"/>
      <c r="L126" s="113"/>
      <c r="M126" s="113"/>
      <c r="N126" s="152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</row>
    <row r="127" customFormat="false" ht="15" hidden="false" customHeight="false" outlineLevel="0" collapsed="false">
      <c r="A127" s="158" t="s">
        <v>1</v>
      </c>
      <c r="B127" s="123" t="s">
        <v>3</v>
      </c>
      <c r="C127" s="123" t="s">
        <v>4</v>
      </c>
      <c r="D127" s="159" t="s">
        <v>8</v>
      </c>
      <c r="E127" s="159" t="s">
        <v>9</v>
      </c>
      <c r="F127" s="159" t="s">
        <v>10</v>
      </c>
      <c r="G127" s="160" t="s">
        <v>11</v>
      </c>
      <c r="H127" s="161" t="s">
        <v>30</v>
      </c>
      <c r="I127" s="162" t="s">
        <v>31</v>
      </c>
      <c r="J127" s="159" t="s">
        <v>32</v>
      </c>
      <c r="K127" s="159" t="s">
        <v>33</v>
      </c>
      <c r="L127" s="160" t="s">
        <v>34</v>
      </c>
      <c r="M127" s="161" t="s">
        <v>35</v>
      </c>
      <c r="N127" s="162" t="s">
        <v>36</v>
      </c>
      <c r="O127" s="159" t="s">
        <v>37</v>
      </c>
      <c r="P127" s="159" t="s">
        <v>38</v>
      </c>
      <c r="Q127" s="160" t="s">
        <v>39</v>
      </c>
      <c r="R127" s="161" t="s">
        <v>50</v>
      </c>
      <c r="S127" s="123" t="s">
        <v>51</v>
      </c>
      <c r="T127" s="123" t="s">
        <v>493</v>
      </c>
      <c r="U127" s="161" t="s">
        <v>53</v>
      </c>
      <c r="V127" s="160" t="s">
        <v>54</v>
      </c>
      <c r="W127" s="123" t="s">
        <v>55</v>
      </c>
      <c r="X127" s="123" t="s">
        <v>56</v>
      </c>
      <c r="Y127" s="124" t="s">
        <v>57</v>
      </c>
    </row>
    <row r="128" customFormat="false" ht="15" hidden="false" customHeight="false" outlineLevel="0" collapsed="false">
      <c r="A128" s="163" t="n">
        <v>5</v>
      </c>
      <c r="B128" s="134" t="s">
        <v>60</v>
      </c>
      <c r="C128" s="134" t="s">
        <v>432</v>
      </c>
      <c r="D128" s="164" t="n">
        <v>7.134</v>
      </c>
      <c r="E128" s="164" t="n">
        <v>0.024</v>
      </c>
      <c r="F128" s="164" t="n">
        <v>0.302</v>
      </c>
      <c r="G128" s="165" t="n">
        <v>59.3</v>
      </c>
      <c r="H128" s="166" t="n">
        <v>11</v>
      </c>
      <c r="I128" s="167" t="n">
        <v>6.5</v>
      </c>
      <c r="J128" s="164" t="n">
        <v>1.276</v>
      </c>
      <c r="K128" s="164" t="n">
        <v>0.196</v>
      </c>
      <c r="L128" s="165" t="n">
        <v>0</v>
      </c>
      <c r="M128" s="166" t="n">
        <v>12</v>
      </c>
      <c r="N128" s="167" t="n">
        <v>293.5</v>
      </c>
      <c r="O128" s="164" t="n">
        <v>5.858</v>
      </c>
      <c r="P128" s="164" t="n">
        <v>0.02</v>
      </c>
      <c r="Q128" s="165" t="n">
        <v>59.3</v>
      </c>
      <c r="R128" s="134" t="s">
        <v>64</v>
      </c>
      <c r="S128" s="134" t="s">
        <v>76</v>
      </c>
      <c r="T128" s="134" t="s">
        <v>66</v>
      </c>
      <c r="U128" s="166" t="n">
        <v>177</v>
      </c>
      <c r="V128" s="165" t="n">
        <v>5.9</v>
      </c>
      <c r="W128" s="165" t="s">
        <v>67</v>
      </c>
      <c r="X128" s="134" t="n">
        <v>7</v>
      </c>
      <c r="Y128" s="168" t="s">
        <v>77</v>
      </c>
    </row>
    <row r="129" customFormat="false" ht="15" hidden="false" customHeight="false" outlineLevel="0" collapsed="false">
      <c r="A129" s="163" t="n">
        <v>9</v>
      </c>
      <c r="B129" s="134" t="s">
        <v>60</v>
      </c>
      <c r="C129" s="134" t="s">
        <v>432</v>
      </c>
      <c r="D129" s="164" t="n">
        <v>10.323</v>
      </c>
      <c r="E129" s="164" t="n">
        <v>0.034</v>
      </c>
      <c r="F129" s="164" t="n">
        <v>0.287</v>
      </c>
      <c r="G129" s="165" t="n">
        <v>27.9</v>
      </c>
      <c r="H129" s="166" t="n">
        <v>11</v>
      </c>
      <c r="I129" s="167" t="n">
        <v>10</v>
      </c>
      <c r="J129" s="164" t="n">
        <v>0.962</v>
      </c>
      <c r="K129" s="164" t="n">
        <v>0.096</v>
      </c>
      <c r="L129" s="165" t="n">
        <v>0</v>
      </c>
      <c r="M129" s="166" t="n">
        <v>12</v>
      </c>
      <c r="N129" s="167" t="n">
        <v>290</v>
      </c>
      <c r="O129" s="164" t="n">
        <v>9.361</v>
      </c>
      <c r="P129" s="164" t="n">
        <v>0.032</v>
      </c>
      <c r="Q129" s="165" t="n">
        <v>27.9</v>
      </c>
      <c r="R129" s="134" t="s">
        <v>71</v>
      </c>
      <c r="S129" s="134" t="s">
        <v>76</v>
      </c>
      <c r="T129" s="134" t="s">
        <v>66</v>
      </c>
      <c r="U129" s="166" t="n">
        <v>177</v>
      </c>
      <c r="V129" s="165" t="n">
        <v>5.9</v>
      </c>
      <c r="W129" s="165" t="s">
        <v>67</v>
      </c>
      <c r="X129" s="134" t="n">
        <v>7</v>
      </c>
      <c r="Y129" s="168" t="s">
        <v>95</v>
      </c>
    </row>
    <row r="130" customFormat="false" ht="15" hidden="false" customHeight="false" outlineLevel="0" collapsed="false">
      <c r="A130" s="163" t="n">
        <v>16</v>
      </c>
      <c r="B130" s="134" t="s">
        <v>74</v>
      </c>
      <c r="C130" s="134" t="s">
        <v>432</v>
      </c>
      <c r="D130" s="164" t="n">
        <v>15.336</v>
      </c>
      <c r="E130" s="164" t="n">
        <v>0.051</v>
      </c>
      <c r="F130" s="164" t="n">
        <v>0.262</v>
      </c>
      <c r="G130" s="165" t="n">
        <v>6.1</v>
      </c>
      <c r="H130" s="166" t="n">
        <v>31</v>
      </c>
      <c r="I130" s="167" t="n">
        <v>50.9</v>
      </c>
      <c r="J130" s="164" t="n">
        <v>4.544</v>
      </c>
      <c r="K130" s="164" t="n">
        <v>0.089</v>
      </c>
      <c r="L130" s="165" t="n">
        <v>0</v>
      </c>
      <c r="M130" s="166" t="n">
        <v>31</v>
      </c>
      <c r="N130" s="167" t="n">
        <v>249.1</v>
      </c>
      <c r="O130" s="164" t="n">
        <v>10.791</v>
      </c>
      <c r="P130" s="164" t="n">
        <v>0.043</v>
      </c>
      <c r="Q130" s="165" t="n">
        <v>6.1</v>
      </c>
      <c r="R130" s="134" t="s">
        <v>71</v>
      </c>
      <c r="S130" s="134" t="s">
        <v>76</v>
      </c>
      <c r="T130" s="134" t="s">
        <v>66</v>
      </c>
      <c r="U130" s="166" t="n">
        <v>169</v>
      </c>
      <c r="V130" s="165" t="n">
        <v>5.6</v>
      </c>
      <c r="W130" s="134" t="s">
        <v>67</v>
      </c>
      <c r="X130" s="134" t="n">
        <v>7</v>
      </c>
      <c r="Y130" s="168"/>
    </row>
    <row r="131" customFormat="false" ht="15" hidden="false" customHeight="false" outlineLevel="0" collapsed="false">
      <c r="A131" s="169" t="n">
        <v>29</v>
      </c>
      <c r="B131" s="170" t="s">
        <v>69</v>
      </c>
      <c r="C131" s="170" t="s">
        <v>432</v>
      </c>
      <c r="D131" s="171" t="n">
        <v>4.829</v>
      </c>
      <c r="E131" s="171" t="n">
        <v>0.016</v>
      </c>
      <c r="F131" s="171" t="n">
        <v>0.242</v>
      </c>
      <c r="G131" s="172" t="n">
        <v>101.6</v>
      </c>
      <c r="H131" s="173" t="n">
        <v>6</v>
      </c>
      <c r="I131" s="167" t="n">
        <v>110.3</v>
      </c>
      <c r="J131" s="171" t="n">
        <v>1.015</v>
      </c>
      <c r="K131" s="171" t="n">
        <v>0.009</v>
      </c>
      <c r="L131" s="172" t="n">
        <v>51.2</v>
      </c>
      <c r="M131" s="173" t="n">
        <v>6</v>
      </c>
      <c r="N131" s="167" t="n">
        <v>189.7</v>
      </c>
      <c r="O131" s="171" t="n">
        <v>3.813</v>
      </c>
      <c r="P131" s="171" t="n">
        <v>0.02</v>
      </c>
      <c r="Q131" s="172" t="n">
        <v>50.4</v>
      </c>
      <c r="R131" s="170" t="s">
        <v>64</v>
      </c>
      <c r="S131" s="170" t="s">
        <v>76</v>
      </c>
      <c r="T131" s="170" t="s">
        <v>66</v>
      </c>
      <c r="U131" s="173" t="n">
        <v>151</v>
      </c>
      <c r="V131" s="172" t="n">
        <v>5</v>
      </c>
      <c r="W131" s="170" t="s">
        <v>67</v>
      </c>
      <c r="X131" s="170" t="n">
        <v>7</v>
      </c>
      <c r="Y131" s="174"/>
    </row>
    <row r="132" customFormat="false" ht="15" hidden="false" customHeight="false" outlineLevel="0" collapsed="false">
      <c r="A132" s="163" t="n">
        <v>32</v>
      </c>
      <c r="B132" s="134" t="s">
        <v>60</v>
      </c>
      <c r="C132" s="134" t="s">
        <v>432</v>
      </c>
      <c r="D132" s="164" t="n">
        <v>6.43</v>
      </c>
      <c r="E132" s="164" t="n">
        <v>0.021</v>
      </c>
      <c r="F132" s="164" t="n">
        <v>0.302</v>
      </c>
      <c r="G132" s="165" t="n">
        <v>77.2</v>
      </c>
      <c r="H132" s="166" t="n">
        <v>8</v>
      </c>
      <c r="I132" s="167" t="n">
        <v>8.1</v>
      </c>
      <c r="J132" s="164" t="n">
        <v>0.983</v>
      </c>
      <c r="K132" s="164" t="n">
        <v>0.121</v>
      </c>
      <c r="L132" s="165" t="n">
        <v>0</v>
      </c>
      <c r="M132" s="166" t="n">
        <v>8</v>
      </c>
      <c r="N132" s="167" t="n">
        <v>291.9</v>
      </c>
      <c r="O132" s="164" t="n">
        <v>5.448</v>
      </c>
      <c r="P132" s="164" t="n">
        <v>0.019</v>
      </c>
      <c r="Q132" s="165" t="n">
        <v>77.2</v>
      </c>
      <c r="R132" s="134" t="s">
        <v>71</v>
      </c>
      <c r="S132" s="134" t="s">
        <v>76</v>
      </c>
      <c r="T132" s="134" t="s">
        <v>66</v>
      </c>
      <c r="U132" s="166" t="n">
        <v>151</v>
      </c>
      <c r="V132" s="165" t="n">
        <v>5</v>
      </c>
      <c r="W132" s="134" t="s">
        <v>67</v>
      </c>
      <c r="X132" s="134" t="n">
        <v>7</v>
      </c>
      <c r="Y132" s="168"/>
    </row>
    <row r="133" customFormat="false" ht="16" hidden="false" customHeight="false" outlineLevel="0" collapsed="false">
      <c r="A133" s="195" t="n">
        <v>46</v>
      </c>
      <c r="B133" s="196" t="s">
        <v>74</v>
      </c>
      <c r="C133" s="196" t="s">
        <v>432</v>
      </c>
      <c r="D133" s="197" t="n">
        <v>7.434</v>
      </c>
      <c r="E133" s="197" t="n">
        <v>0.025</v>
      </c>
      <c r="F133" s="197" t="n">
        <v>0.229</v>
      </c>
      <c r="G133" s="198" t="n">
        <v>44.9</v>
      </c>
      <c r="H133" s="199" t="n">
        <v>9</v>
      </c>
      <c r="I133" s="200" t="n">
        <v>63.8</v>
      </c>
      <c r="J133" s="197" t="n">
        <v>1.966</v>
      </c>
      <c r="K133" s="197" t="n">
        <v>0.031</v>
      </c>
      <c r="L133" s="198" t="n">
        <v>15.4</v>
      </c>
      <c r="M133" s="199" t="n">
        <v>10</v>
      </c>
      <c r="N133" s="200" t="n">
        <v>236.2</v>
      </c>
      <c r="O133" s="197" t="n">
        <v>5.468</v>
      </c>
      <c r="P133" s="197" t="n">
        <v>0.023</v>
      </c>
      <c r="Q133" s="198" t="n">
        <v>29.6</v>
      </c>
      <c r="R133" s="196" t="s">
        <v>71</v>
      </c>
      <c r="S133" s="196" t="s">
        <v>76</v>
      </c>
      <c r="T133" s="196" t="s">
        <v>66</v>
      </c>
      <c r="U133" s="199" t="n">
        <v>125</v>
      </c>
      <c r="V133" s="198" t="n">
        <v>4.2</v>
      </c>
      <c r="W133" s="198" t="s">
        <v>67</v>
      </c>
      <c r="X133" s="196" t="n">
        <v>7</v>
      </c>
      <c r="Y133" s="201"/>
    </row>
    <row r="134" customFormat="false" ht="16" hidden="false" customHeight="false" outlineLevel="0" collapsed="false">
      <c r="A134" s="141" t="s">
        <v>504</v>
      </c>
      <c r="B134" s="142"/>
      <c r="C134" s="142"/>
      <c r="D134" s="143" t="n">
        <f aca="false">AVERAGE(D128:D133)</f>
        <v>8.581</v>
      </c>
      <c r="E134" s="144"/>
      <c r="F134" s="144"/>
      <c r="G134" s="145"/>
      <c r="H134" s="144"/>
      <c r="I134" s="146" t="n">
        <f aca="false">AVERAGE(I128:I133)</f>
        <v>41.6</v>
      </c>
      <c r="J134" s="147"/>
      <c r="K134" s="147"/>
      <c r="L134" s="147"/>
      <c r="M134" s="147"/>
      <c r="N134" s="146" t="n">
        <f aca="false">AVERAGE(N128:N133)</f>
        <v>258.4</v>
      </c>
      <c r="O134" s="147"/>
      <c r="P134" s="147"/>
      <c r="Q134" s="147"/>
      <c r="R134" s="147"/>
      <c r="S134" s="147"/>
      <c r="T134" s="147"/>
      <c r="U134" s="148"/>
      <c r="V134" s="149"/>
      <c r="W134" s="147"/>
      <c r="X134" s="147"/>
      <c r="Y134" s="147"/>
    </row>
    <row r="137" customFormat="false" ht="13" hidden="false" customHeight="false" outlineLevel="0" collapsed="false">
      <c r="A137" s="113" t="s">
        <v>515</v>
      </c>
    </row>
    <row r="138" customFormat="false" ht="15" hidden="false" customHeight="false" outlineLevel="0" collapsed="false">
      <c r="A138" s="117" t="s">
        <v>1</v>
      </c>
      <c r="B138" s="118" t="s">
        <v>3</v>
      </c>
      <c r="C138" s="118" t="s">
        <v>4</v>
      </c>
      <c r="D138" s="119" t="s">
        <v>8</v>
      </c>
      <c r="E138" s="119" t="s">
        <v>9</v>
      </c>
      <c r="F138" s="119" t="s">
        <v>10</v>
      </c>
      <c r="G138" s="120" t="s">
        <v>11</v>
      </c>
      <c r="H138" s="121" t="s">
        <v>30</v>
      </c>
      <c r="I138" s="122" t="s">
        <v>31</v>
      </c>
      <c r="J138" s="119" t="s">
        <v>32</v>
      </c>
      <c r="K138" s="119" t="s">
        <v>33</v>
      </c>
      <c r="L138" s="120" t="s">
        <v>34</v>
      </c>
      <c r="M138" s="121" t="s">
        <v>35</v>
      </c>
      <c r="N138" s="122" t="s">
        <v>36</v>
      </c>
      <c r="O138" s="119" t="s">
        <v>37</v>
      </c>
      <c r="P138" s="119" t="s">
        <v>38</v>
      </c>
      <c r="Q138" s="120" t="s">
        <v>39</v>
      </c>
      <c r="R138" s="123" t="s">
        <v>50</v>
      </c>
      <c r="S138" s="123" t="s">
        <v>51</v>
      </c>
      <c r="T138" s="123" t="s">
        <v>493</v>
      </c>
      <c r="U138" s="123" t="s">
        <v>53</v>
      </c>
      <c r="V138" s="123" t="s">
        <v>54</v>
      </c>
      <c r="W138" s="123" t="s">
        <v>55</v>
      </c>
      <c r="X138" s="123" t="s">
        <v>56</v>
      </c>
      <c r="Y138" s="124" t="s">
        <v>57</v>
      </c>
    </row>
    <row r="139" customFormat="false" ht="15" hidden="false" customHeight="false" outlineLevel="0" collapsed="false">
      <c r="A139" s="128" t="n">
        <v>4</v>
      </c>
      <c r="B139" s="129" t="s">
        <v>79</v>
      </c>
      <c r="C139" s="129" t="s">
        <v>251</v>
      </c>
      <c r="D139" s="130" t="n">
        <v>20.006</v>
      </c>
      <c r="E139" s="130" t="n">
        <v>0.067</v>
      </c>
      <c r="F139" s="130" t="n">
        <v>0.29</v>
      </c>
      <c r="G139" s="131" t="n">
        <v>12</v>
      </c>
      <c r="H139" s="132" t="n">
        <v>28</v>
      </c>
      <c r="I139" s="133" t="n">
        <v>33.3</v>
      </c>
      <c r="J139" s="130" t="n">
        <v>3.739</v>
      </c>
      <c r="K139" s="130" t="n">
        <v>0.112</v>
      </c>
      <c r="L139" s="131" t="n">
        <v>0</v>
      </c>
      <c r="M139" s="132" t="n">
        <v>29</v>
      </c>
      <c r="N139" s="133" t="n">
        <v>266.7</v>
      </c>
      <c r="O139" s="130" t="n">
        <v>16.267</v>
      </c>
      <c r="P139" s="130" t="n">
        <v>0.061</v>
      </c>
      <c r="Q139" s="131" t="n">
        <v>12</v>
      </c>
      <c r="R139" s="134" t="s">
        <v>64</v>
      </c>
      <c r="S139" s="134" t="s">
        <v>76</v>
      </c>
      <c r="T139" s="132" t="s">
        <v>66</v>
      </c>
      <c r="U139" s="132" t="n">
        <v>94</v>
      </c>
      <c r="V139" s="131" t="n">
        <v>3.1</v>
      </c>
      <c r="W139" s="132" t="s">
        <v>81</v>
      </c>
      <c r="X139" s="132" t="n">
        <v>8</v>
      </c>
      <c r="Y139" s="135"/>
    </row>
    <row r="140" customFormat="false" ht="15" hidden="false" customHeight="false" outlineLevel="0" collapsed="false">
      <c r="A140" s="175" t="n">
        <v>6</v>
      </c>
      <c r="B140" s="176" t="s">
        <v>69</v>
      </c>
      <c r="C140" s="176" t="s">
        <v>251</v>
      </c>
      <c r="D140" s="177" t="n">
        <v>7.988</v>
      </c>
      <c r="E140" s="177" t="n">
        <v>0.027</v>
      </c>
      <c r="F140" s="177" t="n">
        <v>0.199</v>
      </c>
      <c r="G140" s="178" t="n">
        <v>39.9</v>
      </c>
      <c r="H140" s="179" t="n">
        <v>15</v>
      </c>
      <c r="I140" s="133" t="n">
        <v>56.6</v>
      </c>
      <c r="J140" s="177" t="n">
        <v>1.779</v>
      </c>
      <c r="K140" s="177" t="n">
        <v>0.031</v>
      </c>
      <c r="L140" s="178" t="n">
        <v>5.6</v>
      </c>
      <c r="M140" s="179" t="n">
        <v>16</v>
      </c>
      <c r="N140" s="133" t="n">
        <v>243.4</v>
      </c>
      <c r="O140" s="177" t="n">
        <v>6.209</v>
      </c>
      <c r="P140" s="177" t="n">
        <v>0.026</v>
      </c>
      <c r="Q140" s="178" t="n">
        <v>34.3</v>
      </c>
      <c r="R140" s="170" t="s">
        <v>71</v>
      </c>
      <c r="S140" s="170" t="s">
        <v>76</v>
      </c>
      <c r="T140" s="179" t="s">
        <v>66</v>
      </c>
      <c r="U140" s="179" t="n">
        <v>94</v>
      </c>
      <c r="V140" s="178" t="n">
        <v>3.1</v>
      </c>
      <c r="W140" s="179" t="s">
        <v>81</v>
      </c>
      <c r="X140" s="179" t="n">
        <v>8</v>
      </c>
      <c r="Y140" s="180"/>
    </row>
    <row r="141" customFormat="false" ht="15" hidden="false" customHeight="false" outlineLevel="0" collapsed="false">
      <c r="A141" s="128" t="n">
        <v>8</v>
      </c>
      <c r="B141" s="129" t="s">
        <v>79</v>
      </c>
      <c r="C141" s="129" t="s">
        <v>251</v>
      </c>
      <c r="D141" s="130" t="n">
        <v>12.251</v>
      </c>
      <c r="E141" s="130" t="n">
        <v>0.041</v>
      </c>
      <c r="F141" s="130" t="n">
        <v>0.224</v>
      </c>
      <c r="G141" s="131" t="n">
        <v>39</v>
      </c>
      <c r="H141" s="132" t="n">
        <v>8</v>
      </c>
      <c r="I141" s="133" t="n">
        <v>61.9</v>
      </c>
      <c r="J141" s="130" t="n">
        <v>1.602</v>
      </c>
      <c r="K141" s="130" t="n">
        <v>0.026</v>
      </c>
      <c r="L141" s="131" t="n">
        <v>18.5</v>
      </c>
      <c r="M141" s="132" t="n">
        <v>9</v>
      </c>
      <c r="N141" s="133" t="n">
        <v>238.1</v>
      </c>
      <c r="O141" s="130" t="n">
        <v>10.649</v>
      </c>
      <c r="P141" s="130" t="n">
        <v>0.045</v>
      </c>
      <c r="Q141" s="131" t="n">
        <v>20.5</v>
      </c>
      <c r="R141" s="134" t="s">
        <v>71</v>
      </c>
      <c r="S141" s="134" t="s">
        <v>76</v>
      </c>
      <c r="T141" s="132" t="s">
        <v>66</v>
      </c>
      <c r="U141" s="132" t="n">
        <v>94</v>
      </c>
      <c r="V141" s="131" t="n">
        <v>3.1</v>
      </c>
      <c r="W141" s="132" t="s">
        <v>81</v>
      </c>
      <c r="X141" s="132" t="n">
        <v>8</v>
      </c>
      <c r="Y141" s="135" t="s">
        <v>91</v>
      </c>
    </row>
    <row r="142" customFormat="false" ht="15" hidden="false" customHeight="false" outlineLevel="0" collapsed="false">
      <c r="A142" s="128" t="n">
        <v>19</v>
      </c>
      <c r="B142" s="129" t="s">
        <v>74</v>
      </c>
      <c r="C142" s="129" t="s">
        <v>251</v>
      </c>
      <c r="D142" s="130" t="n">
        <v>6.493</v>
      </c>
      <c r="E142" s="130" t="n">
        <v>0.022</v>
      </c>
      <c r="F142" s="130" t="n">
        <v>0.196</v>
      </c>
      <c r="G142" s="131" t="n">
        <v>36.3</v>
      </c>
      <c r="H142" s="132" t="n">
        <v>9</v>
      </c>
      <c r="I142" s="133" t="n">
        <v>32.7</v>
      </c>
      <c r="J142" s="130" t="n">
        <v>1.151</v>
      </c>
      <c r="K142" s="130" t="n">
        <v>0.035</v>
      </c>
      <c r="L142" s="131" t="n">
        <v>11.3</v>
      </c>
      <c r="M142" s="132" t="n">
        <v>10</v>
      </c>
      <c r="N142" s="133" t="n">
        <v>267.3</v>
      </c>
      <c r="O142" s="130" t="n">
        <v>5.342</v>
      </c>
      <c r="P142" s="130" t="n">
        <v>0.02</v>
      </c>
      <c r="Q142" s="131" t="n">
        <v>25</v>
      </c>
      <c r="R142" s="129" t="s">
        <v>64</v>
      </c>
      <c r="S142" s="129" t="s">
        <v>76</v>
      </c>
      <c r="T142" s="132" t="s">
        <v>66</v>
      </c>
      <c r="U142" s="132" t="n">
        <v>76</v>
      </c>
      <c r="V142" s="132" t="n">
        <v>3</v>
      </c>
      <c r="W142" s="132" t="s">
        <v>81</v>
      </c>
      <c r="X142" s="132" t="n">
        <v>8</v>
      </c>
      <c r="Y142" s="135"/>
    </row>
    <row r="143" customFormat="false" ht="15" hidden="false" customHeight="false" outlineLevel="0" collapsed="false">
      <c r="A143" s="128" t="n">
        <v>27</v>
      </c>
      <c r="B143" s="129" t="s">
        <v>74</v>
      </c>
      <c r="C143" s="129" t="s">
        <v>251</v>
      </c>
      <c r="D143" s="130" t="n">
        <v>13.608</v>
      </c>
      <c r="E143" s="130" t="n">
        <v>0.045</v>
      </c>
      <c r="F143" s="130" t="n">
        <v>0.241</v>
      </c>
      <c r="G143" s="131" t="n">
        <v>10.3</v>
      </c>
      <c r="H143" s="132" t="n">
        <v>19</v>
      </c>
      <c r="I143" s="133" t="n">
        <v>38.2</v>
      </c>
      <c r="J143" s="130" t="n">
        <v>3.233</v>
      </c>
      <c r="K143" s="130" t="n">
        <v>0.085</v>
      </c>
      <c r="L143" s="131" t="n">
        <v>0</v>
      </c>
      <c r="M143" s="132" t="n">
        <v>20</v>
      </c>
      <c r="N143" s="133" t="n">
        <v>261.8</v>
      </c>
      <c r="O143" s="130" t="n">
        <v>10.374</v>
      </c>
      <c r="P143" s="130" t="n">
        <v>0.04</v>
      </c>
      <c r="Q143" s="131" t="n">
        <v>10.3</v>
      </c>
      <c r="R143" s="129" t="s">
        <v>64</v>
      </c>
      <c r="S143" s="129" t="s">
        <v>76</v>
      </c>
      <c r="T143" s="132" t="s">
        <v>66</v>
      </c>
      <c r="U143" s="132" t="n">
        <v>68</v>
      </c>
      <c r="V143" s="132" t="n">
        <v>2</v>
      </c>
      <c r="W143" s="132" t="s">
        <v>81</v>
      </c>
      <c r="X143" s="132" t="n">
        <v>8</v>
      </c>
      <c r="Y143" s="135"/>
    </row>
    <row r="144" customFormat="false" ht="15" hidden="false" customHeight="false" outlineLevel="0" collapsed="false">
      <c r="A144" s="128" t="n">
        <v>31</v>
      </c>
      <c r="B144" s="129" t="s">
        <v>74</v>
      </c>
      <c r="C144" s="129" t="s">
        <v>251</v>
      </c>
      <c r="D144" s="130" t="n">
        <v>16.535</v>
      </c>
      <c r="E144" s="130" t="n">
        <v>0.055</v>
      </c>
      <c r="F144" s="130" t="n">
        <v>0.282</v>
      </c>
      <c r="G144" s="131" t="n">
        <v>4.6</v>
      </c>
      <c r="H144" s="132" t="n">
        <v>20</v>
      </c>
      <c r="I144" s="133" t="n">
        <v>40.7</v>
      </c>
      <c r="J144" s="130" t="n">
        <v>2.95</v>
      </c>
      <c r="K144" s="130" t="n">
        <v>0.073</v>
      </c>
      <c r="L144" s="131" t="n">
        <v>1.4</v>
      </c>
      <c r="M144" s="132" t="n">
        <v>21</v>
      </c>
      <c r="N144" s="133" t="n">
        <v>259.3</v>
      </c>
      <c r="O144" s="130" t="n">
        <v>13.585</v>
      </c>
      <c r="P144" s="130" t="n">
        <v>0.052</v>
      </c>
      <c r="Q144" s="131" t="n">
        <v>3.2</v>
      </c>
      <c r="R144" s="129" t="s">
        <v>71</v>
      </c>
      <c r="S144" s="129" t="s">
        <v>76</v>
      </c>
      <c r="T144" s="132" t="s">
        <v>66</v>
      </c>
      <c r="U144" s="132" t="n">
        <v>68</v>
      </c>
      <c r="V144" s="132" t="n">
        <v>2</v>
      </c>
      <c r="W144" s="132" t="s">
        <v>81</v>
      </c>
      <c r="X144" s="132" t="n">
        <v>8</v>
      </c>
      <c r="Y144" s="135"/>
    </row>
    <row r="145" customFormat="false" ht="16" hidden="false" customHeight="false" outlineLevel="0" collapsed="false">
      <c r="A145" s="128" t="n">
        <v>45</v>
      </c>
      <c r="B145" s="129" t="s">
        <v>60</v>
      </c>
      <c r="C145" s="129" t="s">
        <v>251</v>
      </c>
      <c r="D145" s="130" t="n">
        <v>16.015</v>
      </c>
      <c r="E145" s="130" t="n">
        <v>0.053</v>
      </c>
      <c r="F145" s="130" t="n">
        <v>0.29</v>
      </c>
      <c r="G145" s="131" t="n">
        <v>9.8</v>
      </c>
      <c r="H145" s="132" t="n">
        <v>16</v>
      </c>
      <c r="I145" s="133" t="n">
        <v>20.2</v>
      </c>
      <c r="J145" s="130" t="n">
        <v>2.479</v>
      </c>
      <c r="K145" s="130" t="n">
        <v>0.122</v>
      </c>
      <c r="L145" s="131" t="n">
        <v>0</v>
      </c>
      <c r="M145" s="132" t="n">
        <v>17</v>
      </c>
      <c r="N145" s="133" t="n">
        <v>279.8</v>
      </c>
      <c r="O145" s="130" t="n">
        <v>13.535</v>
      </c>
      <c r="P145" s="130" t="n">
        <v>0.048</v>
      </c>
      <c r="Q145" s="131" t="n">
        <v>9.8</v>
      </c>
      <c r="R145" s="129" t="s">
        <v>71</v>
      </c>
      <c r="S145" s="129" t="s">
        <v>76</v>
      </c>
      <c r="T145" s="132" t="s">
        <v>66</v>
      </c>
      <c r="U145" s="132" t="n">
        <v>42</v>
      </c>
      <c r="V145" s="132" t="n">
        <v>1</v>
      </c>
      <c r="W145" s="132" t="s">
        <v>81</v>
      </c>
      <c r="X145" s="132" t="n">
        <v>8</v>
      </c>
      <c r="Y145" s="135"/>
    </row>
    <row r="146" customFormat="false" ht="16" hidden="false" customHeight="false" outlineLevel="0" collapsed="false">
      <c r="A146" s="141" t="s">
        <v>504</v>
      </c>
      <c r="B146" s="142"/>
      <c r="C146" s="142"/>
      <c r="D146" s="143" t="n">
        <f aca="false">AVERAGE(D139:D145)</f>
        <v>13.2708571428571</v>
      </c>
      <c r="E146" s="144"/>
      <c r="F146" s="144"/>
      <c r="G146" s="145"/>
      <c r="H146" s="144"/>
      <c r="I146" s="146" t="n">
        <f aca="false">AVERAGE(I139:I145)</f>
        <v>40.5142857142857</v>
      </c>
      <c r="J146" s="147"/>
      <c r="K146" s="147"/>
      <c r="L146" s="147"/>
      <c r="M146" s="147"/>
      <c r="N146" s="146" t="n">
        <f aca="false">AVERAGE(N139:N145)</f>
        <v>259.485714285714</v>
      </c>
      <c r="O146" s="147"/>
      <c r="P146" s="147"/>
      <c r="Q146" s="147"/>
      <c r="R146" s="147"/>
      <c r="S146" s="147"/>
      <c r="T146" s="147"/>
      <c r="U146" s="148"/>
      <c r="V146" s="149"/>
      <c r="W146" s="147"/>
      <c r="X146" s="147"/>
      <c r="Y146" s="147"/>
    </row>
    <row r="147" customFormat="false" ht="13" hidden="false" customHeight="false" outlineLevel="0" collapsed="false">
      <c r="A147" s="113"/>
      <c r="B147" s="113"/>
      <c r="C147" s="113"/>
      <c r="D147" s="113"/>
      <c r="E147" s="113"/>
      <c r="F147" s="113"/>
      <c r="G147" s="113"/>
      <c r="H147" s="113"/>
      <c r="I147" s="152"/>
      <c r="J147" s="113"/>
      <c r="K147" s="113"/>
      <c r="L147" s="113"/>
      <c r="M147" s="113"/>
      <c r="N147" s="152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</row>
    <row r="148" customFormat="false" ht="13" hidden="false" customHeight="false" outlineLevel="0" collapsed="false">
      <c r="A148" s="113"/>
      <c r="B148" s="113"/>
      <c r="C148" s="113"/>
      <c r="D148" s="113"/>
      <c r="E148" s="113"/>
      <c r="F148" s="113"/>
      <c r="G148" s="113"/>
      <c r="H148" s="113"/>
      <c r="I148" s="152"/>
      <c r="J148" s="113"/>
      <c r="K148" s="113"/>
      <c r="L148" s="113"/>
      <c r="M148" s="113"/>
      <c r="N148" s="152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</row>
    <row r="149" customFormat="false" ht="15" hidden="false" customHeight="false" outlineLevel="0" collapsed="false">
      <c r="A149" s="158" t="s">
        <v>1</v>
      </c>
      <c r="B149" s="123" t="s">
        <v>3</v>
      </c>
      <c r="C149" s="123" t="s">
        <v>4</v>
      </c>
      <c r="D149" s="159" t="s">
        <v>8</v>
      </c>
      <c r="E149" s="159" t="s">
        <v>9</v>
      </c>
      <c r="F149" s="159" t="s">
        <v>10</v>
      </c>
      <c r="G149" s="160" t="s">
        <v>11</v>
      </c>
      <c r="H149" s="161" t="s">
        <v>30</v>
      </c>
      <c r="I149" s="162" t="s">
        <v>31</v>
      </c>
      <c r="J149" s="159" t="s">
        <v>32</v>
      </c>
      <c r="K149" s="159" t="s">
        <v>33</v>
      </c>
      <c r="L149" s="160" t="s">
        <v>34</v>
      </c>
      <c r="M149" s="161" t="s">
        <v>35</v>
      </c>
      <c r="N149" s="162" t="s">
        <v>36</v>
      </c>
      <c r="O149" s="159" t="s">
        <v>37</v>
      </c>
      <c r="P149" s="159" t="s">
        <v>38</v>
      </c>
      <c r="Q149" s="160" t="s">
        <v>39</v>
      </c>
      <c r="R149" s="161" t="s">
        <v>50</v>
      </c>
      <c r="S149" s="123" t="s">
        <v>51</v>
      </c>
      <c r="T149" s="123" t="s">
        <v>493</v>
      </c>
      <c r="U149" s="161" t="s">
        <v>53</v>
      </c>
      <c r="V149" s="160" t="s">
        <v>54</v>
      </c>
      <c r="W149" s="123" t="s">
        <v>55</v>
      </c>
      <c r="X149" s="123" t="s">
        <v>56</v>
      </c>
      <c r="Y149" s="124" t="s">
        <v>57</v>
      </c>
    </row>
    <row r="150" customFormat="false" ht="15" hidden="false" customHeight="false" outlineLevel="0" collapsed="false">
      <c r="A150" s="163" t="n">
        <v>4</v>
      </c>
      <c r="B150" s="134" t="s">
        <v>79</v>
      </c>
      <c r="C150" s="134" t="s">
        <v>432</v>
      </c>
      <c r="D150" s="164" t="n">
        <v>9.177</v>
      </c>
      <c r="E150" s="164" t="n">
        <v>0.031</v>
      </c>
      <c r="F150" s="164" t="n">
        <v>0.252</v>
      </c>
      <c r="G150" s="165" t="n">
        <v>34.4</v>
      </c>
      <c r="H150" s="166" t="n">
        <v>10</v>
      </c>
      <c r="I150" s="167" t="n">
        <v>26.8</v>
      </c>
      <c r="J150" s="164" t="n">
        <v>1.749</v>
      </c>
      <c r="K150" s="164" t="n">
        <v>0.065</v>
      </c>
      <c r="L150" s="165" t="n">
        <v>0</v>
      </c>
      <c r="M150" s="166" t="n">
        <v>10</v>
      </c>
      <c r="N150" s="167" t="n">
        <v>273.2</v>
      </c>
      <c r="O150" s="164" t="n">
        <v>7.428</v>
      </c>
      <c r="P150" s="164" t="n">
        <v>0.027</v>
      </c>
      <c r="Q150" s="165" t="n">
        <v>34.4</v>
      </c>
      <c r="R150" s="134" t="s">
        <v>64</v>
      </c>
      <c r="S150" s="134" t="s">
        <v>76</v>
      </c>
      <c r="T150" s="134" t="s">
        <v>66</v>
      </c>
      <c r="U150" s="166" t="n">
        <v>177</v>
      </c>
      <c r="V150" s="165" t="n">
        <v>5.9</v>
      </c>
      <c r="W150" s="165" t="s">
        <v>81</v>
      </c>
      <c r="X150" s="134" t="n">
        <v>8</v>
      </c>
      <c r="Y150" s="168"/>
    </row>
    <row r="151" customFormat="false" ht="15" hidden="false" customHeight="false" outlineLevel="0" collapsed="false">
      <c r="A151" s="169" t="n">
        <v>6</v>
      </c>
      <c r="B151" s="170" t="s">
        <v>69</v>
      </c>
      <c r="C151" s="170" t="s">
        <v>432</v>
      </c>
      <c r="D151" s="171" t="n">
        <v>10.451</v>
      </c>
      <c r="E151" s="171" t="n">
        <v>0.035</v>
      </c>
      <c r="F151" s="171" t="n">
        <v>0.282</v>
      </c>
      <c r="G151" s="172" t="n">
        <v>40.1</v>
      </c>
      <c r="H151" s="173" t="n">
        <v>11</v>
      </c>
      <c r="I151" s="167" t="n">
        <v>19.5</v>
      </c>
      <c r="J151" s="171" t="n">
        <v>1.482</v>
      </c>
      <c r="K151" s="171" t="n">
        <v>0.076</v>
      </c>
      <c r="L151" s="172" t="n">
        <v>0</v>
      </c>
      <c r="M151" s="173" t="n">
        <v>11</v>
      </c>
      <c r="N151" s="167" t="n">
        <v>280.5</v>
      </c>
      <c r="O151" s="171" t="n">
        <v>8.969</v>
      </c>
      <c r="P151" s="171" t="n">
        <v>0.032</v>
      </c>
      <c r="Q151" s="172" t="n">
        <v>40.1</v>
      </c>
      <c r="R151" s="170" t="s">
        <v>71</v>
      </c>
      <c r="S151" s="170" t="s">
        <v>76</v>
      </c>
      <c r="T151" s="170" t="s">
        <v>66</v>
      </c>
      <c r="U151" s="173" t="n">
        <v>177</v>
      </c>
      <c r="V151" s="172" t="n">
        <v>5.9</v>
      </c>
      <c r="W151" s="172" t="s">
        <v>81</v>
      </c>
      <c r="X151" s="170" t="n">
        <v>8</v>
      </c>
      <c r="Y151" s="174"/>
    </row>
    <row r="152" customFormat="false" ht="15" hidden="false" customHeight="false" outlineLevel="0" collapsed="false">
      <c r="A152" s="163" t="n">
        <v>8</v>
      </c>
      <c r="B152" s="134" t="s">
        <v>79</v>
      </c>
      <c r="C152" s="134" t="s">
        <v>432</v>
      </c>
      <c r="D152" s="164" t="n">
        <v>12.156</v>
      </c>
      <c r="E152" s="164" t="n">
        <v>0.041</v>
      </c>
      <c r="F152" s="164" t="n">
        <v>0.227</v>
      </c>
      <c r="G152" s="165" t="n">
        <v>17.7</v>
      </c>
      <c r="H152" s="166" t="n">
        <v>13</v>
      </c>
      <c r="I152" s="167" t="n">
        <v>23.4</v>
      </c>
      <c r="J152" s="164" t="n">
        <v>1.972</v>
      </c>
      <c r="K152" s="164" t="n">
        <v>0.084</v>
      </c>
      <c r="L152" s="165" t="n">
        <v>0</v>
      </c>
      <c r="M152" s="166" t="n">
        <v>14</v>
      </c>
      <c r="N152" s="167" t="n">
        <v>276.6</v>
      </c>
      <c r="O152" s="164" t="n">
        <v>10.184</v>
      </c>
      <c r="P152" s="164" t="n">
        <v>0.037</v>
      </c>
      <c r="Q152" s="165" t="n">
        <v>17.7</v>
      </c>
      <c r="R152" s="134" t="s">
        <v>71</v>
      </c>
      <c r="S152" s="134" t="s">
        <v>76</v>
      </c>
      <c r="T152" s="134" t="s">
        <v>66</v>
      </c>
      <c r="U152" s="166" t="n">
        <v>177</v>
      </c>
      <c r="V152" s="165" t="n">
        <v>5.9</v>
      </c>
      <c r="W152" s="165" t="s">
        <v>81</v>
      </c>
      <c r="X152" s="134" t="n">
        <v>8</v>
      </c>
      <c r="Y152" s="168" t="s">
        <v>91</v>
      </c>
    </row>
    <row r="153" customFormat="false" ht="15" hidden="false" customHeight="false" outlineLevel="0" collapsed="false">
      <c r="A153" s="169" t="n">
        <v>19</v>
      </c>
      <c r="B153" s="170" t="s">
        <v>69</v>
      </c>
      <c r="C153" s="170" t="s">
        <v>432</v>
      </c>
      <c r="D153" s="171" t="n">
        <v>4.519</v>
      </c>
      <c r="E153" s="171" t="n">
        <v>0.015</v>
      </c>
      <c r="F153" s="171" t="n">
        <v>0.25</v>
      </c>
      <c r="G153" s="172" t="n">
        <v>105.8</v>
      </c>
      <c r="H153" s="173" t="n">
        <v>7</v>
      </c>
      <c r="I153" s="167" t="n">
        <v>23.8</v>
      </c>
      <c r="J153" s="171" t="n">
        <v>0.976</v>
      </c>
      <c r="K153" s="171" t="n">
        <v>0.041</v>
      </c>
      <c r="L153" s="172" t="n">
        <v>2.5</v>
      </c>
      <c r="M153" s="173" t="n">
        <v>8</v>
      </c>
      <c r="N153" s="167" t="n">
        <v>276.2</v>
      </c>
      <c r="O153" s="171" t="n">
        <v>3.543</v>
      </c>
      <c r="P153" s="171" t="n">
        <v>0.013</v>
      </c>
      <c r="Q153" s="172" t="n">
        <v>103.3</v>
      </c>
      <c r="R153" s="170" t="s">
        <v>64</v>
      </c>
      <c r="S153" s="170" t="s">
        <v>76</v>
      </c>
      <c r="T153" s="170" t="s">
        <v>66</v>
      </c>
      <c r="U153" s="173" t="n">
        <v>159</v>
      </c>
      <c r="V153" s="172" t="n">
        <v>5.3</v>
      </c>
      <c r="W153" s="170" t="s">
        <v>81</v>
      </c>
      <c r="X153" s="170" t="n">
        <v>8</v>
      </c>
      <c r="Y153" s="174"/>
    </row>
    <row r="154" customFormat="false" ht="15" hidden="false" customHeight="false" outlineLevel="0" collapsed="false">
      <c r="A154" s="163" t="n">
        <v>27</v>
      </c>
      <c r="B154" s="134" t="s">
        <v>79</v>
      </c>
      <c r="C154" s="134" t="s">
        <v>432</v>
      </c>
      <c r="D154" s="164" t="n">
        <v>3.453</v>
      </c>
      <c r="E154" s="164" t="n">
        <v>0.012</v>
      </c>
      <c r="F154" s="164" t="n">
        <v>0.229</v>
      </c>
      <c r="G154" s="165" t="n">
        <v>76.7</v>
      </c>
      <c r="H154" s="166" t="n">
        <v>3</v>
      </c>
      <c r="I154" s="167" t="n">
        <v>26.4</v>
      </c>
      <c r="J154" s="164" t="n">
        <v>0.205</v>
      </c>
      <c r="K154" s="164" t="n">
        <v>0.008</v>
      </c>
      <c r="L154" s="165" t="n">
        <v>2.4</v>
      </c>
      <c r="M154" s="166" t="n">
        <v>4</v>
      </c>
      <c r="N154" s="167" t="n">
        <v>273.6</v>
      </c>
      <c r="O154" s="164" t="n">
        <v>3.247</v>
      </c>
      <c r="P154" s="164" t="n">
        <v>0.012</v>
      </c>
      <c r="Q154" s="165" t="n">
        <v>74.3</v>
      </c>
      <c r="R154" s="134" t="s">
        <v>64</v>
      </c>
      <c r="S154" s="134" t="s">
        <v>76</v>
      </c>
      <c r="T154" s="134" t="s">
        <v>66</v>
      </c>
      <c r="U154" s="166" t="n">
        <v>151</v>
      </c>
      <c r="V154" s="165" t="n">
        <v>5</v>
      </c>
      <c r="W154" s="134" t="s">
        <v>81</v>
      </c>
      <c r="X154" s="134" t="n">
        <v>8</v>
      </c>
      <c r="Y154" s="168"/>
    </row>
    <row r="155" customFormat="false" ht="15" hidden="false" customHeight="false" outlineLevel="0" collapsed="false">
      <c r="A155" s="169" t="n">
        <v>31</v>
      </c>
      <c r="B155" s="170" t="s">
        <v>79</v>
      </c>
      <c r="C155" s="170" t="s">
        <v>432</v>
      </c>
      <c r="D155" s="171" t="n">
        <v>11.646</v>
      </c>
      <c r="E155" s="171" t="n">
        <v>0.039</v>
      </c>
      <c r="F155" s="171" t="n">
        <v>0.258</v>
      </c>
      <c r="G155" s="172" t="n">
        <v>14.9</v>
      </c>
      <c r="H155" s="173" t="n">
        <v>12</v>
      </c>
      <c r="I155" s="167" t="n">
        <v>9.8</v>
      </c>
      <c r="J155" s="171" t="n">
        <v>1.057</v>
      </c>
      <c r="K155" s="171" t="n">
        <v>0.108</v>
      </c>
      <c r="L155" s="172" t="n">
        <v>0</v>
      </c>
      <c r="M155" s="173" t="n">
        <v>13</v>
      </c>
      <c r="N155" s="167" t="n">
        <v>290.2</v>
      </c>
      <c r="O155" s="171" t="n">
        <v>10.589</v>
      </c>
      <c r="P155" s="171" t="n">
        <v>0.036</v>
      </c>
      <c r="Q155" s="172" t="n">
        <v>14.9</v>
      </c>
      <c r="R155" s="170" t="s">
        <v>71</v>
      </c>
      <c r="S155" s="170" t="s">
        <v>76</v>
      </c>
      <c r="T155" s="170" t="s">
        <v>66</v>
      </c>
      <c r="U155" s="173" t="n">
        <v>151</v>
      </c>
      <c r="V155" s="172" t="n">
        <v>5</v>
      </c>
      <c r="W155" s="170" t="s">
        <v>81</v>
      </c>
      <c r="X155" s="170" t="n">
        <v>8</v>
      </c>
      <c r="Y155" s="174"/>
    </row>
    <row r="156" customFormat="false" ht="16" hidden="false" customHeight="false" outlineLevel="0" collapsed="false">
      <c r="A156" s="163" t="n">
        <v>45</v>
      </c>
      <c r="B156" s="134" t="s">
        <v>69</v>
      </c>
      <c r="C156" s="134" t="s">
        <v>432</v>
      </c>
      <c r="D156" s="164" t="n">
        <v>14.026</v>
      </c>
      <c r="E156" s="164" t="n">
        <v>0.047</v>
      </c>
      <c r="F156" s="164" t="n">
        <v>0.247</v>
      </c>
      <c r="G156" s="165" t="n">
        <v>8.8</v>
      </c>
      <c r="H156" s="166" t="n">
        <v>14</v>
      </c>
      <c r="I156" s="167" t="n">
        <v>27.8</v>
      </c>
      <c r="J156" s="164" t="n">
        <v>2.092</v>
      </c>
      <c r="K156" s="164" t="n">
        <v>0.075</v>
      </c>
      <c r="L156" s="165" t="n">
        <v>0</v>
      </c>
      <c r="M156" s="166" t="n">
        <v>15</v>
      </c>
      <c r="N156" s="167" t="n">
        <v>272.2</v>
      </c>
      <c r="O156" s="164" t="n">
        <v>11.934</v>
      </c>
      <c r="P156" s="164" t="n">
        <v>0.044</v>
      </c>
      <c r="Q156" s="165" t="n">
        <v>8.8</v>
      </c>
      <c r="R156" s="134" t="s">
        <v>71</v>
      </c>
      <c r="S156" s="134" t="s">
        <v>76</v>
      </c>
      <c r="T156" s="134" t="s">
        <v>66</v>
      </c>
      <c r="U156" s="166" t="n">
        <v>125</v>
      </c>
      <c r="V156" s="165" t="n">
        <v>4.2</v>
      </c>
      <c r="W156" s="165" t="s">
        <v>81</v>
      </c>
      <c r="X156" s="134" t="n">
        <v>8</v>
      </c>
      <c r="Y156" s="168"/>
    </row>
    <row r="157" customFormat="false" ht="16" hidden="false" customHeight="false" outlineLevel="0" collapsed="false">
      <c r="A157" s="141" t="s">
        <v>504</v>
      </c>
      <c r="B157" s="142"/>
      <c r="C157" s="142"/>
      <c r="D157" s="143" t="n">
        <f aca="false">AVERAGE(D150:D156)</f>
        <v>9.34685714285714</v>
      </c>
      <c r="E157" s="144"/>
      <c r="F157" s="144"/>
      <c r="G157" s="145"/>
      <c r="H157" s="144"/>
      <c r="I157" s="146" t="n">
        <f aca="false">AVERAGE(I150:I156)</f>
        <v>22.5</v>
      </c>
      <c r="J157" s="147"/>
      <c r="K157" s="147"/>
      <c r="L157" s="147"/>
      <c r="M157" s="147"/>
      <c r="N157" s="146" t="n">
        <f aca="false">AVERAGE(N150:N156)</f>
        <v>277.5</v>
      </c>
      <c r="O157" s="147"/>
      <c r="P157" s="147"/>
      <c r="Q157" s="147"/>
      <c r="R157" s="147"/>
      <c r="S157" s="147"/>
      <c r="T157" s="147"/>
      <c r="U157" s="148"/>
      <c r="V157" s="149"/>
      <c r="W157" s="147"/>
      <c r="X157" s="147"/>
      <c r="Y157" s="14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T149"/>
  <sheetViews>
    <sheetView showFormulas="false" showGridLines="true" showRowColHeaders="true" showZeros="true" rightToLeft="false" tabSelected="false" showOutlineSymbols="true" defaultGridColor="true" view="normal" topLeftCell="X1" colorId="64" zoomScale="65" zoomScaleNormal="65" zoomScalePageLayoutView="100" workbookViewId="0">
      <selection pane="topLeft" activeCell="AF6" activeCellId="0" sqref="AF6"/>
    </sheetView>
  </sheetViews>
  <sheetFormatPr defaultColWidth="10.55078125" defaultRowHeight="13" zeroHeight="false" outlineLevelRow="0" outlineLevelCol="0"/>
  <cols>
    <col collapsed="false" customWidth="true" hidden="false" outlineLevel="0" max="2" min="2" style="0" width="11.33"/>
    <col collapsed="false" customWidth="true" hidden="false" outlineLevel="0" max="6" min="6" style="0" width="13.5"/>
    <col collapsed="false" customWidth="true" hidden="false" outlineLevel="0" max="7" min="7" style="0" width="12.33"/>
    <col collapsed="false" customWidth="true" hidden="false" outlineLevel="0" max="8" min="8" style="0" width="14.34"/>
    <col collapsed="false" customWidth="true" hidden="false" outlineLevel="0" max="9" min="9" style="0" width="20.66"/>
    <col collapsed="false" customWidth="true" hidden="false" outlineLevel="0" max="10" min="10" style="0" width="10.84"/>
    <col collapsed="false" customWidth="true" hidden="false" outlineLevel="0" max="11" min="11" style="0" width="12.66"/>
    <col collapsed="false" customWidth="true" hidden="false" outlineLevel="0" max="12" min="12" style="0" width="16.67"/>
    <col collapsed="false" customWidth="true" hidden="false" outlineLevel="0" max="13" min="13" style="0" width="15.49"/>
    <col collapsed="false" customWidth="true" hidden="false" outlineLevel="0" max="17" min="17" style="0" width="11.16"/>
    <col collapsed="false" customWidth="true" hidden="false" outlineLevel="0" max="18" min="18" style="0" width="13.66"/>
    <col collapsed="false" customWidth="true" hidden="false" outlineLevel="0" max="19" min="19" style="0" width="11.66"/>
    <col collapsed="false" customWidth="true" hidden="false" outlineLevel="0" max="21" min="21" style="0" width="14.16"/>
    <col collapsed="false" customWidth="true" hidden="false" outlineLevel="0" max="24" min="24" style="0" width="12.33"/>
    <col collapsed="false" customWidth="true" hidden="false" outlineLevel="0" max="27" min="27" style="0" width="11.16"/>
    <col collapsed="false" customWidth="true" hidden="false" outlineLevel="0" max="28" min="28" style="0" width="14.5"/>
    <col collapsed="false" customWidth="true" hidden="false" outlineLevel="0" max="29" min="29" style="0" width="13.33"/>
    <col collapsed="false" customWidth="true" hidden="false" outlineLevel="0" max="30" min="30" style="0" width="15.34"/>
    <col collapsed="false" customWidth="true" hidden="false" outlineLevel="0" max="31" min="31" style="0" width="15.66"/>
    <col collapsed="false" customWidth="true" hidden="false" outlineLevel="0" max="32" min="32" style="0" width="16.83"/>
    <col collapsed="false" customWidth="true" hidden="false" outlineLevel="0" max="33" min="33" style="0" width="13.83"/>
    <col collapsed="false" customWidth="true" hidden="false" outlineLevel="0" max="34" min="34" style="0" width="20.5"/>
    <col collapsed="false" customWidth="true" hidden="false" outlineLevel="0" max="35" min="35" style="0" width="17.16"/>
    <col collapsed="false" customWidth="true" hidden="false" outlineLevel="0" max="36" min="36" style="0" width="13.17"/>
    <col collapsed="false" customWidth="true" hidden="false" outlineLevel="0" max="37" min="37" style="0" width="15.66"/>
  </cols>
  <sheetData>
    <row r="1" customFormat="false" ht="13" hidden="false" customHeight="false" outlineLevel="0" collapsed="false">
      <c r="A1" s="113" t="s">
        <v>516</v>
      </c>
      <c r="W1" s="113" t="s">
        <v>517</v>
      </c>
    </row>
    <row r="2" customFormat="false" ht="15" hidden="false" customHeight="false" outlineLevel="0" collapsed="false">
      <c r="A2" s="202" t="s">
        <v>1</v>
      </c>
      <c r="B2" s="203" t="s">
        <v>3</v>
      </c>
      <c r="C2" s="203" t="s">
        <v>4</v>
      </c>
      <c r="D2" s="203" t="s">
        <v>5</v>
      </c>
      <c r="E2" s="204" t="s">
        <v>8</v>
      </c>
      <c r="F2" s="204" t="s">
        <v>9</v>
      </c>
      <c r="G2" s="204" t="s">
        <v>10</v>
      </c>
      <c r="H2" s="205" t="s">
        <v>11</v>
      </c>
      <c r="I2" s="206" t="s">
        <v>45</v>
      </c>
      <c r="J2" s="207" t="s">
        <v>46</v>
      </c>
      <c r="K2" s="207" t="s">
        <v>47</v>
      </c>
      <c r="L2" s="207" t="s">
        <v>48</v>
      </c>
      <c r="M2" s="207" t="s">
        <v>49</v>
      </c>
      <c r="N2" s="207" t="s">
        <v>50</v>
      </c>
      <c r="O2" s="207" t="s">
        <v>51</v>
      </c>
      <c r="P2" s="207" t="s">
        <v>493</v>
      </c>
      <c r="Q2" s="207" t="s">
        <v>53</v>
      </c>
      <c r="R2" s="207" t="s">
        <v>54</v>
      </c>
      <c r="S2" s="207" t="s">
        <v>55</v>
      </c>
      <c r="T2" s="207" t="s">
        <v>56</v>
      </c>
      <c r="U2" s="207" t="s">
        <v>57</v>
      </c>
      <c r="V2" s="208" t="s">
        <v>518</v>
      </c>
      <c r="W2" s="207" t="s">
        <v>519</v>
      </c>
      <c r="X2" s="207" t="s">
        <v>520</v>
      </c>
      <c r="Y2" s="207" t="s">
        <v>521</v>
      </c>
      <c r="Z2" s="207" t="s">
        <v>522</v>
      </c>
      <c r="AA2" s="209" t="s">
        <v>523</v>
      </c>
      <c r="AB2" s="209" t="s">
        <v>524</v>
      </c>
      <c r="AC2" s="209" t="s">
        <v>525</v>
      </c>
      <c r="AD2" s="210" t="s">
        <v>526</v>
      </c>
      <c r="AE2" s="206" t="s">
        <v>527</v>
      </c>
      <c r="AF2" s="207" t="s">
        <v>528</v>
      </c>
      <c r="AG2" s="207" t="s">
        <v>529</v>
      </c>
      <c r="AH2" s="207" t="s">
        <v>530</v>
      </c>
      <c r="AI2" s="206" t="s">
        <v>531</v>
      </c>
      <c r="AJ2" s="206" t="s">
        <v>532</v>
      </c>
      <c r="AK2" s="210" t="s">
        <v>533</v>
      </c>
    </row>
    <row r="3" customFormat="false" ht="15" hidden="true" customHeight="false" outlineLevel="0" collapsed="false">
      <c r="A3" s="211" t="s">
        <v>58</v>
      </c>
      <c r="B3" s="212" t="s">
        <v>60</v>
      </c>
      <c r="C3" s="212" t="s">
        <v>61</v>
      </c>
      <c r="D3" s="212" t="s">
        <v>191</v>
      </c>
      <c r="E3" s="213" t="n">
        <v>11.291</v>
      </c>
      <c r="F3" s="213" t="n">
        <v>0.031</v>
      </c>
      <c r="G3" s="213" t="n">
        <v>0.258</v>
      </c>
      <c r="H3" s="214" t="n">
        <v>68.3</v>
      </c>
      <c r="I3" s="96" t="n">
        <v>78.8</v>
      </c>
      <c r="J3" s="96" t="n">
        <v>-27</v>
      </c>
      <c r="K3" s="94" t="n">
        <v>-0.342639593908629</v>
      </c>
      <c r="L3" s="96" t="n">
        <v>32.8680203045685</v>
      </c>
      <c r="M3" s="90" t="n">
        <v>42.2735346358792</v>
      </c>
      <c r="N3" s="45" t="s">
        <v>64</v>
      </c>
      <c r="O3" s="45" t="s">
        <v>65</v>
      </c>
      <c r="P3" s="215" t="s">
        <v>66</v>
      </c>
      <c r="Q3" s="215" t="n">
        <v>99</v>
      </c>
      <c r="R3" s="214" t="n">
        <v>3.3</v>
      </c>
      <c r="S3" s="215" t="s">
        <v>67</v>
      </c>
      <c r="T3" s="215" t="n">
        <v>3</v>
      </c>
      <c r="U3" s="216"/>
      <c r="W3" s="217" t="s">
        <v>58</v>
      </c>
      <c r="X3" s="45" t="s">
        <v>60</v>
      </c>
      <c r="Y3" s="45" t="s">
        <v>310</v>
      </c>
      <c r="Z3" s="45" t="s">
        <v>372</v>
      </c>
      <c r="AA3" s="95" t="n">
        <v>4.931</v>
      </c>
      <c r="AB3" s="95" t="n">
        <v>0.014</v>
      </c>
      <c r="AC3" s="95" t="n">
        <v>0.195</v>
      </c>
      <c r="AD3" s="94" t="n">
        <v>126.4</v>
      </c>
      <c r="AE3" s="96" t="n">
        <v>140.9</v>
      </c>
      <c r="AF3" s="96" t="n">
        <v>42.3</v>
      </c>
      <c r="AG3" s="94" t="n">
        <v>0.300212916962385</v>
      </c>
      <c r="AH3" s="96" t="n">
        <v>65.0106458481192</v>
      </c>
      <c r="AI3" s="96" t="n">
        <v>54.1472506989748</v>
      </c>
      <c r="AJ3" s="96" t="n">
        <v>182</v>
      </c>
      <c r="AK3" s="94" t="n">
        <v>6.06666666666667</v>
      </c>
    </row>
    <row r="4" customFormat="false" ht="15" hidden="true" customHeight="false" outlineLevel="0" collapsed="false">
      <c r="A4" s="211" t="s">
        <v>68</v>
      </c>
      <c r="B4" s="212" t="s">
        <v>69</v>
      </c>
      <c r="C4" s="212" t="s">
        <v>61</v>
      </c>
      <c r="D4" s="212" t="s">
        <v>191</v>
      </c>
      <c r="E4" s="213" t="n">
        <v>8.089</v>
      </c>
      <c r="F4" s="213" t="n">
        <v>0.022</v>
      </c>
      <c r="G4" s="213" t="n">
        <v>0.327</v>
      </c>
      <c r="H4" s="214" t="n">
        <v>80.2</v>
      </c>
      <c r="I4" s="96" t="n">
        <v>144.7</v>
      </c>
      <c r="J4" s="96" t="n">
        <v>83.5</v>
      </c>
      <c r="K4" s="94" t="n">
        <v>0.57705597788528</v>
      </c>
      <c r="L4" s="96" t="n">
        <v>78.852798894264</v>
      </c>
      <c r="M4" s="90" t="n">
        <v>58.6257309941521</v>
      </c>
      <c r="N4" s="45" t="s">
        <v>71</v>
      </c>
      <c r="O4" s="45" t="s">
        <v>65</v>
      </c>
      <c r="P4" s="215" t="s">
        <v>72</v>
      </c>
      <c r="Q4" s="215" t="n">
        <v>99</v>
      </c>
      <c r="R4" s="214" t="n">
        <v>3.3</v>
      </c>
      <c r="S4" s="215" t="s">
        <v>67</v>
      </c>
      <c r="T4" s="215" t="n">
        <v>1</v>
      </c>
      <c r="U4" s="216"/>
      <c r="W4" s="217" t="s">
        <v>68</v>
      </c>
      <c r="X4" s="45" t="s">
        <v>69</v>
      </c>
      <c r="Y4" s="45" t="s">
        <v>310</v>
      </c>
      <c r="Z4" s="45" t="s">
        <v>374</v>
      </c>
      <c r="AA4" s="95" t="n">
        <v>6.784</v>
      </c>
      <c r="AB4" s="95" t="n">
        <v>0.019</v>
      </c>
      <c r="AC4" s="95" t="n">
        <v>0.237</v>
      </c>
      <c r="AD4" s="94" t="n">
        <v>46.3</v>
      </c>
      <c r="AE4" s="96" t="n">
        <v>53.6</v>
      </c>
      <c r="AF4" s="96" t="n">
        <v>25.8</v>
      </c>
      <c r="AG4" s="94" t="n">
        <v>0.48134328358209</v>
      </c>
      <c r="AH4" s="96" t="n">
        <v>74.0671641791045</v>
      </c>
      <c r="AI4" s="96" t="n">
        <v>55.3908355795148</v>
      </c>
      <c r="AJ4" s="96" t="n">
        <v>182</v>
      </c>
      <c r="AK4" s="94" t="n">
        <v>6.06666666666667</v>
      </c>
    </row>
    <row r="5" customFormat="false" ht="15" hidden="true" customHeight="false" outlineLevel="0" collapsed="false">
      <c r="A5" s="211" t="s">
        <v>73</v>
      </c>
      <c r="B5" s="212" t="s">
        <v>74</v>
      </c>
      <c r="C5" s="212" t="s">
        <v>61</v>
      </c>
      <c r="D5" s="212" t="s">
        <v>191</v>
      </c>
      <c r="E5" s="213" t="n">
        <v>10.077</v>
      </c>
      <c r="F5" s="213" t="n">
        <v>0.028</v>
      </c>
      <c r="G5" s="213" t="n">
        <v>0.247</v>
      </c>
      <c r="H5" s="214" t="n">
        <v>40.1</v>
      </c>
      <c r="I5" s="96" t="n">
        <v>114.2</v>
      </c>
      <c r="J5" s="96" t="n">
        <v>-10.6</v>
      </c>
      <c r="K5" s="94" t="n">
        <v>-0.0928196147110333</v>
      </c>
      <c r="L5" s="96" t="n">
        <v>45.3590192644483</v>
      </c>
      <c r="M5" s="90" t="n">
        <v>54.8238012709417</v>
      </c>
      <c r="N5" s="45" t="s">
        <v>64</v>
      </c>
      <c r="O5" s="45" t="s">
        <v>76</v>
      </c>
      <c r="P5" s="215" t="s">
        <v>72</v>
      </c>
      <c r="Q5" s="215" t="n">
        <v>94</v>
      </c>
      <c r="R5" s="214" t="n">
        <v>3.13333333333333</v>
      </c>
      <c r="S5" s="215" t="s">
        <v>67</v>
      </c>
      <c r="T5" s="215" t="n">
        <v>5</v>
      </c>
      <c r="U5" s="216" t="s">
        <v>77</v>
      </c>
      <c r="W5" s="217" t="s">
        <v>73</v>
      </c>
      <c r="X5" s="45" t="s">
        <v>74</v>
      </c>
      <c r="Y5" s="45" t="s">
        <v>310</v>
      </c>
      <c r="Z5" s="45" t="s">
        <v>374</v>
      </c>
      <c r="AA5" s="95" t="n">
        <v>4.288</v>
      </c>
      <c r="AB5" s="95" t="n">
        <v>0.012</v>
      </c>
      <c r="AC5" s="95" t="n">
        <v>0.216</v>
      </c>
      <c r="AD5" s="94" t="n">
        <v>118.7</v>
      </c>
      <c r="AE5" s="96" t="n">
        <v>29.1</v>
      </c>
      <c r="AF5" s="96" t="n">
        <v>19.5</v>
      </c>
      <c r="AG5" s="94" t="n">
        <v>0.670103092783505</v>
      </c>
      <c r="AH5" s="96" t="n">
        <v>83.5051546391753</v>
      </c>
      <c r="AI5" s="96" t="n">
        <v>53.7634408602151</v>
      </c>
      <c r="AJ5" s="96" t="n">
        <v>177</v>
      </c>
      <c r="AK5" s="94" t="n">
        <v>5.9</v>
      </c>
    </row>
    <row r="6" customFormat="false" ht="15" hidden="false" customHeight="false" outlineLevel="0" collapsed="false">
      <c r="A6" s="211" t="s">
        <v>78</v>
      </c>
      <c r="B6" s="212" t="s">
        <v>79</v>
      </c>
      <c r="C6" s="212" t="s">
        <v>61</v>
      </c>
      <c r="D6" s="212" t="s">
        <v>191</v>
      </c>
      <c r="E6" s="213" t="n">
        <v>20.377</v>
      </c>
      <c r="F6" s="213" t="n">
        <v>0.057</v>
      </c>
      <c r="G6" s="213" t="n">
        <v>0.248</v>
      </c>
      <c r="H6" s="214" t="n">
        <v>8.4</v>
      </c>
      <c r="I6" s="96" t="n">
        <v>99.4</v>
      </c>
      <c r="J6" s="96" t="n">
        <v>-8</v>
      </c>
      <c r="K6" s="94" t="n">
        <v>-0.0804828973843058</v>
      </c>
      <c r="L6" s="96" t="n">
        <v>45.9758551307847</v>
      </c>
      <c r="M6" s="90" t="n">
        <v>46.7455621301775</v>
      </c>
      <c r="N6" s="45" t="s">
        <v>64</v>
      </c>
      <c r="O6" s="45" t="s">
        <v>76</v>
      </c>
      <c r="P6" s="215" t="s">
        <v>66</v>
      </c>
      <c r="Q6" s="215" t="n">
        <v>94</v>
      </c>
      <c r="R6" s="214" t="n">
        <v>3.13333333333333</v>
      </c>
      <c r="S6" s="215" t="s">
        <v>81</v>
      </c>
      <c r="T6" s="215" t="n">
        <v>8</v>
      </c>
      <c r="U6" s="216"/>
      <c r="W6" s="217" t="s">
        <v>78</v>
      </c>
      <c r="X6" s="45" t="s">
        <v>79</v>
      </c>
      <c r="Y6" s="45" t="s">
        <v>310</v>
      </c>
      <c r="Z6" s="45" t="s">
        <v>374</v>
      </c>
      <c r="AA6" s="95" t="n">
        <v>14.268</v>
      </c>
      <c r="AB6" s="95" t="n">
        <v>0.04</v>
      </c>
      <c r="AC6" s="95" t="n">
        <v>0.304</v>
      </c>
      <c r="AD6" s="94" t="n">
        <v>64.3</v>
      </c>
      <c r="AE6" s="96" t="n">
        <v>71</v>
      </c>
      <c r="AF6" s="96" t="n">
        <v>34</v>
      </c>
      <c r="AG6" s="94" t="n">
        <v>0.47887323943662</v>
      </c>
      <c r="AH6" s="96" t="n">
        <v>73.943661971831</v>
      </c>
      <c r="AI6" s="96" t="n">
        <v>41.6040100250627</v>
      </c>
      <c r="AJ6" s="96" t="n">
        <v>177</v>
      </c>
      <c r="AK6" s="94" t="n">
        <v>5.9</v>
      </c>
    </row>
    <row r="7" customFormat="false" ht="15" hidden="true" customHeight="false" outlineLevel="0" collapsed="false">
      <c r="A7" s="211" t="s">
        <v>82</v>
      </c>
      <c r="B7" s="212" t="s">
        <v>60</v>
      </c>
      <c r="C7" s="212" t="s">
        <v>61</v>
      </c>
      <c r="D7" s="212" t="s">
        <v>196</v>
      </c>
      <c r="E7" s="213" t="n">
        <v>8.433</v>
      </c>
      <c r="F7" s="213" t="n">
        <v>0.023</v>
      </c>
      <c r="G7" s="213" t="n">
        <v>0.202</v>
      </c>
      <c r="H7" s="214" t="n">
        <v>38.1</v>
      </c>
      <c r="I7" s="96" t="n">
        <v>22.2</v>
      </c>
      <c r="J7" s="96" t="n">
        <v>-3.6</v>
      </c>
      <c r="K7" s="94" t="n">
        <v>-0.162162162162162</v>
      </c>
      <c r="L7" s="96" t="n">
        <v>41.8918918918919</v>
      </c>
      <c r="M7" s="90" t="n">
        <v>45.5223880597015</v>
      </c>
      <c r="N7" s="45" t="s">
        <v>64</v>
      </c>
      <c r="O7" s="45" t="s">
        <v>76</v>
      </c>
      <c r="P7" s="215" t="s">
        <v>66</v>
      </c>
      <c r="Q7" s="215" t="n">
        <v>94</v>
      </c>
      <c r="R7" s="214" t="n">
        <v>3.13333333333333</v>
      </c>
      <c r="S7" s="215" t="s">
        <v>67</v>
      </c>
      <c r="T7" s="215" t="n">
        <v>7</v>
      </c>
      <c r="U7" s="216" t="s">
        <v>77</v>
      </c>
      <c r="W7" s="217" t="s">
        <v>82</v>
      </c>
      <c r="X7" s="45" t="s">
        <v>60</v>
      </c>
      <c r="Y7" s="45" t="s">
        <v>310</v>
      </c>
      <c r="Z7" s="45" t="s">
        <v>378</v>
      </c>
      <c r="AA7" s="95" t="n">
        <v>9.713</v>
      </c>
      <c r="AB7" s="95" t="n">
        <v>0.027</v>
      </c>
      <c r="AC7" s="95" t="n">
        <v>0.361</v>
      </c>
      <c r="AD7" s="94" t="n">
        <v>59.6</v>
      </c>
      <c r="AE7" s="96" t="n">
        <v>59.6</v>
      </c>
      <c r="AF7" s="96" t="n">
        <v>18.6</v>
      </c>
      <c r="AG7" s="94" t="n">
        <v>0.312080536912752</v>
      </c>
      <c r="AH7" s="96" t="n">
        <v>65.6040268456376</v>
      </c>
      <c r="AI7" s="96" t="n">
        <v>45.6980519480519</v>
      </c>
      <c r="AJ7" s="96" t="n">
        <v>177</v>
      </c>
      <c r="AK7" s="94" t="n">
        <v>5.9</v>
      </c>
    </row>
    <row r="8" customFormat="false" ht="15" hidden="false" customHeight="false" outlineLevel="0" collapsed="false">
      <c r="A8" s="211" t="s">
        <v>85</v>
      </c>
      <c r="B8" s="212" t="s">
        <v>69</v>
      </c>
      <c r="C8" s="212" t="s">
        <v>61</v>
      </c>
      <c r="D8" s="212" t="s">
        <v>198</v>
      </c>
      <c r="E8" s="213" t="n">
        <v>5.803</v>
      </c>
      <c r="F8" s="213" t="n">
        <v>0.016</v>
      </c>
      <c r="G8" s="213" t="n">
        <v>0.273</v>
      </c>
      <c r="H8" s="214" t="n">
        <v>164.9</v>
      </c>
      <c r="I8" s="96" t="n">
        <v>36.2</v>
      </c>
      <c r="J8" s="96" t="n">
        <v>-23.8</v>
      </c>
      <c r="K8" s="94" t="n">
        <v>-0.657458563535912</v>
      </c>
      <c r="L8" s="96" t="n">
        <v>17.1270718232044</v>
      </c>
      <c r="M8" s="90" t="n">
        <v>24.2603550295858</v>
      </c>
      <c r="N8" s="45" t="s">
        <v>71</v>
      </c>
      <c r="O8" s="45" t="s">
        <v>76</v>
      </c>
      <c r="P8" s="215" t="s">
        <v>66</v>
      </c>
      <c r="Q8" s="215" t="n">
        <v>94</v>
      </c>
      <c r="R8" s="214" t="n">
        <v>3.13333333333333</v>
      </c>
      <c r="S8" s="215" t="s">
        <v>81</v>
      </c>
      <c r="T8" s="215" t="n">
        <v>8</v>
      </c>
      <c r="U8" s="216"/>
      <c r="W8" s="217" t="s">
        <v>85</v>
      </c>
      <c r="X8" s="45" t="s">
        <v>69</v>
      </c>
      <c r="Y8" s="45" t="s">
        <v>310</v>
      </c>
      <c r="Z8" s="45" t="s">
        <v>380</v>
      </c>
      <c r="AA8" s="95" t="n">
        <v>10.512</v>
      </c>
      <c r="AB8" s="95" t="n">
        <v>0.029</v>
      </c>
      <c r="AC8" s="95" t="n">
        <v>0.33</v>
      </c>
      <c r="AD8" s="94" t="n">
        <v>149.8</v>
      </c>
      <c r="AE8" s="96" t="n">
        <v>97.9</v>
      </c>
      <c r="AF8" s="96" t="n">
        <v>-52.5</v>
      </c>
      <c r="AG8" s="94" t="n">
        <v>-0.536261491317671</v>
      </c>
      <c r="AH8" s="96" t="n">
        <v>23.1869254341164</v>
      </c>
      <c r="AI8" s="96" t="n">
        <v>61.2937433722163</v>
      </c>
      <c r="AJ8" s="96" t="n">
        <v>177</v>
      </c>
      <c r="AK8" s="94" t="n">
        <v>5.9</v>
      </c>
    </row>
    <row r="9" customFormat="false" ht="15" hidden="true" customHeight="false" outlineLevel="0" collapsed="false">
      <c r="A9" s="211" t="s">
        <v>87</v>
      </c>
      <c r="B9" s="212" t="s">
        <v>74</v>
      </c>
      <c r="C9" s="212" t="s">
        <v>61</v>
      </c>
      <c r="D9" s="212" t="s">
        <v>196</v>
      </c>
      <c r="E9" s="213" t="n">
        <v>6.068</v>
      </c>
      <c r="F9" s="213" t="n">
        <v>0.017</v>
      </c>
      <c r="G9" s="213" t="n">
        <v>0.216</v>
      </c>
      <c r="H9" s="214" t="n">
        <v>139.5</v>
      </c>
      <c r="I9" s="96" t="n">
        <v>81.5</v>
      </c>
      <c r="J9" s="96" t="n">
        <v>36.9</v>
      </c>
      <c r="K9" s="94" t="n">
        <v>0.452760736196319</v>
      </c>
      <c r="L9" s="96" t="n">
        <v>72.638036809816</v>
      </c>
      <c r="M9" s="90" t="n">
        <v>35.9882005899705</v>
      </c>
      <c r="N9" s="45" t="s">
        <v>71</v>
      </c>
      <c r="O9" s="45" t="s">
        <v>76</v>
      </c>
      <c r="P9" s="215" t="s">
        <v>72</v>
      </c>
      <c r="Q9" s="215" t="n">
        <v>94</v>
      </c>
      <c r="R9" s="214" t="n">
        <v>3.13333333333333</v>
      </c>
      <c r="S9" s="215" t="s">
        <v>67</v>
      </c>
      <c r="T9" s="215" t="n">
        <v>5</v>
      </c>
      <c r="U9" s="216"/>
      <c r="W9" s="217" t="s">
        <v>87</v>
      </c>
      <c r="X9" s="45" t="s">
        <v>74</v>
      </c>
      <c r="Y9" s="45" t="s">
        <v>310</v>
      </c>
      <c r="Z9" s="45" t="s">
        <v>380</v>
      </c>
      <c r="AA9" s="95" t="n">
        <v>14.375</v>
      </c>
      <c r="AB9" s="95" t="n">
        <v>0.04</v>
      </c>
      <c r="AC9" s="95" t="n">
        <v>0.282</v>
      </c>
      <c r="AD9" s="94" t="n">
        <v>57.1</v>
      </c>
      <c r="AE9" s="96" t="n">
        <v>68.5</v>
      </c>
      <c r="AF9" s="96" t="n">
        <v>-9.3</v>
      </c>
      <c r="AG9" s="94" t="n">
        <v>-0.135766423357664</v>
      </c>
      <c r="AH9" s="96" t="n">
        <v>43.2116788321168</v>
      </c>
      <c r="AI9" s="96" t="n">
        <v>52.375</v>
      </c>
      <c r="AJ9" s="96" t="n">
        <v>177</v>
      </c>
      <c r="AK9" s="94" t="n">
        <v>5.9</v>
      </c>
    </row>
    <row r="10" customFormat="false" ht="15" hidden="false" customHeight="false" outlineLevel="0" collapsed="false">
      <c r="A10" s="211" t="s">
        <v>89</v>
      </c>
      <c r="B10" s="212" t="s">
        <v>79</v>
      </c>
      <c r="C10" s="212" t="s">
        <v>61</v>
      </c>
      <c r="D10" s="212" t="s">
        <v>196</v>
      </c>
      <c r="E10" s="213" t="n">
        <v>3.543</v>
      </c>
      <c r="F10" s="213" t="n">
        <v>0.01</v>
      </c>
      <c r="G10" s="213" t="n">
        <v>0.252</v>
      </c>
      <c r="H10" s="214" t="n">
        <v>185.1</v>
      </c>
      <c r="I10" s="96" t="n">
        <v>6.9</v>
      </c>
      <c r="J10" s="96" t="n">
        <v>6.9</v>
      </c>
      <c r="K10" s="94" t="n">
        <v>1</v>
      </c>
      <c r="L10" s="96" t="n">
        <v>100</v>
      </c>
      <c r="M10" s="90" t="n">
        <v>23.6714975845411</v>
      </c>
      <c r="N10" s="45" t="s">
        <v>71</v>
      </c>
      <c r="O10" s="45" t="s">
        <v>76</v>
      </c>
      <c r="P10" s="215" t="s">
        <v>66</v>
      </c>
      <c r="Q10" s="215" t="n">
        <v>94</v>
      </c>
      <c r="R10" s="214" t="n">
        <v>3.13333333333333</v>
      </c>
      <c r="S10" s="215" t="s">
        <v>81</v>
      </c>
      <c r="T10" s="215" t="n">
        <v>8</v>
      </c>
      <c r="U10" s="216" t="s">
        <v>91</v>
      </c>
      <c r="W10" s="217" t="s">
        <v>89</v>
      </c>
      <c r="X10" s="45" t="s">
        <v>79</v>
      </c>
      <c r="Y10" s="45" t="s">
        <v>310</v>
      </c>
      <c r="Z10" s="45" t="s">
        <v>380</v>
      </c>
      <c r="AA10" s="95" t="n">
        <v>11.79</v>
      </c>
      <c r="AB10" s="95" t="n">
        <v>0.033</v>
      </c>
      <c r="AC10" s="95" t="n">
        <v>0.33</v>
      </c>
      <c r="AD10" s="94" t="n">
        <v>79.6</v>
      </c>
      <c r="AE10" s="96" t="n">
        <v>104.9</v>
      </c>
      <c r="AF10" s="96" t="n">
        <v>-31.5</v>
      </c>
      <c r="AG10" s="94" t="n">
        <v>-0.300285986653956</v>
      </c>
      <c r="AH10" s="96" t="n">
        <v>34.9857006673022</v>
      </c>
      <c r="AI10" s="96" t="n">
        <v>41.4762741652021</v>
      </c>
      <c r="AJ10" s="96" t="n">
        <v>177</v>
      </c>
      <c r="AK10" s="94" t="n">
        <v>5.9</v>
      </c>
    </row>
    <row r="11" customFormat="false" ht="15" hidden="true" customHeight="false" outlineLevel="0" collapsed="false">
      <c r="A11" s="211" t="s">
        <v>92</v>
      </c>
      <c r="B11" s="212" t="s">
        <v>60</v>
      </c>
      <c r="C11" s="212" t="s">
        <v>61</v>
      </c>
      <c r="D11" s="212" t="s">
        <v>202</v>
      </c>
      <c r="E11" s="213" t="n">
        <v>6.523</v>
      </c>
      <c r="F11" s="213" t="n">
        <v>0.018</v>
      </c>
      <c r="G11" s="213" t="n">
        <v>0.217</v>
      </c>
      <c r="H11" s="214" t="n">
        <v>187.3</v>
      </c>
      <c r="I11" s="96" t="n">
        <v>23.3</v>
      </c>
      <c r="J11" s="96" t="n">
        <v>3.3</v>
      </c>
      <c r="K11" s="94" t="n">
        <v>0.141630901287554</v>
      </c>
      <c r="L11" s="96" t="n">
        <v>57.0815450643777</v>
      </c>
      <c r="M11" s="90" t="n">
        <v>48.28125</v>
      </c>
      <c r="N11" s="45" t="s">
        <v>71</v>
      </c>
      <c r="O11" s="45" t="s">
        <v>76</v>
      </c>
      <c r="P11" s="215" t="s">
        <v>66</v>
      </c>
      <c r="Q11" s="215" t="n">
        <v>94</v>
      </c>
      <c r="R11" s="214" t="n">
        <v>3.13333333333333</v>
      </c>
      <c r="S11" s="215" t="s">
        <v>67</v>
      </c>
      <c r="T11" s="215" t="n">
        <v>7</v>
      </c>
      <c r="U11" s="216" t="s">
        <v>95</v>
      </c>
      <c r="W11" s="217" t="s">
        <v>92</v>
      </c>
      <c r="X11" s="45" t="s">
        <v>60</v>
      </c>
      <c r="Y11" s="45" t="s">
        <v>310</v>
      </c>
      <c r="Z11" s="45" t="s">
        <v>384</v>
      </c>
      <c r="AA11" s="95" t="n">
        <v>11.5</v>
      </c>
      <c r="AB11" s="95" t="n">
        <v>0.032</v>
      </c>
      <c r="AC11" s="95" t="n">
        <v>0.364</v>
      </c>
      <c r="AD11" s="94" t="n">
        <v>62.5</v>
      </c>
      <c r="AE11" s="96" t="n">
        <v>99.2</v>
      </c>
      <c r="AF11" s="96" t="n">
        <v>-43.4</v>
      </c>
      <c r="AG11" s="94" t="n">
        <v>-0.4375</v>
      </c>
      <c r="AH11" s="96" t="n">
        <v>28.125</v>
      </c>
      <c r="AI11" s="96" t="n">
        <v>49.6890117484451</v>
      </c>
      <c r="AJ11" s="96" t="n">
        <v>177</v>
      </c>
      <c r="AK11" s="94" t="n">
        <v>5.9</v>
      </c>
    </row>
    <row r="12" customFormat="false" ht="15" hidden="true" customHeight="false" outlineLevel="0" collapsed="false">
      <c r="A12" s="211" t="s">
        <v>96</v>
      </c>
      <c r="B12" s="212" t="s">
        <v>69</v>
      </c>
      <c r="C12" s="212" t="s">
        <v>61</v>
      </c>
      <c r="D12" s="212" t="s">
        <v>202</v>
      </c>
      <c r="E12" s="213" t="n">
        <v>24.497</v>
      </c>
      <c r="F12" s="213" t="n">
        <v>0.068</v>
      </c>
      <c r="G12" s="213" t="n">
        <v>0.297</v>
      </c>
      <c r="H12" s="214" t="n">
        <v>2.4</v>
      </c>
      <c r="I12" s="96" t="n">
        <v>63.5</v>
      </c>
      <c r="J12" s="96" t="n">
        <v>-26.9</v>
      </c>
      <c r="K12" s="94" t="n">
        <v>-0.423622047244095</v>
      </c>
      <c r="L12" s="96" t="n">
        <v>28.8188976377953</v>
      </c>
      <c r="M12" s="90" t="n">
        <v>30.5801376597837</v>
      </c>
      <c r="N12" s="45" t="s">
        <v>71</v>
      </c>
      <c r="O12" s="45" t="s">
        <v>76</v>
      </c>
      <c r="P12" s="215" t="s">
        <v>72</v>
      </c>
      <c r="Q12" s="215" t="n">
        <v>94</v>
      </c>
      <c r="R12" s="214" t="n">
        <v>3.13333333333333</v>
      </c>
      <c r="S12" s="215" t="s">
        <v>81</v>
      </c>
      <c r="T12" s="215" t="n">
        <v>6</v>
      </c>
      <c r="U12" s="216" t="s">
        <v>98</v>
      </c>
      <c r="W12" s="217" t="s">
        <v>96</v>
      </c>
      <c r="X12" s="45" t="s">
        <v>69</v>
      </c>
      <c r="Y12" s="45" t="s">
        <v>310</v>
      </c>
      <c r="Z12" s="45" t="s">
        <v>384</v>
      </c>
      <c r="AA12" s="95" t="n">
        <v>31.84</v>
      </c>
      <c r="AB12" s="95" t="n">
        <v>0.088</v>
      </c>
      <c r="AC12" s="95" t="n">
        <v>0.338</v>
      </c>
      <c r="AD12" s="94" t="n">
        <v>13</v>
      </c>
      <c r="AE12" s="96" t="n">
        <v>83.4</v>
      </c>
      <c r="AF12" s="96" t="n">
        <v>12</v>
      </c>
      <c r="AG12" s="94" t="n">
        <v>0.143884892086331</v>
      </c>
      <c r="AH12" s="96" t="n">
        <v>57.1942446043165</v>
      </c>
      <c r="AI12" s="96" t="n">
        <v>51.1571254567601</v>
      </c>
      <c r="AJ12" s="96" t="n">
        <v>177</v>
      </c>
      <c r="AK12" s="94" t="n">
        <v>5.9</v>
      </c>
    </row>
    <row r="13" customFormat="false" ht="15" hidden="true" customHeight="false" outlineLevel="0" collapsed="false">
      <c r="A13" s="211" t="s">
        <v>99</v>
      </c>
      <c r="B13" s="212" t="s">
        <v>74</v>
      </c>
      <c r="C13" s="212" t="s">
        <v>61</v>
      </c>
      <c r="D13" s="212" t="s">
        <v>202</v>
      </c>
      <c r="E13" s="213" t="n">
        <v>9.285</v>
      </c>
      <c r="F13" s="213" t="n">
        <v>0.026</v>
      </c>
      <c r="G13" s="213" t="n">
        <v>0.274</v>
      </c>
      <c r="H13" s="214" t="n">
        <v>87.9</v>
      </c>
      <c r="I13" s="96" t="n">
        <v>42</v>
      </c>
      <c r="J13" s="96" t="n">
        <v>29</v>
      </c>
      <c r="K13" s="94" t="n">
        <v>0.69047619047619</v>
      </c>
      <c r="L13" s="96" t="n">
        <v>84.5238095238095</v>
      </c>
      <c r="M13" s="90" t="n">
        <v>62</v>
      </c>
      <c r="N13" s="45" t="s">
        <v>71</v>
      </c>
      <c r="O13" s="45" t="s">
        <v>76</v>
      </c>
      <c r="P13" s="215" t="s">
        <v>72</v>
      </c>
      <c r="Q13" s="215" t="n">
        <v>94</v>
      </c>
      <c r="R13" s="214" t="n">
        <v>3.13333333333333</v>
      </c>
      <c r="S13" s="215" t="s">
        <v>67</v>
      </c>
      <c r="T13" s="215" t="n">
        <v>5</v>
      </c>
      <c r="U13" s="216" t="s">
        <v>101</v>
      </c>
      <c r="W13" s="217" t="s">
        <v>99</v>
      </c>
      <c r="X13" s="45" t="s">
        <v>74</v>
      </c>
      <c r="Y13" s="45" t="s">
        <v>310</v>
      </c>
      <c r="Z13" s="45" t="s">
        <v>384</v>
      </c>
      <c r="AA13" s="95" t="n">
        <v>12.996</v>
      </c>
      <c r="AB13" s="95" t="n">
        <v>0.036</v>
      </c>
      <c r="AC13" s="95" t="n">
        <v>0.3</v>
      </c>
      <c r="AD13" s="94" t="n">
        <v>58.5</v>
      </c>
      <c r="AE13" s="96" t="n">
        <v>79.7</v>
      </c>
      <c r="AF13" s="96" t="n">
        <v>-42.5</v>
      </c>
      <c r="AG13" s="94" t="n">
        <v>-0.533249686323714</v>
      </c>
      <c r="AH13" s="96" t="n">
        <v>23.3375156838143</v>
      </c>
      <c r="AI13" s="96" t="n">
        <v>59.9526066350711</v>
      </c>
      <c r="AJ13" s="96" t="n">
        <v>177</v>
      </c>
      <c r="AK13" s="94" t="n">
        <v>5.9</v>
      </c>
    </row>
    <row r="14" customFormat="false" ht="15" hidden="true" customHeight="false" outlineLevel="0" collapsed="false">
      <c r="A14" s="211" t="s">
        <v>102</v>
      </c>
      <c r="B14" s="212" t="s">
        <v>79</v>
      </c>
      <c r="C14" s="212" t="s">
        <v>61</v>
      </c>
      <c r="D14" s="212" t="s">
        <v>202</v>
      </c>
      <c r="E14" s="213" t="n">
        <v>3.994</v>
      </c>
      <c r="F14" s="213" t="n">
        <v>0.011</v>
      </c>
      <c r="G14" s="213" t="n">
        <v>0.194</v>
      </c>
      <c r="H14" s="214" t="n">
        <v>212</v>
      </c>
      <c r="I14" s="96" t="n">
        <v>190.6</v>
      </c>
      <c r="J14" s="96" t="n">
        <v>-141.2</v>
      </c>
      <c r="K14" s="94" t="n">
        <v>-0.740818467995803</v>
      </c>
      <c r="L14" s="96" t="n">
        <v>12.9590766002099</v>
      </c>
      <c r="M14" s="90" t="e">
        <f aca="false">#DIV/0!</f>
        <v>#DIV/0!</v>
      </c>
      <c r="N14" s="45" t="s">
        <v>71</v>
      </c>
      <c r="O14" s="45" t="s">
        <v>76</v>
      </c>
      <c r="P14" s="215" t="s">
        <v>72</v>
      </c>
      <c r="Q14" s="215" t="n">
        <v>94</v>
      </c>
      <c r="R14" s="214" t="n">
        <v>3.13333333333333</v>
      </c>
      <c r="S14" s="215" t="s">
        <v>81</v>
      </c>
      <c r="T14" s="215" t="n">
        <v>6</v>
      </c>
      <c r="U14" s="216"/>
      <c r="W14" s="217" t="s">
        <v>102</v>
      </c>
      <c r="X14" s="45" t="s">
        <v>79</v>
      </c>
      <c r="Y14" s="45" t="s">
        <v>310</v>
      </c>
      <c r="Z14" s="45" t="s">
        <v>388</v>
      </c>
      <c r="AA14" s="95" t="n">
        <v>9.848</v>
      </c>
      <c r="AB14" s="95" t="n">
        <v>0.027</v>
      </c>
      <c r="AC14" s="95" t="n">
        <v>0.302</v>
      </c>
      <c r="AD14" s="94" t="n">
        <v>175</v>
      </c>
      <c r="AE14" s="96" t="n">
        <v>56.3</v>
      </c>
      <c r="AF14" s="96" t="n">
        <v>-7.5</v>
      </c>
      <c r="AG14" s="94" t="n">
        <v>-0.133214920071048</v>
      </c>
      <c r="AH14" s="96" t="n">
        <v>43.3392539964476</v>
      </c>
      <c r="AI14" s="96" t="n">
        <v>91.0714285714286</v>
      </c>
      <c r="AJ14" s="96" t="n">
        <v>177</v>
      </c>
      <c r="AK14" s="94" t="n">
        <v>5.9</v>
      </c>
    </row>
    <row r="15" customFormat="false" ht="15" hidden="true" customHeight="false" outlineLevel="0" collapsed="false">
      <c r="A15" s="218" t="s">
        <v>104</v>
      </c>
      <c r="B15" s="219" t="s">
        <v>60</v>
      </c>
      <c r="C15" s="219" t="s">
        <v>61</v>
      </c>
      <c r="D15" s="219" t="s">
        <v>207</v>
      </c>
      <c r="E15" s="220" t="n">
        <v>11.622</v>
      </c>
      <c r="F15" s="220" t="n">
        <v>0.032</v>
      </c>
      <c r="G15" s="220" t="n">
        <v>0.26</v>
      </c>
      <c r="H15" s="221" t="n">
        <v>25.7</v>
      </c>
      <c r="I15" s="222" t="n">
        <v>55.8</v>
      </c>
      <c r="J15" s="222" t="n">
        <v>13.2</v>
      </c>
      <c r="K15" s="56" t="n">
        <v>0.236559139784946</v>
      </c>
      <c r="L15" s="222" t="n">
        <v>61.8279569892473</v>
      </c>
      <c r="M15" s="223" t="n">
        <v>40.095087163233</v>
      </c>
      <c r="N15" s="55" t="s">
        <v>64</v>
      </c>
      <c r="O15" s="55" t="s">
        <v>65</v>
      </c>
      <c r="P15" s="55" t="s">
        <v>72</v>
      </c>
      <c r="Q15" s="55" t="n">
        <v>93</v>
      </c>
      <c r="R15" s="56" t="n">
        <v>3.1</v>
      </c>
      <c r="S15" s="224"/>
      <c r="T15" s="224"/>
      <c r="U15" s="225"/>
    </row>
    <row r="16" customFormat="false" ht="15" hidden="true" customHeight="false" outlineLevel="0" collapsed="false">
      <c r="A16" s="211" t="s">
        <v>107</v>
      </c>
      <c r="B16" s="212" t="s">
        <v>69</v>
      </c>
      <c r="C16" s="212" t="s">
        <v>61</v>
      </c>
      <c r="D16" s="212" t="s">
        <v>207</v>
      </c>
      <c r="E16" s="213" t="n">
        <v>11.958</v>
      </c>
      <c r="F16" s="213" t="n">
        <v>0.033</v>
      </c>
      <c r="G16" s="213" t="n">
        <v>0.258</v>
      </c>
      <c r="H16" s="214" t="n">
        <v>34.8</v>
      </c>
      <c r="I16" s="96" t="n">
        <v>136.7</v>
      </c>
      <c r="J16" s="96" t="n">
        <v>73.9</v>
      </c>
      <c r="K16" s="94" t="n">
        <v>0.540599853694221</v>
      </c>
      <c r="L16" s="96" t="n">
        <v>77.0299926847111</v>
      </c>
      <c r="M16" s="90" t="n">
        <v>42.1307506053269</v>
      </c>
      <c r="N16" s="212" t="s">
        <v>64</v>
      </c>
      <c r="O16" s="212" t="s">
        <v>65</v>
      </c>
      <c r="P16" s="215" t="s">
        <v>66</v>
      </c>
      <c r="Q16" s="215" t="n">
        <v>86</v>
      </c>
      <c r="R16" s="215" t="n">
        <v>2.86666666666667</v>
      </c>
      <c r="S16" s="215" t="s">
        <v>81</v>
      </c>
      <c r="T16" s="215" t="n">
        <v>4</v>
      </c>
      <c r="U16" s="216" t="s">
        <v>109</v>
      </c>
      <c r="W16" s="217" t="s">
        <v>107</v>
      </c>
      <c r="X16" s="45" t="s">
        <v>60</v>
      </c>
      <c r="Y16" s="45" t="s">
        <v>310</v>
      </c>
      <c r="Z16" s="45" t="s">
        <v>390</v>
      </c>
      <c r="AA16" s="95" t="n">
        <v>8.283</v>
      </c>
      <c r="AB16" s="95" t="n">
        <v>0.023</v>
      </c>
      <c r="AC16" s="95" t="n">
        <v>0.26</v>
      </c>
      <c r="AD16" s="94" t="n">
        <v>53.5</v>
      </c>
      <c r="AE16" s="96" t="n">
        <v>164</v>
      </c>
      <c r="AF16" s="96" t="n">
        <v>-135.6</v>
      </c>
      <c r="AG16" s="94" t="n">
        <v>-0.826829268292683</v>
      </c>
      <c r="AH16" s="96" t="n">
        <v>8.65853658536585</v>
      </c>
      <c r="AI16" s="96" t="n">
        <v>58.1538461538462</v>
      </c>
      <c r="AJ16" s="96" t="n">
        <v>169</v>
      </c>
      <c r="AK16" s="94" t="n">
        <v>5.63333333333333</v>
      </c>
    </row>
    <row r="17" customFormat="false" ht="15" hidden="true" customHeight="false" outlineLevel="0" collapsed="false">
      <c r="A17" s="211" t="s">
        <v>110</v>
      </c>
      <c r="B17" s="212" t="s">
        <v>74</v>
      </c>
      <c r="C17" s="212" t="s">
        <v>61</v>
      </c>
      <c r="D17" s="212" t="s">
        <v>207</v>
      </c>
      <c r="E17" s="213" t="n">
        <v>5.224</v>
      </c>
      <c r="F17" s="213" t="n">
        <v>0.015</v>
      </c>
      <c r="G17" s="213" t="n">
        <v>0.261</v>
      </c>
      <c r="H17" s="214" t="n">
        <v>232.5</v>
      </c>
      <c r="I17" s="96" t="n">
        <v>3.8</v>
      </c>
      <c r="J17" s="96" t="n">
        <v>-1.2</v>
      </c>
      <c r="K17" s="94" t="n">
        <v>-0.31578947368421</v>
      </c>
      <c r="L17" s="96" t="n">
        <v>34.2105263157895</v>
      </c>
      <c r="M17" s="90" t="n">
        <v>52.7027027027027</v>
      </c>
      <c r="N17" s="212" t="s">
        <v>71</v>
      </c>
      <c r="O17" s="212" t="s">
        <v>65</v>
      </c>
      <c r="P17" s="215" t="s">
        <v>72</v>
      </c>
      <c r="Q17" s="215" t="n">
        <v>86</v>
      </c>
      <c r="R17" s="215" t="n">
        <v>2.86666666666667</v>
      </c>
      <c r="S17" s="215" t="s">
        <v>67</v>
      </c>
      <c r="T17" s="215" t="n">
        <v>1</v>
      </c>
      <c r="U17" s="216"/>
      <c r="W17" s="217" t="s">
        <v>110</v>
      </c>
      <c r="X17" s="45" t="s">
        <v>69</v>
      </c>
      <c r="Y17" s="45" t="s">
        <v>310</v>
      </c>
      <c r="Z17" s="45" t="s">
        <v>392</v>
      </c>
      <c r="AA17" s="95" t="n">
        <v>11.711</v>
      </c>
      <c r="AB17" s="95" t="n">
        <v>0.033</v>
      </c>
      <c r="AC17" s="95" t="n">
        <v>0.233</v>
      </c>
      <c r="AD17" s="94" t="n">
        <v>68.5</v>
      </c>
      <c r="AE17" s="96" t="n">
        <v>92.9</v>
      </c>
      <c r="AF17" s="96" t="n">
        <v>-46.9</v>
      </c>
      <c r="AG17" s="94" t="n">
        <v>-0.504843918191604</v>
      </c>
      <c r="AH17" s="96" t="n">
        <v>24.7578040904198</v>
      </c>
      <c r="AI17" s="96" t="n">
        <v>46.8607825295723</v>
      </c>
      <c r="AJ17" s="96" t="n">
        <v>169</v>
      </c>
      <c r="AK17" s="94" t="n">
        <v>5.63333333333333</v>
      </c>
    </row>
    <row r="18" customFormat="false" ht="15" hidden="true" customHeight="false" outlineLevel="0" collapsed="false">
      <c r="A18" s="211" t="s">
        <v>112</v>
      </c>
      <c r="B18" s="212" t="s">
        <v>79</v>
      </c>
      <c r="C18" s="212" t="s">
        <v>61</v>
      </c>
      <c r="D18" s="212" t="s">
        <v>207</v>
      </c>
      <c r="E18" s="213" t="n">
        <v>22.836</v>
      </c>
      <c r="F18" s="213" t="n">
        <v>0.063</v>
      </c>
      <c r="G18" s="213" t="n">
        <v>0.308</v>
      </c>
      <c r="H18" s="214" t="n">
        <v>19.2</v>
      </c>
      <c r="I18" s="96" t="n">
        <v>74.9</v>
      </c>
      <c r="J18" s="96" t="n">
        <v>6.5</v>
      </c>
      <c r="K18" s="94" t="n">
        <v>0.0867823765020027</v>
      </c>
      <c r="L18" s="96" t="n">
        <v>54.3391188251001</v>
      </c>
      <c r="M18" s="90" t="n">
        <v>36.026936026936</v>
      </c>
      <c r="N18" s="212" t="s">
        <v>71</v>
      </c>
      <c r="O18" s="212" t="s">
        <v>76</v>
      </c>
      <c r="P18" s="215" t="s">
        <v>66</v>
      </c>
      <c r="Q18" s="215" t="n">
        <v>86</v>
      </c>
      <c r="R18" s="215" t="n">
        <v>2.86666666666667</v>
      </c>
      <c r="S18" s="215" t="s">
        <v>67</v>
      </c>
      <c r="T18" s="215" t="n">
        <v>7</v>
      </c>
      <c r="U18" s="216"/>
      <c r="W18" s="217" t="s">
        <v>112</v>
      </c>
      <c r="X18" s="45" t="s">
        <v>74</v>
      </c>
      <c r="Y18" s="45" t="s">
        <v>310</v>
      </c>
      <c r="Z18" s="45" t="s">
        <v>392</v>
      </c>
      <c r="AA18" s="95" t="n">
        <v>52.59</v>
      </c>
      <c r="AB18" s="95" t="n">
        <v>0.146</v>
      </c>
      <c r="AC18" s="95" t="n">
        <v>0.357</v>
      </c>
      <c r="AD18" s="94" t="n">
        <v>2.5</v>
      </c>
      <c r="AE18" s="96" t="n">
        <v>107.1</v>
      </c>
      <c r="AF18" s="96" t="n">
        <v>3.5</v>
      </c>
      <c r="AG18" s="94" t="n">
        <v>0.0326797385620915</v>
      </c>
      <c r="AH18" s="96" t="n">
        <v>51.6339869281046</v>
      </c>
      <c r="AI18" s="96" t="n">
        <v>49.0074441687345</v>
      </c>
      <c r="AJ18" s="96" t="n">
        <v>169</v>
      </c>
      <c r="AK18" s="94" t="n">
        <v>5.63333333333333</v>
      </c>
    </row>
    <row r="19" customFormat="false" ht="15" hidden="true" customHeight="false" outlineLevel="0" collapsed="false">
      <c r="A19" s="211" t="s">
        <v>114</v>
      </c>
      <c r="B19" s="212" t="s">
        <v>60</v>
      </c>
      <c r="C19" s="212" t="s">
        <v>61</v>
      </c>
      <c r="D19" s="212" t="s">
        <v>212</v>
      </c>
      <c r="E19" s="213" t="n">
        <v>2.307</v>
      </c>
      <c r="F19" s="213" t="n">
        <v>0.006</v>
      </c>
      <c r="G19" s="213" t="n">
        <v>0.224</v>
      </c>
      <c r="H19" s="214" t="n">
        <v>113.4</v>
      </c>
      <c r="I19" s="96" t="n">
        <v>4.9</v>
      </c>
      <c r="J19" s="96" t="n">
        <v>3.7</v>
      </c>
      <c r="K19" s="94" t="n">
        <v>0.755102040816327</v>
      </c>
      <c r="L19" s="96" t="n">
        <v>87.7551020408163</v>
      </c>
      <c r="M19" s="90" t="n">
        <v>23.8095238095238</v>
      </c>
      <c r="N19" s="212" t="s">
        <v>71</v>
      </c>
      <c r="O19" s="212" t="s">
        <v>65</v>
      </c>
      <c r="P19" s="215" t="s">
        <v>66</v>
      </c>
      <c r="Q19" s="215" t="n">
        <v>86</v>
      </c>
      <c r="R19" s="215" t="n">
        <v>2.86666666666667</v>
      </c>
      <c r="S19" s="215" t="s">
        <v>67</v>
      </c>
      <c r="T19" s="215" t="n">
        <v>3</v>
      </c>
      <c r="U19" s="216"/>
      <c r="W19" s="217" t="s">
        <v>114</v>
      </c>
      <c r="X19" s="45" t="s">
        <v>79</v>
      </c>
      <c r="Y19" s="45" t="s">
        <v>310</v>
      </c>
      <c r="Z19" s="45" t="s">
        <v>392</v>
      </c>
      <c r="AA19" s="95" t="n">
        <v>2.466</v>
      </c>
      <c r="AB19" s="95" t="n">
        <v>0.007</v>
      </c>
      <c r="AC19" s="95" t="n">
        <v>0.215</v>
      </c>
      <c r="AD19" s="94" t="n">
        <v>213.7</v>
      </c>
      <c r="AE19" s="96" t="n">
        <v>8</v>
      </c>
      <c r="AF19" s="96" t="n">
        <v>7</v>
      </c>
      <c r="AG19" s="94" t="n">
        <v>0.875</v>
      </c>
      <c r="AH19" s="96" t="n">
        <v>93.75</v>
      </c>
      <c r="AI19" s="96" t="n">
        <v>25.4901960784314</v>
      </c>
      <c r="AJ19" s="96" t="n">
        <v>169</v>
      </c>
      <c r="AK19" s="94" t="n">
        <v>5.63333333333333</v>
      </c>
    </row>
    <row r="20" customFormat="false" ht="15" hidden="true" customHeight="false" outlineLevel="0" collapsed="false">
      <c r="A20" s="211" t="s">
        <v>117</v>
      </c>
      <c r="B20" s="212" t="s">
        <v>69</v>
      </c>
      <c r="C20" s="212" t="s">
        <v>61</v>
      </c>
      <c r="D20" s="212" t="s">
        <v>212</v>
      </c>
      <c r="E20" s="213" t="n">
        <v>14.929</v>
      </c>
      <c r="F20" s="213" t="n">
        <v>0.041</v>
      </c>
      <c r="G20" s="213" t="n">
        <v>0.302</v>
      </c>
      <c r="H20" s="214" t="n">
        <v>21.9</v>
      </c>
      <c r="I20" s="96" t="n">
        <v>93.7</v>
      </c>
      <c r="J20" s="96" t="n">
        <v>-36.5</v>
      </c>
      <c r="K20" s="94" t="n">
        <v>-0.389541088580576</v>
      </c>
      <c r="L20" s="96" t="n">
        <v>30.5229455709712</v>
      </c>
      <c r="M20" s="90" t="n">
        <v>42.7807486631016</v>
      </c>
      <c r="N20" s="212" t="s">
        <v>64</v>
      </c>
      <c r="O20" s="212" t="s">
        <v>65</v>
      </c>
      <c r="P20" s="215" t="s">
        <v>66</v>
      </c>
      <c r="Q20" s="215" t="n">
        <v>76</v>
      </c>
      <c r="R20" s="215" t="n">
        <v>2.53333333333333</v>
      </c>
      <c r="S20" s="215" t="s">
        <v>67</v>
      </c>
      <c r="T20" s="215" t="n">
        <v>3</v>
      </c>
      <c r="U20" s="216"/>
      <c r="W20" s="217" t="s">
        <v>117</v>
      </c>
      <c r="X20" s="45" t="s">
        <v>60</v>
      </c>
      <c r="Y20" s="45" t="s">
        <v>310</v>
      </c>
      <c r="Z20" s="45" t="s">
        <v>396</v>
      </c>
      <c r="AA20" s="95" t="n">
        <v>6.122</v>
      </c>
      <c r="AB20" s="95" t="n">
        <v>0.017</v>
      </c>
      <c r="AC20" s="95" t="n">
        <v>0.309</v>
      </c>
      <c r="AD20" s="94" t="n">
        <v>95</v>
      </c>
      <c r="AE20" s="96" t="n">
        <v>148.3</v>
      </c>
      <c r="AF20" s="96" t="n">
        <v>86.3</v>
      </c>
      <c r="AG20" s="94" t="n">
        <v>0.581928523263655</v>
      </c>
      <c r="AH20" s="96" t="n">
        <v>79.0964261631827</v>
      </c>
      <c r="AI20" s="96" t="n">
        <v>62.38023197176</v>
      </c>
      <c r="AJ20" s="96" t="n">
        <v>159</v>
      </c>
      <c r="AK20" s="94" t="n">
        <v>5.3</v>
      </c>
    </row>
    <row r="21" customFormat="false" ht="15" hidden="false" customHeight="false" outlineLevel="0" collapsed="false">
      <c r="A21" s="211" t="s">
        <v>119</v>
      </c>
      <c r="B21" s="212" t="s">
        <v>74</v>
      </c>
      <c r="C21" s="212" t="s">
        <v>61</v>
      </c>
      <c r="D21" s="212" t="s">
        <v>212</v>
      </c>
      <c r="E21" s="213" t="n">
        <v>6.864</v>
      </c>
      <c r="F21" s="213" t="n">
        <v>0.019</v>
      </c>
      <c r="G21" s="213" t="n">
        <v>0.237</v>
      </c>
      <c r="H21" s="214" t="n">
        <v>57.7</v>
      </c>
      <c r="I21" s="96" t="n">
        <v>30.6</v>
      </c>
      <c r="J21" s="96" t="n">
        <v>-19.8</v>
      </c>
      <c r="K21" s="94" t="n">
        <v>-0.647058823529412</v>
      </c>
      <c r="L21" s="96" t="n">
        <v>17.6470588235294</v>
      </c>
      <c r="M21" s="90" t="n">
        <v>44.6197991391679</v>
      </c>
      <c r="N21" s="212" t="s">
        <v>64</v>
      </c>
      <c r="O21" s="212" t="s">
        <v>76</v>
      </c>
      <c r="P21" s="215" t="s">
        <v>66</v>
      </c>
      <c r="Q21" s="215" t="n">
        <v>76</v>
      </c>
      <c r="R21" s="215" t="n">
        <v>2.53333333333333</v>
      </c>
      <c r="S21" s="215" t="s">
        <v>81</v>
      </c>
      <c r="T21" s="215" t="n">
        <v>8</v>
      </c>
      <c r="U21" s="216"/>
      <c r="W21" s="217" t="s">
        <v>119</v>
      </c>
      <c r="X21" s="45" t="s">
        <v>69</v>
      </c>
      <c r="Y21" s="45" t="s">
        <v>310</v>
      </c>
      <c r="Z21" s="45" t="s">
        <v>396</v>
      </c>
      <c r="AA21" s="95" t="n">
        <v>7.92</v>
      </c>
      <c r="AB21" s="95" t="n">
        <v>0.022</v>
      </c>
      <c r="AC21" s="95" t="n">
        <v>0.208</v>
      </c>
      <c r="AD21" s="94" t="n">
        <v>65.4</v>
      </c>
      <c r="AE21" s="96" t="n">
        <v>87.9</v>
      </c>
      <c r="AF21" s="96" t="n">
        <v>-43.9</v>
      </c>
      <c r="AG21" s="94" t="n">
        <v>-0.499431171786121</v>
      </c>
      <c r="AH21" s="96" t="n">
        <v>25.028441410694</v>
      </c>
      <c r="AI21" s="96" t="n">
        <v>55.8789289871944</v>
      </c>
      <c r="AJ21" s="96" t="n">
        <v>159</v>
      </c>
      <c r="AK21" s="94" t="n">
        <v>5.3</v>
      </c>
    </row>
    <row r="22" customFormat="false" ht="15" hidden="true" customHeight="false" outlineLevel="0" collapsed="false">
      <c r="A22" s="211" t="s">
        <v>121</v>
      </c>
      <c r="B22" s="212" t="s">
        <v>79</v>
      </c>
      <c r="C22" s="212" t="s">
        <v>61</v>
      </c>
      <c r="D22" s="212" t="s">
        <v>212</v>
      </c>
      <c r="E22" s="213" t="n">
        <v>7.483</v>
      </c>
      <c r="F22" s="213" t="n">
        <v>0.021</v>
      </c>
      <c r="G22" s="213" t="n">
        <v>0.283</v>
      </c>
      <c r="H22" s="214" t="n">
        <v>116.4</v>
      </c>
      <c r="I22" s="96" t="n">
        <v>37.1</v>
      </c>
      <c r="J22" s="96" t="n">
        <v>13.7</v>
      </c>
      <c r="K22" s="94" t="n">
        <v>0.369272237196766</v>
      </c>
      <c r="L22" s="96" t="n">
        <v>68.4636118598383</v>
      </c>
      <c r="M22" s="90" t="n">
        <v>33.2613390928726</v>
      </c>
      <c r="N22" s="212" t="s">
        <v>71</v>
      </c>
      <c r="O22" s="212" t="s">
        <v>65</v>
      </c>
      <c r="P22" s="215" t="s">
        <v>66</v>
      </c>
      <c r="Q22" s="215" t="n">
        <v>76</v>
      </c>
      <c r="R22" s="215" t="n">
        <v>2.53333333333333</v>
      </c>
      <c r="S22" s="215" t="s">
        <v>67</v>
      </c>
      <c r="T22" s="215" t="n">
        <v>3</v>
      </c>
      <c r="U22" s="216"/>
      <c r="W22" s="217" t="s">
        <v>121</v>
      </c>
      <c r="X22" s="45" t="s">
        <v>74</v>
      </c>
      <c r="Y22" s="45" t="s">
        <v>310</v>
      </c>
      <c r="Z22" s="45" t="s">
        <v>399</v>
      </c>
      <c r="AA22" s="95" t="n">
        <v>4.367</v>
      </c>
      <c r="AB22" s="95" t="n">
        <v>0.012</v>
      </c>
      <c r="AC22" s="95" t="n">
        <v>0.253</v>
      </c>
      <c r="AD22" s="94" t="n">
        <v>201.7</v>
      </c>
      <c r="AE22" s="96" t="n">
        <v>9.5</v>
      </c>
      <c r="AF22" s="96" t="n">
        <v>-5.9</v>
      </c>
      <c r="AG22" s="94" t="n">
        <v>-0.621052631578947</v>
      </c>
      <c r="AH22" s="96" t="n">
        <v>18.9473684210526</v>
      </c>
      <c r="AI22" s="96" t="n">
        <v>65.0684931506849</v>
      </c>
      <c r="AJ22" s="96" t="n">
        <v>159</v>
      </c>
      <c r="AK22" s="94" t="n">
        <v>5.3</v>
      </c>
    </row>
    <row r="23" customFormat="false" ht="15" hidden="true" customHeight="false" outlineLevel="0" collapsed="false">
      <c r="A23" s="211" t="s">
        <v>123</v>
      </c>
      <c r="B23" s="212" t="s">
        <v>60</v>
      </c>
      <c r="C23" s="212" t="s">
        <v>61</v>
      </c>
      <c r="D23" s="212" t="s">
        <v>217</v>
      </c>
      <c r="E23" s="213" t="n">
        <v>15.304</v>
      </c>
      <c r="F23" s="213" t="n">
        <v>0.043</v>
      </c>
      <c r="G23" s="213" t="n">
        <v>0.298</v>
      </c>
      <c r="H23" s="214" t="n">
        <v>16.5</v>
      </c>
      <c r="I23" s="96" t="n">
        <v>16</v>
      </c>
      <c r="J23" s="96" t="n">
        <v>-0.199999999999999</v>
      </c>
      <c r="K23" s="94" t="n">
        <v>-0.0125</v>
      </c>
      <c r="L23" s="96" t="n">
        <v>49.375</v>
      </c>
      <c r="M23" s="90" t="n">
        <v>51.6806722689076</v>
      </c>
      <c r="N23" s="212" t="s">
        <v>71</v>
      </c>
      <c r="O23" s="212" t="s">
        <v>76</v>
      </c>
      <c r="P23" s="215" t="s">
        <v>72</v>
      </c>
      <c r="Q23" s="215" t="n">
        <v>76</v>
      </c>
      <c r="R23" s="215" t="n">
        <v>2.53333333333333</v>
      </c>
      <c r="S23" s="215" t="s">
        <v>67</v>
      </c>
      <c r="T23" s="215" t="n">
        <v>5</v>
      </c>
      <c r="U23" s="216"/>
      <c r="W23" s="217" t="s">
        <v>123</v>
      </c>
      <c r="X23" s="45" t="s">
        <v>79</v>
      </c>
      <c r="Y23" s="45" t="s">
        <v>310</v>
      </c>
      <c r="Z23" s="45" t="s">
        <v>399</v>
      </c>
      <c r="AA23" s="95" t="n">
        <v>6.827</v>
      </c>
      <c r="AB23" s="95" t="n">
        <v>0.019</v>
      </c>
      <c r="AC23" s="95" t="n">
        <v>0.276</v>
      </c>
      <c r="AD23" s="94" t="n">
        <v>121.2</v>
      </c>
      <c r="AE23" s="96" t="n">
        <v>89.3</v>
      </c>
      <c r="AF23" s="96" t="n">
        <v>76.3</v>
      </c>
      <c r="AG23" s="94" t="n">
        <v>0.854423292273236</v>
      </c>
      <c r="AH23" s="96" t="n">
        <v>92.7211646136618</v>
      </c>
      <c r="AI23" s="96" t="n">
        <v>48.4429065743945</v>
      </c>
      <c r="AJ23" s="96" t="n">
        <v>159</v>
      </c>
      <c r="AK23" s="94" t="n">
        <v>5.3</v>
      </c>
    </row>
    <row r="24" customFormat="false" ht="15" hidden="true" customHeight="false" outlineLevel="0" collapsed="false">
      <c r="A24" s="218" t="s">
        <v>126</v>
      </c>
      <c r="B24" s="219" t="s">
        <v>69</v>
      </c>
      <c r="C24" s="219" t="s">
        <v>61</v>
      </c>
      <c r="D24" s="219" t="s">
        <v>217</v>
      </c>
      <c r="E24" s="220" t="n">
        <v>7.197</v>
      </c>
      <c r="F24" s="220" t="n">
        <v>0.02</v>
      </c>
      <c r="G24" s="220" t="n">
        <v>0.265</v>
      </c>
      <c r="H24" s="221" t="n">
        <v>104.2</v>
      </c>
      <c r="I24" s="222" t="n">
        <v>33.9</v>
      </c>
      <c r="J24" s="222" t="n">
        <v>-21.7</v>
      </c>
      <c r="K24" s="56" t="n">
        <v>-0.640117994100295</v>
      </c>
      <c r="L24" s="222" t="n">
        <v>17.9941002949852</v>
      </c>
      <c r="M24" s="223" t="n">
        <v>80.8</v>
      </c>
      <c r="N24" s="226" t="s">
        <v>71</v>
      </c>
      <c r="O24" s="226" t="s">
        <v>65</v>
      </c>
      <c r="P24" s="226" t="s">
        <v>72</v>
      </c>
      <c r="Q24" s="226" t="n">
        <v>81</v>
      </c>
      <c r="R24" s="227" t="n">
        <v>2.7</v>
      </c>
      <c r="S24" s="224"/>
      <c r="T24" s="224"/>
      <c r="U24" s="225"/>
    </row>
    <row r="25" customFormat="false" ht="15" hidden="true" customHeight="false" outlineLevel="0" collapsed="false">
      <c r="A25" s="211" t="s">
        <v>128</v>
      </c>
      <c r="B25" s="212" t="s">
        <v>74</v>
      </c>
      <c r="C25" s="212" t="s">
        <v>61</v>
      </c>
      <c r="D25" s="212" t="s">
        <v>217</v>
      </c>
      <c r="E25" s="213" t="n">
        <v>5.699</v>
      </c>
      <c r="F25" s="213" t="n">
        <v>0.016</v>
      </c>
      <c r="G25" s="213" t="n">
        <v>0.242</v>
      </c>
      <c r="H25" s="214" t="n">
        <v>107.7</v>
      </c>
      <c r="I25" s="96" t="n">
        <v>78.5</v>
      </c>
      <c r="J25" s="96" t="n">
        <v>-27.3</v>
      </c>
      <c r="K25" s="94" t="n">
        <v>-0.347770700636943</v>
      </c>
      <c r="L25" s="96" t="n">
        <v>32.6114649681529</v>
      </c>
      <c r="M25" s="90" t="n">
        <v>42.1843687374749</v>
      </c>
      <c r="N25" s="212" t="s">
        <v>64</v>
      </c>
      <c r="O25" s="212" t="s">
        <v>76</v>
      </c>
      <c r="P25" s="215" t="s">
        <v>72</v>
      </c>
      <c r="Q25" s="215" t="n">
        <v>68</v>
      </c>
      <c r="R25" s="215" t="n">
        <v>2.26666666666667</v>
      </c>
      <c r="S25" s="215" t="s">
        <v>81</v>
      </c>
      <c r="T25" s="215" t="n">
        <v>6</v>
      </c>
      <c r="U25" s="216"/>
      <c r="W25" s="217" t="s">
        <v>128</v>
      </c>
      <c r="X25" s="45" t="s">
        <v>60</v>
      </c>
      <c r="Y25" s="45" t="s">
        <v>310</v>
      </c>
      <c r="Z25" s="45" t="s">
        <v>402</v>
      </c>
      <c r="AA25" s="95" t="n">
        <v>5.013</v>
      </c>
      <c r="AB25" s="95" t="n">
        <v>0.014</v>
      </c>
      <c r="AC25" s="95" t="n">
        <v>0.229</v>
      </c>
      <c r="AD25" s="94" t="n">
        <v>185.1</v>
      </c>
      <c r="AE25" s="96" t="n">
        <v>113.2</v>
      </c>
      <c r="AF25" s="96" t="n">
        <v>68.8</v>
      </c>
      <c r="AG25" s="94" t="n">
        <v>0.607773851590106</v>
      </c>
      <c r="AH25" s="96" t="n">
        <v>80.3886925795053</v>
      </c>
      <c r="AI25" s="96" t="n">
        <v>81.3852813852814</v>
      </c>
      <c r="AJ25" s="96" t="n">
        <v>151</v>
      </c>
      <c r="AK25" s="94" t="n">
        <v>5.03333333333333</v>
      </c>
    </row>
    <row r="26" customFormat="false" ht="15" hidden="true" customHeight="false" outlineLevel="0" collapsed="false">
      <c r="A26" s="211" t="s">
        <v>130</v>
      </c>
      <c r="B26" s="212" t="s">
        <v>79</v>
      </c>
      <c r="C26" s="212" t="s">
        <v>61</v>
      </c>
      <c r="D26" s="212" t="s">
        <v>217</v>
      </c>
      <c r="E26" s="213" t="n">
        <v>9.371</v>
      </c>
      <c r="F26" s="213" t="n">
        <v>0.026</v>
      </c>
      <c r="G26" s="213" t="n">
        <v>0.291</v>
      </c>
      <c r="H26" s="214" t="n">
        <v>45.6</v>
      </c>
      <c r="I26" s="96" t="n">
        <v>61.6</v>
      </c>
      <c r="J26" s="96" t="n">
        <v>33.4</v>
      </c>
      <c r="K26" s="94" t="n">
        <v>0.542207792207792</v>
      </c>
      <c r="L26" s="96" t="n">
        <v>77.1103896103896</v>
      </c>
      <c r="M26" s="90" t="n">
        <v>40.0696864111498</v>
      </c>
      <c r="N26" s="212" t="s">
        <v>64</v>
      </c>
      <c r="O26" s="212" t="s">
        <v>76</v>
      </c>
      <c r="P26" s="215" t="s">
        <v>72</v>
      </c>
      <c r="Q26" s="215" t="n">
        <v>68</v>
      </c>
      <c r="R26" s="215" t="n">
        <v>2.26666666666667</v>
      </c>
      <c r="S26" s="215" t="s">
        <v>67</v>
      </c>
      <c r="T26" s="215" t="n">
        <v>5</v>
      </c>
      <c r="U26" s="216"/>
      <c r="W26" s="217" t="s">
        <v>130</v>
      </c>
      <c r="X26" s="45" t="s">
        <v>69</v>
      </c>
      <c r="Y26" s="45" t="s">
        <v>310</v>
      </c>
      <c r="Z26" s="45" t="s">
        <v>402</v>
      </c>
      <c r="AA26" s="95" t="n">
        <v>9.343</v>
      </c>
      <c r="AB26" s="95" t="n">
        <v>0.026</v>
      </c>
      <c r="AC26" s="95" t="n">
        <v>0.282</v>
      </c>
      <c r="AD26" s="94" t="n">
        <v>124.1</v>
      </c>
      <c r="AE26" s="96" t="n">
        <v>57.8</v>
      </c>
      <c r="AF26" s="96" t="n">
        <v>-29.4</v>
      </c>
      <c r="AG26" s="94" t="n">
        <v>-0.508650519031142</v>
      </c>
      <c r="AH26" s="96" t="n">
        <v>24.5674740484429</v>
      </c>
      <c r="AI26" s="96" t="n">
        <v>87.9379379379379</v>
      </c>
      <c r="AJ26" s="96" t="n">
        <v>151</v>
      </c>
      <c r="AK26" s="94" t="n">
        <v>5.03333333333333</v>
      </c>
    </row>
    <row r="27" customFormat="false" ht="15" hidden="true" customHeight="false" outlineLevel="0" collapsed="false">
      <c r="A27" s="218" t="s">
        <v>132</v>
      </c>
      <c r="B27" s="219" t="s">
        <v>60</v>
      </c>
      <c r="C27" s="219" t="s">
        <v>61</v>
      </c>
      <c r="D27" s="219" t="s">
        <v>222</v>
      </c>
      <c r="E27" s="220" t="n">
        <v>5.628</v>
      </c>
      <c r="F27" s="220" t="n">
        <v>0.016</v>
      </c>
      <c r="G27" s="220" t="n">
        <v>0.228</v>
      </c>
      <c r="H27" s="221" t="n">
        <v>83</v>
      </c>
      <c r="I27" s="222" t="n">
        <v>27</v>
      </c>
      <c r="J27" s="222" t="n">
        <v>3.6</v>
      </c>
      <c r="K27" s="56" t="n">
        <v>0.133333333333333</v>
      </c>
      <c r="L27" s="222" t="n">
        <v>56.6666666666667</v>
      </c>
      <c r="M27" s="223" t="n">
        <v>13.477537437604</v>
      </c>
      <c r="N27" s="226" t="s">
        <v>64</v>
      </c>
      <c r="O27" s="226" t="s">
        <v>76</v>
      </c>
      <c r="P27" s="226" t="s">
        <v>66</v>
      </c>
      <c r="Q27" s="226" t="n">
        <v>73</v>
      </c>
      <c r="R27" s="227" t="n">
        <v>2.43333333333333</v>
      </c>
      <c r="S27" s="224"/>
      <c r="T27" s="224"/>
      <c r="U27" s="225"/>
    </row>
    <row r="28" customFormat="false" ht="15" hidden="true" customHeight="false" outlineLevel="0" collapsed="false">
      <c r="A28" s="211" t="s">
        <v>135</v>
      </c>
      <c r="B28" s="212" t="s">
        <v>69</v>
      </c>
      <c r="C28" s="212" t="s">
        <v>61</v>
      </c>
      <c r="D28" s="212" t="s">
        <v>222</v>
      </c>
      <c r="E28" s="213" t="n">
        <v>10.589</v>
      </c>
      <c r="F28" s="213" t="n">
        <v>0.029</v>
      </c>
      <c r="G28" s="213" t="n">
        <v>0.242</v>
      </c>
      <c r="H28" s="214" t="n">
        <v>42.4</v>
      </c>
      <c r="I28" s="96" t="n">
        <v>67.7</v>
      </c>
      <c r="J28" s="96" t="n">
        <v>17.5</v>
      </c>
      <c r="K28" s="94" t="n">
        <v>0.258493353028065</v>
      </c>
      <c r="L28" s="96" t="n">
        <v>62.9246676514033</v>
      </c>
      <c r="M28" s="90" t="n">
        <v>58.0849141824752</v>
      </c>
      <c r="N28" s="212" t="s">
        <v>64</v>
      </c>
      <c r="O28" s="212" t="s">
        <v>76</v>
      </c>
      <c r="P28" s="215" t="s">
        <v>72</v>
      </c>
      <c r="Q28" s="215" t="n">
        <v>68</v>
      </c>
      <c r="R28" s="215" t="n">
        <v>2.26666666666667</v>
      </c>
      <c r="S28" s="215" t="s">
        <v>81</v>
      </c>
      <c r="T28" s="215" t="n">
        <v>6</v>
      </c>
      <c r="U28" s="216"/>
      <c r="W28" s="217" t="s">
        <v>135</v>
      </c>
      <c r="X28" s="45" t="s">
        <v>74</v>
      </c>
      <c r="Y28" s="45" t="s">
        <v>310</v>
      </c>
      <c r="Z28" s="45" t="s">
        <v>402</v>
      </c>
      <c r="AA28" s="95" t="n">
        <v>6.455</v>
      </c>
      <c r="AB28" s="95" t="n">
        <v>0.018</v>
      </c>
      <c r="AC28" s="95" t="n">
        <v>0.28</v>
      </c>
      <c r="AD28" s="94" t="n">
        <v>132.1</v>
      </c>
      <c r="AE28" s="96" t="n">
        <v>88.4</v>
      </c>
      <c r="AF28" s="96" t="n">
        <v>-48.8</v>
      </c>
      <c r="AG28" s="94" t="n">
        <v>-0.552036199095023</v>
      </c>
      <c r="AH28" s="96" t="n">
        <v>22.3981900452489</v>
      </c>
      <c r="AI28" s="96" t="n">
        <v>59.4387755102041</v>
      </c>
      <c r="AJ28" s="96" t="n">
        <v>151</v>
      </c>
      <c r="AK28" s="94" t="n">
        <v>5.03333333333333</v>
      </c>
    </row>
    <row r="29" customFormat="false" ht="15" hidden="false" customHeight="false" outlineLevel="0" collapsed="false">
      <c r="A29" s="211" t="s">
        <v>137</v>
      </c>
      <c r="B29" s="212" t="s">
        <v>74</v>
      </c>
      <c r="C29" s="212" t="s">
        <v>61</v>
      </c>
      <c r="D29" s="212" t="s">
        <v>222</v>
      </c>
      <c r="E29" s="213" t="n">
        <v>7.273</v>
      </c>
      <c r="F29" s="213" t="n">
        <v>0.02</v>
      </c>
      <c r="G29" s="213" t="n">
        <v>0.28</v>
      </c>
      <c r="H29" s="214" t="n">
        <v>78.8</v>
      </c>
      <c r="I29" s="96" t="n">
        <v>22</v>
      </c>
      <c r="J29" s="96" t="n">
        <v>4.4</v>
      </c>
      <c r="K29" s="94" t="n">
        <v>0.2</v>
      </c>
      <c r="L29" s="96" t="n">
        <v>60</v>
      </c>
      <c r="M29" s="90" t="n">
        <v>45.839636913767</v>
      </c>
      <c r="N29" s="212" t="s">
        <v>64</v>
      </c>
      <c r="O29" s="212" t="s">
        <v>76</v>
      </c>
      <c r="P29" s="215" t="s">
        <v>66</v>
      </c>
      <c r="Q29" s="215" t="n">
        <v>68</v>
      </c>
      <c r="R29" s="215" t="n">
        <v>2.26666666666667</v>
      </c>
      <c r="S29" s="215" t="s">
        <v>81</v>
      </c>
      <c r="T29" s="215" t="n">
        <v>8</v>
      </c>
      <c r="U29" s="216"/>
      <c r="W29" s="217" t="s">
        <v>137</v>
      </c>
      <c r="X29" s="45" t="s">
        <v>79</v>
      </c>
      <c r="Y29" s="45" t="s">
        <v>310</v>
      </c>
      <c r="Z29" s="45" t="s">
        <v>402</v>
      </c>
      <c r="AA29" s="95" t="n">
        <v>6.148</v>
      </c>
      <c r="AB29" s="95" t="n">
        <v>0.017</v>
      </c>
      <c r="AC29" s="95" t="n">
        <v>0.279</v>
      </c>
      <c r="AD29" s="94" t="n">
        <v>164.3</v>
      </c>
      <c r="AE29" s="96" t="n">
        <v>71.9</v>
      </c>
      <c r="AF29" s="96" t="n">
        <v>-32.7</v>
      </c>
      <c r="AG29" s="94" t="n">
        <v>-0.454798331015299</v>
      </c>
      <c r="AH29" s="96" t="n">
        <v>27.260083449235</v>
      </c>
      <c r="AI29" s="96" t="n">
        <v>57.5070821529745</v>
      </c>
      <c r="AJ29" s="96" t="n">
        <v>151</v>
      </c>
      <c r="AK29" s="94" t="n">
        <v>5.03333333333333</v>
      </c>
    </row>
    <row r="30" customFormat="false" ht="15" hidden="true" customHeight="false" outlineLevel="0" collapsed="false">
      <c r="A30" s="211" t="s">
        <v>139</v>
      </c>
      <c r="B30" s="212" t="s">
        <v>79</v>
      </c>
      <c r="C30" s="212" t="s">
        <v>61</v>
      </c>
      <c r="D30" s="212" t="s">
        <v>222</v>
      </c>
      <c r="E30" s="213" t="n">
        <v>7.046</v>
      </c>
      <c r="F30" s="213" t="n">
        <v>0.02</v>
      </c>
      <c r="G30" s="213" t="n">
        <v>0.224</v>
      </c>
      <c r="H30" s="214" t="n">
        <v>85.6</v>
      </c>
      <c r="I30" s="96" t="n">
        <v>67.6</v>
      </c>
      <c r="J30" s="96" t="n">
        <v>-42.8</v>
      </c>
      <c r="K30" s="94" t="n">
        <v>-0.633136094674556</v>
      </c>
      <c r="L30" s="96" t="n">
        <v>18.3431952662722</v>
      </c>
      <c r="M30" s="90" t="n">
        <v>35.2941176470588</v>
      </c>
      <c r="N30" s="212" t="s">
        <v>64</v>
      </c>
      <c r="O30" s="212" t="s">
        <v>76</v>
      </c>
      <c r="P30" s="215" t="s">
        <v>72</v>
      </c>
      <c r="Q30" s="215" t="n">
        <v>68</v>
      </c>
      <c r="R30" s="215" t="n">
        <v>2.26666666666667</v>
      </c>
      <c r="S30" s="215" t="s">
        <v>67</v>
      </c>
      <c r="T30" s="215" t="n">
        <v>5</v>
      </c>
      <c r="U30" s="216" t="s">
        <v>141</v>
      </c>
      <c r="W30" s="217" t="s">
        <v>139</v>
      </c>
      <c r="X30" s="45" t="s">
        <v>60</v>
      </c>
      <c r="Y30" s="45" t="s">
        <v>310</v>
      </c>
      <c r="Z30" s="45" t="s">
        <v>407</v>
      </c>
      <c r="AA30" s="95" t="n">
        <v>5.155</v>
      </c>
      <c r="AB30" s="95" t="n">
        <v>0.014</v>
      </c>
      <c r="AC30" s="95" t="n">
        <v>0.215</v>
      </c>
      <c r="AD30" s="94" t="n">
        <v>129.3</v>
      </c>
      <c r="AE30" s="96" t="n">
        <v>26.5</v>
      </c>
      <c r="AF30" s="96" t="n">
        <v>1.3</v>
      </c>
      <c r="AG30" s="94" t="n">
        <v>0.0490566037735849</v>
      </c>
      <c r="AH30" s="96" t="n">
        <v>52.4528301886793</v>
      </c>
      <c r="AI30" s="96" t="n">
        <v>34.0852130325815</v>
      </c>
      <c r="AJ30" s="96" t="n">
        <v>151</v>
      </c>
      <c r="AK30" s="94" t="n">
        <v>5.03333333333333</v>
      </c>
    </row>
    <row r="31" customFormat="false" ht="15" hidden="true" customHeight="false" outlineLevel="0" collapsed="false">
      <c r="A31" s="211" t="s">
        <v>142</v>
      </c>
      <c r="B31" s="212" t="s">
        <v>60</v>
      </c>
      <c r="C31" s="212" t="s">
        <v>61</v>
      </c>
      <c r="D31" s="212" t="s">
        <v>227</v>
      </c>
      <c r="E31" s="213" t="n">
        <v>7.549</v>
      </c>
      <c r="F31" s="213" t="n">
        <v>0.021</v>
      </c>
      <c r="G31" s="213" t="n">
        <v>0.297</v>
      </c>
      <c r="H31" s="214" t="n">
        <v>68.3</v>
      </c>
      <c r="I31" s="96" t="n">
        <v>120.9</v>
      </c>
      <c r="J31" s="96" t="n">
        <v>-77.9</v>
      </c>
      <c r="K31" s="94" t="n">
        <v>-0.644334160463193</v>
      </c>
      <c r="L31" s="96" t="n">
        <v>17.7832919768404</v>
      </c>
      <c r="M31" s="90" t="n">
        <v>34.647550776583</v>
      </c>
      <c r="N31" s="212" t="s">
        <v>64</v>
      </c>
      <c r="O31" s="212" t="s">
        <v>76</v>
      </c>
      <c r="P31" s="215" t="s">
        <v>66</v>
      </c>
      <c r="Q31" s="215" t="n">
        <v>68</v>
      </c>
      <c r="R31" s="215" t="n">
        <v>2.26666666666667</v>
      </c>
      <c r="S31" s="215" t="s">
        <v>67</v>
      </c>
      <c r="T31" s="215" t="n">
        <v>7</v>
      </c>
      <c r="U31" s="216"/>
      <c r="W31" s="217" t="s">
        <v>142</v>
      </c>
      <c r="X31" s="45" t="s">
        <v>69</v>
      </c>
      <c r="Y31" s="45" t="s">
        <v>310</v>
      </c>
      <c r="Z31" s="45" t="s">
        <v>207</v>
      </c>
      <c r="AA31" s="95" t="n">
        <v>9.707</v>
      </c>
      <c r="AB31" s="95" t="n">
        <v>0.027</v>
      </c>
      <c r="AC31" s="95" t="n">
        <v>0.227</v>
      </c>
      <c r="AD31" s="94" t="n">
        <v>105</v>
      </c>
      <c r="AE31" s="96" t="n">
        <v>71.2</v>
      </c>
      <c r="AF31" s="96" t="n">
        <v>-25.2</v>
      </c>
      <c r="AG31" s="94" t="n">
        <v>-0.353932584269663</v>
      </c>
      <c r="AH31" s="96" t="n">
        <v>32.3033707865169</v>
      </c>
      <c r="AI31" s="96" t="n">
        <v>75.0996015936255</v>
      </c>
      <c r="AJ31" s="96" t="n">
        <v>151</v>
      </c>
      <c r="AK31" s="94" t="n">
        <v>5.03333333333333</v>
      </c>
    </row>
    <row r="32" customFormat="false" ht="15" hidden="true" customHeight="false" outlineLevel="0" collapsed="false">
      <c r="A32" s="211" t="s">
        <v>145</v>
      </c>
      <c r="B32" s="212" t="s">
        <v>69</v>
      </c>
      <c r="C32" s="212" t="s">
        <v>61</v>
      </c>
      <c r="D32" s="212" t="s">
        <v>227</v>
      </c>
      <c r="E32" s="213" t="n">
        <v>10.5</v>
      </c>
      <c r="F32" s="213" t="n">
        <v>0.029</v>
      </c>
      <c r="G32" s="213" t="n">
        <v>0.249</v>
      </c>
      <c r="H32" s="214" t="n">
        <v>38.4</v>
      </c>
      <c r="I32" s="96" t="n">
        <v>71.4</v>
      </c>
      <c r="J32" s="96" t="n">
        <v>-28.2</v>
      </c>
      <c r="K32" s="94" t="n">
        <v>-0.394957983193277</v>
      </c>
      <c r="L32" s="96" t="n">
        <v>30.2521008403361</v>
      </c>
      <c r="M32" s="90" t="n">
        <v>62.3262618873446</v>
      </c>
      <c r="N32" s="212" t="s">
        <v>71</v>
      </c>
      <c r="O32" s="212" t="s">
        <v>76</v>
      </c>
      <c r="P32" s="215" t="s">
        <v>72</v>
      </c>
      <c r="Q32" s="215" t="n">
        <v>68</v>
      </c>
      <c r="R32" s="215" t="n">
        <v>2.26666666666667</v>
      </c>
      <c r="S32" s="215" t="s">
        <v>81</v>
      </c>
      <c r="T32" s="215" t="n">
        <v>6</v>
      </c>
      <c r="U32" s="216"/>
      <c r="W32" s="217" t="s">
        <v>145</v>
      </c>
      <c r="X32" s="45" t="s">
        <v>74</v>
      </c>
      <c r="Y32" s="45" t="s">
        <v>310</v>
      </c>
      <c r="Z32" s="45" t="s">
        <v>407</v>
      </c>
      <c r="AA32" s="95" t="n">
        <v>4.331</v>
      </c>
      <c r="AB32" s="95" t="n">
        <v>0.012</v>
      </c>
      <c r="AC32" s="95" t="n">
        <v>0.223</v>
      </c>
      <c r="AD32" s="94" t="n">
        <v>101.7</v>
      </c>
      <c r="AE32" s="96" t="n">
        <v>137.4</v>
      </c>
      <c r="AF32" s="96" t="n">
        <v>-118.6</v>
      </c>
      <c r="AG32" s="94" t="n">
        <v>-0.863173216885007</v>
      </c>
      <c r="AH32" s="96" t="n">
        <v>6.84133915574964</v>
      </c>
      <c r="AI32" s="96" t="n">
        <v>58.9016829052259</v>
      </c>
      <c r="AJ32" s="96" t="n">
        <v>151</v>
      </c>
      <c r="AK32" s="94" t="n">
        <v>5.03333333333333</v>
      </c>
    </row>
    <row r="33" customFormat="false" ht="15" hidden="false" customHeight="false" outlineLevel="0" collapsed="false">
      <c r="A33" s="211" t="s">
        <v>147</v>
      </c>
      <c r="B33" s="212" t="s">
        <v>74</v>
      </c>
      <c r="C33" s="212" t="s">
        <v>61</v>
      </c>
      <c r="D33" s="212" t="s">
        <v>227</v>
      </c>
      <c r="E33" s="213" t="n">
        <v>6.293</v>
      </c>
      <c r="F33" s="213" t="n">
        <v>0.017</v>
      </c>
      <c r="G33" s="213" t="n">
        <v>0.229</v>
      </c>
      <c r="H33" s="214" t="n">
        <v>64</v>
      </c>
      <c r="I33" s="96" t="n">
        <v>64.6</v>
      </c>
      <c r="J33" s="96" t="n">
        <v>-47.4</v>
      </c>
      <c r="K33" s="94" t="n">
        <v>-0.73374613003096</v>
      </c>
      <c r="L33" s="96" t="n">
        <v>13.312693498452</v>
      </c>
      <c r="M33" s="90" t="n">
        <v>59.1436217662801</v>
      </c>
      <c r="N33" s="212" t="s">
        <v>71</v>
      </c>
      <c r="O33" s="212" t="s">
        <v>76</v>
      </c>
      <c r="P33" s="215" t="s">
        <v>66</v>
      </c>
      <c r="Q33" s="215" t="n">
        <v>68</v>
      </c>
      <c r="R33" s="215" t="n">
        <v>2.26666666666667</v>
      </c>
      <c r="S33" s="215" t="s">
        <v>81</v>
      </c>
      <c r="T33" s="215" t="n">
        <v>8</v>
      </c>
      <c r="U33" s="216"/>
      <c r="W33" s="217" t="s">
        <v>147</v>
      </c>
      <c r="X33" s="45" t="s">
        <v>79</v>
      </c>
      <c r="Y33" s="45" t="s">
        <v>310</v>
      </c>
      <c r="Z33" s="45" t="s">
        <v>407</v>
      </c>
      <c r="AA33" s="95" t="n">
        <v>11.701</v>
      </c>
      <c r="AB33" s="95" t="n">
        <v>0.033</v>
      </c>
      <c r="AC33" s="95" t="n">
        <v>0.336</v>
      </c>
      <c r="AD33" s="94" t="n">
        <v>21.9</v>
      </c>
      <c r="AE33" s="96" t="n">
        <v>44.5</v>
      </c>
      <c r="AF33" s="96" t="n">
        <v>9.7</v>
      </c>
      <c r="AG33" s="94" t="n">
        <v>0.217977528089888</v>
      </c>
      <c r="AH33" s="96" t="n">
        <v>60.8988764044944</v>
      </c>
      <c r="AI33" s="96" t="n">
        <v>65.8153241650295</v>
      </c>
      <c r="AJ33" s="96" t="n">
        <v>151</v>
      </c>
      <c r="AK33" s="94" t="n">
        <v>5.03333333333333</v>
      </c>
    </row>
    <row r="34" customFormat="false" ht="15" hidden="true" customHeight="false" outlineLevel="0" collapsed="false">
      <c r="A34" s="211" t="s">
        <v>149</v>
      </c>
      <c r="B34" s="212" t="s">
        <v>79</v>
      </c>
      <c r="C34" s="212" t="s">
        <v>61</v>
      </c>
      <c r="D34" s="212" t="s">
        <v>227</v>
      </c>
      <c r="E34" s="213" t="n">
        <v>5.288</v>
      </c>
      <c r="F34" s="213" t="n">
        <v>0.015</v>
      </c>
      <c r="G34" s="213" t="n">
        <v>0.171</v>
      </c>
      <c r="H34" s="214" t="n">
        <v>198.5</v>
      </c>
      <c r="I34" s="96" t="n">
        <v>24.5</v>
      </c>
      <c r="J34" s="96" t="n">
        <v>2.3</v>
      </c>
      <c r="K34" s="94" t="n">
        <v>0.0938775510204082</v>
      </c>
      <c r="L34" s="96" t="n">
        <v>54.6938775510204</v>
      </c>
      <c r="M34" s="90" t="n">
        <v>56.4393939393939</v>
      </c>
      <c r="N34" s="212" t="s">
        <v>71</v>
      </c>
      <c r="O34" s="212" t="s">
        <v>76</v>
      </c>
      <c r="P34" s="215" t="s">
        <v>66</v>
      </c>
      <c r="Q34" s="215" t="n">
        <v>68</v>
      </c>
      <c r="R34" s="215" t="n">
        <v>2.26666666666667</v>
      </c>
      <c r="S34" s="215" t="s">
        <v>67</v>
      </c>
      <c r="T34" s="215" t="n">
        <v>7</v>
      </c>
      <c r="U34" s="216"/>
      <c r="W34" s="217" t="s">
        <v>149</v>
      </c>
      <c r="X34" s="45" t="s">
        <v>60</v>
      </c>
      <c r="Y34" s="45" t="s">
        <v>310</v>
      </c>
      <c r="Z34" s="45" t="s">
        <v>412</v>
      </c>
      <c r="AA34" s="95" t="n">
        <v>7.139</v>
      </c>
      <c r="AB34" s="95" t="n">
        <v>0.02</v>
      </c>
      <c r="AC34" s="95" t="n">
        <v>0.293</v>
      </c>
      <c r="AD34" s="94" t="n">
        <v>122.2</v>
      </c>
      <c r="AE34" s="96" t="n">
        <v>113.1</v>
      </c>
      <c r="AF34" s="96" t="n">
        <v>95.5</v>
      </c>
      <c r="AG34" s="94" t="n">
        <v>0.844385499557913</v>
      </c>
      <c r="AH34" s="96" t="n">
        <v>92.2192749778957</v>
      </c>
      <c r="AI34" s="96" t="n">
        <v>26.4227642276423</v>
      </c>
      <c r="AJ34" s="96" t="n">
        <v>151</v>
      </c>
      <c r="AK34" s="94" t="n">
        <v>5.03333333333333</v>
      </c>
    </row>
    <row r="35" customFormat="false" ht="15" hidden="true" customHeight="false" outlineLevel="0" collapsed="false">
      <c r="A35" s="211" t="s">
        <v>151</v>
      </c>
      <c r="B35" s="212" t="s">
        <v>60</v>
      </c>
      <c r="C35" s="212" t="s">
        <v>61</v>
      </c>
      <c r="D35" s="212" t="s">
        <v>232</v>
      </c>
      <c r="E35" s="213" t="n">
        <v>4.131</v>
      </c>
      <c r="F35" s="213" t="n">
        <v>0.011</v>
      </c>
      <c r="G35" s="213" t="n">
        <v>0.216</v>
      </c>
      <c r="H35" s="214" t="n">
        <v>230</v>
      </c>
      <c r="I35" s="96" t="n">
        <v>14.4</v>
      </c>
      <c r="J35" s="96" t="n">
        <v>14.4</v>
      </c>
      <c r="K35" s="94" t="n">
        <v>1</v>
      </c>
      <c r="L35" s="96" t="n">
        <v>100</v>
      </c>
      <c r="M35" s="90" t="n">
        <v>44.4444444444444</v>
      </c>
      <c r="N35" s="212" t="s">
        <v>71</v>
      </c>
      <c r="O35" s="212" t="s">
        <v>76</v>
      </c>
      <c r="P35" s="215" t="s">
        <v>72</v>
      </c>
      <c r="Q35" s="215" t="n">
        <v>68</v>
      </c>
      <c r="R35" s="215" t="n">
        <v>2.26666666666667</v>
      </c>
      <c r="S35" s="215" t="s">
        <v>67</v>
      </c>
      <c r="T35" s="215" t="n">
        <v>5</v>
      </c>
      <c r="U35" s="216" t="s">
        <v>154</v>
      </c>
      <c r="W35" s="217" t="s">
        <v>151</v>
      </c>
      <c r="X35" s="45" t="s">
        <v>69</v>
      </c>
      <c r="Y35" s="45" t="s">
        <v>310</v>
      </c>
      <c r="Z35" s="45" t="s">
        <v>412</v>
      </c>
      <c r="AA35" s="95" t="n">
        <v>10.476</v>
      </c>
      <c r="AB35" s="95" t="n">
        <v>0.029</v>
      </c>
      <c r="AC35" s="95" t="n">
        <v>0.252</v>
      </c>
      <c r="AD35" s="94" t="n">
        <v>61.1</v>
      </c>
      <c r="AE35" s="96" t="n">
        <v>89.9</v>
      </c>
      <c r="AF35" s="96" t="n">
        <v>-38.3</v>
      </c>
      <c r="AG35" s="94" t="n">
        <v>-0.426028921023359</v>
      </c>
      <c r="AH35" s="96" t="n">
        <v>28.698553948832</v>
      </c>
      <c r="AI35" s="96" t="n">
        <v>49.5972382048331</v>
      </c>
      <c r="AJ35" s="96" t="n">
        <v>151</v>
      </c>
      <c r="AK35" s="94" t="n">
        <v>5.03333333333333</v>
      </c>
    </row>
    <row r="36" customFormat="false" ht="15" hidden="true" customHeight="false" outlineLevel="0" collapsed="false">
      <c r="A36" s="211" t="s">
        <v>155</v>
      </c>
      <c r="B36" s="212" t="s">
        <v>69</v>
      </c>
      <c r="C36" s="212" t="s">
        <v>61</v>
      </c>
      <c r="D36" s="212" t="s">
        <v>232</v>
      </c>
      <c r="E36" s="213" t="n">
        <v>4.596</v>
      </c>
      <c r="F36" s="213" t="n">
        <v>0.013</v>
      </c>
      <c r="G36" s="213" t="n">
        <v>0.241</v>
      </c>
      <c r="H36" s="214" t="n">
        <v>115.4</v>
      </c>
      <c r="I36" s="96" t="n">
        <v>46.1</v>
      </c>
      <c r="J36" s="96" t="n">
        <v>-36.7</v>
      </c>
      <c r="K36" s="94" t="n">
        <v>-0.796095444685466</v>
      </c>
      <c r="L36" s="96" t="n">
        <v>10.1952277657267</v>
      </c>
      <c r="M36" s="90" t="n">
        <v>35.7041251778094</v>
      </c>
      <c r="N36" s="212" t="s">
        <v>64</v>
      </c>
      <c r="O36" s="212" t="s">
        <v>65</v>
      </c>
      <c r="P36" s="215" t="s">
        <v>72</v>
      </c>
      <c r="Q36" s="215" t="n">
        <v>61</v>
      </c>
      <c r="R36" s="215" t="n">
        <v>2.03333333333333</v>
      </c>
      <c r="S36" s="215" t="s">
        <v>67</v>
      </c>
      <c r="T36" s="215" t="n">
        <v>1</v>
      </c>
      <c r="U36" s="216" t="s">
        <v>157</v>
      </c>
      <c r="W36" s="217" t="s">
        <v>155</v>
      </c>
      <c r="X36" s="45" t="s">
        <v>74</v>
      </c>
      <c r="Y36" s="45" t="s">
        <v>310</v>
      </c>
      <c r="Z36" s="45" t="s">
        <v>412</v>
      </c>
      <c r="AA36" s="95" t="n">
        <v>11.92</v>
      </c>
      <c r="AB36" s="95" t="n">
        <v>0.033</v>
      </c>
      <c r="AC36" s="95" t="n">
        <v>0.375</v>
      </c>
      <c r="AD36" s="94" t="n">
        <v>47.7</v>
      </c>
      <c r="AE36" s="96" t="n">
        <v>87.5</v>
      </c>
      <c r="AF36" s="96" t="n">
        <v>25.7</v>
      </c>
      <c r="AG36" s="94" t="n">
        <v>0.293714285714286</v>
      </c>
      <c r="AH36" s="96" t="n">
        <v>64.6857142857143</v>
      </c>
      <c r="AI36" s="96" t="n">
        <v>52.5497512437811</v>
      </c>
      <c r="AJ36" s="96" t="n">
        <v>144</v>
      </c>
      <c r="AK36" s="94" t="n">
        <v>4.8</v>
      </c>
    </row>
    <row r="37" customFormat="false" ht="15" hidden="true" customHeight="false" outlineLevel="0" collapsed="false">
      <c r="A37" s="211" t="s">
        <v>158</v>
      </c>
      <c r="B37" s="212" t="s">
        <v>74</v>
      </c>
      <c r="C37" s="212" t="s">
        <v>61</v>
      </c>
      <c r="D37" s="212" t="s">
        <v>232</v>
      </c>
      <c r="E37" s="213" t="n">
        <v>72.576</v>
      </c>
      <c r="F37" s="213" t="n">
        <v>0.202</v>
      </c>
      <c r="G37" s="213" t="n">
        <v>0.43</v>
      </c>
      <c r="H37" s="214" t="n">
        <v>1.7</v>
      </c>
      <c r="I37" s="96" t="n">
        <v>88.6</v>
      </c>
      <c r="J37" s="96" t="n">
        <v>8.6</v>
      </c>
      <c r="K37" s="94" t="n">
        <v>0.0970654627539504</v>
      </c>
      <c r="L37" s="96" t="n">
        <v>54.8532731376975</v>
      </c>
      <c r="M37" s="90" t="n">
        <v>54.871395167576</v>
      </c>
      <c r="N37" s="212" t="s">
        <v>64</v>
      </c>
      <c r="O37" s="212" t="s">
        <v>65</v>
      </c>
      <c r="P37" s="215" t="s">
        <v>66</v>
      </c>
      <c r="Q37" s="215" t="n">
        <v>61</v>
      </c>
      <c r="R37" s="215" t="n">
        <v>2.03333333333333</v>
      </c>
      <c r="S37" s="215" t="s">
        <v>81</v>
      </c>
      <c r="T37" s="215" t="n">
        <v>4</v>
      </c>
      <c r="U37" s="216" t="s">
        <v>160</v>
      </c>
      <c r="W37" s="217" t="s">
        <v>158</v>
      </c>
      <c r="X37" s="45" t="s">
        <v>79</v>
      </c>
      <c r="Y37" s="45" t="s">
        <v>310</v>
      </c>
      <c r="Z37" s="45" t="s">
        <v>412</v>
      </c>
      <c r="AA37" s="95" t="n">
        <v>83.535</v>
      </c>
      <c r="AB37" s="95" t="n">
        <v>0.232</v>
      </c>
      <c r="AC37" s="95" t="n">
        <v>0.454</v>
      </c>
      <c r="AD37" s="94" t="n">
        <v>10.8</v>
      </c>
      <c r="AE37" s="96" t="n">
        <v>128.5</v>
      </c>
      <c r="AF37" s="96" t="n">
        <v>20.9</v>
      </c>
      <c r="AG37" s="94" t="n">
        <v>0.162645914396887</v>
      </c>
      <c r="AH37" s="96" t="n">
        <v>58.1322957198444</v>
      </c>
      <c r="AI37" s="96" t="n">
        <v>29.5883361921098</v>
      </c>
      <c r="AJ37" s="96" t="n">
        <v>144</v>
      </c>
      <c r="AK37" s="94" t="n">
        <v>4.8</v>
      </c>
    </row>
    <row r="38" customFormat="false" ht="15" hidden="true" customHeight="false" outlineLevel="0" collapsed="false">
      <c r="A38" s="211" t="s">
        <v>161</v>
      </c>
      <c r="B38" s="212" t="s">
        <v>79</v>
      </c>
      <c r="C38" s="212" t="s">
        <v>61</v>
      </c>
      <c r="D38" s="212" t="s">
        <v>232</v>
      </c>
      <c r="E38" s="213" t="n">
        <v>12.092</v>
      </c>
      <c r="F38" s="213" t="n">
        <v>0.034</v>
      </c>
      <c r="G38" s="213" t="n">
        <v>0.354</v>
      </c>
      <c r="H38" s="214" t="n">
        <v>111.1</v>
      </c>
      <c r="I38" s="96" t="n">
        <v>111</v>
      </c>
      <c r="J38" s="96" t="n">
        <v>-83</v>
      </c>
      <c r="K38" s="94" t="n">
        <v>-0.747747747747748</v>
      </c>
      <c r="L38" s="96" t="n">
        <v>12.6126126126126</v>
      </c>
      <c r="M38" s="90" t="n">
        <v>60.2136181575434</v>
      </c>
      <c r="N38" s="212" t="s">
        <v>64</v>
      </c>
      <c r="O38" s="212" t="s">
        <v>65</v>
      </c>
      <c r="P38" s="215" t="s">
        <v>72</v>
      </c>
      <c r="Q38" s="215" t="n">
        <v>61</v>
      </c>
      <c r="R38" s="215" t="n">
        <v>2.03333333333333</v>
      </c>
      <c r="S38" s="215" t="s">
        <v>81</v>
      </c>
      <c r="T38" s="215" t="n">
        <v>2</v>
      </c>
      <c r="U38" s="216" t="s">
        <v>157</v>
      </c>
      <c r="W38" s="217" t="s">
        <v>161</v>
      </c>
      <c r="X38" s="45" t="s">
        <v>60</v>
      </c>
      <c r="Y38" s="45" t="s">
        <v>310</v>
      </c>
      <c r="Z38" s="45" t="s">
        <v>417</v>
      </c>
      <c r="AA38" s="95" t="n">
        <v>18.804</v>
      </c>
      <c r="AB38" s="95" t="n">
        <v>0.052</v>
      </c>
      <c r="AC38" s="95" t="n">
        <v>0.308</v>
      </c>
      <c r="AD38" s="94" t="n">
        <v>1.1</v>
      </c>
      <c r="AE38" s="96" t="n">
        <v>103.2</v>
      </c>
      <c r="AF38" s="96" t="n">
        <v>5.6</v>
      </c>
      <c r="AG38" s="94" t="n">
        <v>0.0542635658914729</v>
      </c>
      <c r="AH38" s="96" t="n">
        <v>52.7131782945737</v>
      </c>
      <c r="AI38" s="96" t="n">
        <v>44.4033302497687</v>
      </c>
      <c r="AJ38" s="96" t="n">
        <v>144</v>
      </c>
      <c r="AK38" s="94" t="n">
        <v>4.8</v>
      </c>
    </row>
    <row r="39" customFormat="false" ht="15" hidden="true" customHeight="false" outlineLevel="0" collapsed="false">
      <c r="A39" s="211" t="s">
        <v>163</v>
      </c>
      <c r="B39" s="212" t="s">
        <v>60</v>
      </c>
      <c r="C39" s="212" t="s">
        <v>61</v>
      </c>
      <c r="D39" s="212" t="s">
        <v>237</v>
      </c>
      <c r="E39" s="213" t="n">
        <v>12.174</v>
      </c>
      <c r="F39" s="213" t="n">
        <v>0.034</v>
      </c>
      <c r="G39" s="213" t="n">
        <v>0.284</v>
      </c>
      <c r="H39" s="214" t="n">
        <v>78.5</v>
      </c>
      <c r="I39" s="96" t="n">
        <v>15.4</v>
      </c>
      <c r="J39" s="96" t="n">
        <v>4.2</v>
      </c>
      <c r="K39" s="94" t="n">
        <v>0.272727272727273</v>
      </c>
      <c r="L39" s="96" t="n">
        <v>63.6363636363636</v>
      </c>
      <c r="M39" s="90" t="n">
        <v>59.469696969697</v>
      </c>
      <c r="N39" s="212" t="s">
        <v>64</v>
      </c>
      <c r="O39" s="212" t="s">
        <v>65</v>
      </c>
      <c r="P39" s="215" t="s">
        <v>66</v>
      </c>
      <c r="Q39" s="215" t="n">
        <v>61</v>
      </c>
      <c r="R39" s="215" t="n">
        <v>2.03333333333333</v>
      </c>
      <c r="S39" s="215" t="s">
        <v>81</v>
      </c>
      <c r="T39" s="215" t="n">
        <v>4</v>
      </c>
      <c r="U39" s="216"/>
      <c r="W39" s="217" t="s">
        <v>163</v>
      </c>
      <c r="X39" s="45" t="s">
        <v>69</v>
      </c>
      <c r="Y39" s="45" t="s">
        <v>310</v>
      </c>
      <c r="Z39" s="45" t="s">
        <v>417</v>
      </c>
      <c r="AA39" s="95" t="n">
        <v>11.05</v>
      </c>
      <c r="AB39" s="95" t="n">
        <v>0.031</v>
      </c>
      <c r="AC39" s="95" t="n">
        <v>0.285</v>
      </c>
      <c r="AD39" s="94" t="n">
        <v>144.6</v>
      </c>
      <c r="AE39" s="96" t="n">
        <v>91.3</v>
      </c>
      <c r="AF39" s="96" t="n">
        <v>69.9</v>
      </c>
      <c r="AG39" s="94" t="n">
        <v>0.765607886089814</v>
      </c>
      <c r="AH39" s="96" t="n">
        <v>88.2803943044907</v>
      </c>
      <c r="AI39" s="96" t="n">
        <v>52.3206751054852</v>
      </c>
      <c r="AJ39" s="96" t="n">
        <v>144</v>
      </c>
      <c r="AK39" s="94" t="n">
        <v>4.8</v>
      </c>
    </row>
    <row r="40" customFormat="false" ht="15" hidden="true" customHeight="false" outlineLevel="0" collapsed="false">
      <c r="A40" s="211" t="s">
        <v>166</v>
      </c>
      <c r="B40" s="212" t="s">
        <v>69</v>
      </c>
      <c r="C40" s="212" t="s">
        <v>61</v>
      </c>
      <c r="D40" s="212" t="s">
        <v>237</v>
      </c>
      <c r="E40" s="213" t="n">
        <v>0</v>
      </c>
      <c r="F40" s="213" t="n">
        <v>0</v>
      </c>
      <c r="G40" s="213"/>
      <c r="H40" s="214" t="n">
        <v>180.3</v>
      </c>
      <c r="I40" s="96" t="n">
        <v>0</v>
      </c>
      <c r="J40" s="96" t="n">
        <v>0</v>
      </c>
      <c r="K40" s="94" t="e">
        <f aca="false">#DIV/0!</f>
        <v>#DIV/0!</v>
      </c>
      <c r="L40" s="96" t="e">
        <f aca="false">#DIV/0!</f>
        <v>#DIV/0!</v>
      </c>
      <c r="M40" s="90" t="n">
        <v>31.340206185567</v>
      </c>
      <c r="N40" s="212" t="s">
        <v>64</v>
      </c>
      <c r="O40" s="212" t="s">
        <v>65</v>
      </c>
      <c r="P40" s="215" t="s">
        <v>66</v>
      </c>
      <c r="Q40" s="215" t="n">
        <v>61</v>
      </c>
      <c r="R40" s="215" t="n">
        <v>2.03333333333333</v>
      </c>
      <c r="S40" s="215" t="s">
        <v>67</v>
      </c>
      <c r="T40" s="215" t="n">
        <v>3</v>
      </c>
      <c r="U40" s="216" t="s">
        <v>168</v>
      </c>
      <c r="W40" s="217" t="s">
        <v>166</v>
      </c>
      <c r="X40" s="45" t="s">
        <v>74</v>
      </c>
      <c r="Y40" s="45" t="s">
        <v>310</v>
      </c>
      <c r="Z40" s="45" t="s">
        <v>420</v>
      </c>
      <c r="AA40" s="95" t="n">
        <v>10.829</v>
      </c>
      <c r="AB40" s="95" t="n">
        <v>0.03</v>
      </c>
      <c r="AC40" s="95" t="n">
        <v>0.297</v>
      </c>
      <c r="AD40" s="94" t="n">
        <v>147</v>
      </c>
      <c r="AE40" s="96" t="n">
        <v>41.3</v>
      </c>
      <c r="AF40" s="96" t="n">
        <v>19.9</v>
      </c>
      <c r="AG40" s="94" t="n">
        <v>0.481840193704601</v>
      </c>
      <c r="AH40" s="96" t="n">
        <v>74.09200968523</v>
      </c>
      <c r="AI40" s="96" t="n">
        <v>49.5384615384615</v>
      </c>
      <c r="AJ40" s="96" t="n">
        <v>144</v>
      </c>
      <c r="AK40" s="94" t="n">
        <v>4.8</v>
      </c>
    </row>
    <row r="41" customFormat="false" ht="15" hidden="true" customHeight="false" outlineLevel="0" collapsed="false">
      <c r="A41" s="211" t="s">
        <v>169</v>
      </c>
      <c r="B41" s="212" t="s">
        <v>74</v>
      </c>
      <c r="C41" s="212" t="s">
        <v>61</v>
      </c>
      <c r="D41" s="212" t="s">
        <v>237</v>
      </c>
      <c r="E41" s="213" t="n">
        <v>6.3</v>
      </c>
      <c r="F41" s="213" t="n">
        <v>0.017</v>
      </c>
      <c r="G41" s="213" t="n">
        <v>0.27</v>
      </c>
      <c r="H41" s="214" t="n">
        <v>190.7</v>
      </c>
      <c r="I41" s="96" t="n">
        <v>10</v>
      </c>
      <c r="J41" s="96" t="n">
        <v>-7</v>
      </c>
      <c r="K41" s="94" t="n">
        <v>-0.7</v>
      </c>
      <c r="L41" s="96" t="n">
        <v>15</v>
      </c>
      <c r="M41" s="90" t="n">
        <v>53.6697247706422</v>
      </c>
      <c r="N41" s="212" t="s">
        <v>71</v>
      </c>
      <c r="O41" s="212" t="s">
        <v>65</v>
      </c>
      <c r="P41" s="215" t="s">
        <v>72</v>
      </c>
      <c r="Q41" s="215" t="n">
        <v>61</v>
      </c>
      <c r="R41" s="215" t="n">
        <v>2.03333333333333</v>
      </c>
      <c r="S41" s="215" t="s">
        <v>67</v>
      </c>
      <c r="T41" s="215" t="n">
        <v>1</v>
      </c>
      <c r="U41" s="216" t="s">
        <v>171</v>
      </c>
      <c r="W41" s="217" t="s">
        <v>169</v>
      </c>
      <c r="X41" s="45" t="s">
        <v>79</v>
      </c>
      <c r="Y41" s="45" t="s">
        <v>310</v>
      </c>
      <c r="Z41" s="45" t="s">
        <v>420</v>
      </c>
      <c r="AA41" s="95" t="n">
        <v>4.239</v>
      </c>
      <c r="AB41" s="95" t="n">
        <v>0.012</v>
      </c>
      <c r="AC41" s="95" t="n">
        <v>0.253</v>
      </c>
      <c r="AD41" s="94" t="n">
        <v>242.1</v>
      </c>
      <c r="AE41" s="96" t="n">
        <v>75.4</v>
      </c>
      <c r="AF41" s="96" t="n">
        <v>-31.4</v>
      </c>
      <c r="AG41" s="94" t="n">
        <v>-0.416445623342175</v>
      </c>
      <c r="AH41" s="96" t="n">
        <v>29.1777188328912</v>
      </c>
      <c r="AI41" s="96" t="n">
        <v>18.8571428571429</v>
      </c>
      <c r="AJ41" s="96" t="n">
        <v>144</v>
      </c>
      <c r="AK41" s="94" t="n">
        <v>4.8</v>
      </c>
    </row>
    <row r="42" customFormat="false" ht="15" hidden="true" customHeight="false" outlineLevel="0" collapsed="false">
      <c r="A42" s="211" t="s">
        <v>172</v>
      </c>
      <c r="B42" s="212" t="s">
        <v>79</v>
      </c>
      <c r="C42" s="212" t="s">
        <v>61</v>
      </c>
      <c r="D42" s="212" t="s">
        <v>237</v>
      </c>
      <c r="E42" s="213" t="n">
        <v>7.065</v>
      </c>
      <c r="F42" s="213" t="n">
        <v>0.02</v>
      </c>
      <c r="G42" s="213" t="n">
        <v>0.203</v>
      </c>
      <c r="H42" s="214" t="n">
        <v>111.2</v>
      </c>
      <c r="I42" s="96" t="n">
        <v>11.7</v>
      </c>
      <c r="J42" s="96" t="n">
        <v>-0.9</v>
      </c>
      <c r="K42" s="94" t="n">
        <v>-0.0769230769230769</v>
      </c>
      <c r="L42" s="96" t="n">
        <v>46.1538461538462</v>
      </c>
      <c r="M42" s="90" t="n">
        <v>47.4708171206226</v>
      </c>
      <c r="N42" s="212" t="s">
        <v>71</v>
      </c>
      <c r="O42" s="212" t="s">
        <v>65</v>
      </c>
      <c r="P42" s="215" t="s">
        <v>66</v>
      </c>
      <c r="Q42" s="215" t="n">
        <v>61</v>
      </c>
      <c r="R42" s="215" t="n">
        <v>2.03333333333333</v>
      </c>
      <c r="S42" s="215" t="s">
        <v>81</v>
      </c>
      <c r="T42" s="215" t="n">
        <v>4</v>
      </c>
      <c r="U42" s="216"/>
      <c r="W42" s="217" t="s">
        <v>172</v>
      </c>
      <c r="X42" s="45" t="s">
        <v>60</v>
      </c>
      <c r="Y42" s="45" t="s">
        <v>310</v>
      </c>
      <c r="Z42" s="45" t="s">
        <v>282</v>
      </c>
      <c r="AA42" s="95" t="n">
        <v>43.381</v>
      </c>
      <c r="AB42" s="95" t="n">
        <v>0.121</v>
      </c>
      <c r="AC42" s="95" t="n">
        <v>0.342</v>
      </c>
      <c r="AD42" s="94" t="n">
        <v>1.1</v>
      </c>
      <c r="AE42" s="96" t="n">
        <v>36.3</v>
      </c>
      <c r="AF42" s="96" t="n">
        <v>-1.3</v>
      </c>
      <c r="AG42" s="94" t="n">
        <v>-0.0358126721763086</v>
      </c>
      <c r="AH42" s="96" t="n">
        <v>48.2093663911846</v>
      </c>
      <c r="AI42" s="96" t="n">
        <v>53.1746031746032</v>
      </c>
      <c r="AJ42" s="96" t="n">
        <v>144</v>
      </c>
      <c r="AK42" s="94" t="n">
        <v>4.8</v>
      </c>
    </row>
    <row r="43" customFormat="false" ht="15" hidden="true" customHeight="false" outlineLevel="0" collapsed="false">
      <c r="A43" s="211" t="s">
        <v>174</v>
      </c>
      <c r="B43" s="212" t="s">
        <v>60</v>
      </c>
      <c r="C43" s="212" t="s">
        <v>61</v>
      </c>
      <c r="D43" s="212" t="s">
        <v>242</v>
      </c>
      <c r="E43" s="213" t="n">
        <v>6.934</v>
      </c>
      <c r="F43" s="213" t="n">
        <v>0.019</v>
      </c>
      <c r="G43" s="213" t="n">
        <v>0.325</v>
      </c>
      <c r="H43" s="214" t="n">
        <v>138.2</v>
      </c>
      <c r="I43" s="96" t="n">
        <v>112.6</v>
      </c>
      <c r="J43" s="96" t="n">
        <v>-87.2</v>
      </c>
      <c r="K43" s="94" t="n">
        <v>-0.774422735346359</v>
      </c>
      <c r="L43" s="96" t="n">
        <v>11.2788632326821</v>
      </c>
      <c r="M43" s="223" t="n">
        <v>93.4156378600823</v>
      </c>
      <c r="N43" s="212" t="s">
        <v>71</v>
      </c>
      <c r="O43" s="212" t="s">
        <v>65</v>
      </c>
      <c r="P43" s="215" t="s">
        <v>72</v>
      </c>
      <c r="Q43" s="215" t="n">
        <v>61</v>
      </c>
      <c r="R43" s="215" t="n">
        <v>2.03333333333333</v>
      </c>
      <c r="S43" s="215" t="s">
        <v>81</v>
      </c>
      <c r="T43" s="215" t="n">
        <v>2</v>
      </c>
      <c r="U43" s="216"/>
      <c r="W43" s="217" t="s">
        <v>174</v>
      </c>
      <c r="X43" s="45" t="s">
        <v>69</v>
      </c>
      <c r="Y43" s="45" t="s">
        <v>310</v>
      </c>
      <c r="Z43" s="45" t="s">
        <v>282</v>
      </c>
      <c r="AA43" s="95" t="n">
        <v>9.262</v>
      </c>
      <c r="AB43" s="95" t="n">
        <v>0.026</v>
      </c>
      <c r="AC43" s="95" t="n">
        <v>0.258</v>
      </c>
      <c r="AD43" s="94" t="n">
        <v>110.9</v>
      </c>
      <c r="AE43" s="96" t="n">
        <v>144.4</v>
      </c>
      <c r="AF43" s="96" t="n">
        <v>64</v>
      </c>
      <c r="AG43" s="94" t="n">
        <v>0.443213296398892</v>
      </c>
      <c r="AH43" s="96" t="n">
        <v>72.1606648199446</v>
      </c>
      <c r="AI43" s="96" t="n">
        <v>50.5674653215637</v>
      </c>
      <c r="AJ43" s="96" t="n">
        <v>144</v>
      </c>
      <c r="AK43" s="94" t="n">
        <v>4.8</v>
      </c>
    </row>
    <row r="44" customFormat="false" ht="15" hidden="true" customHeight="false" outlineLevel="0" collapsed="false">
      <c r="A44" s="211" t="s">
        <v>177</v>
      </c>
      <c r="B44" s="212" t="s">
        <v>69</v>
      </c>
      <c r="C44" s="212" t="s">
        <v>61</v>
      </c>
      <c r="D44" s="212" t="s">
        <v>242</v>
      </c>
      <c r="E44" s="213" t="n">
        <v>4.475</v>
      </c>
      <c r="F44" s="213" t="n">
        <v>0.012</v>
      </c>
      <c r="G44" s="213" t="n">
        <v>0.244</v>
      </c>
      <c r="H44" s="214" t="n">
        <v>85.4</v>
      </c>
      <c r="I44" s="96" t="n">
        <v>7.1</v>
      </c>
      <c r="J44" s="96" t="n">
        <v>-3.3</v>
      </c>
      <c r="K44" s="94" t="n">
        <v>-0.464788732394366</v>
      </c>
      <c r="L44" s="96" t="n">
        <v>26.7605633802817</v>
      </c>
      <c r="M44" s="90" t="n">
        <v>40.3693931398417</v>
      </c>
      <c r="N44" s="212" t="s">
        <v>64</v>
      </c>
      <c r="O44" s="212" t="s">
        <v>65</v>
      </c>
      <c r="P44" s="215" t="s">
        <v>72</v>
      </c>
      <c r="Q44" s="215" t="n">
        <v>60</v>
      </c>
      <c r="R44" s="215" t="n">
        <v>2</v>
      </c>
      <c r="S44" s="215" t="s">
        <v>67</v>
      </c>
      <c r="T44" s="215" t="n">
        <v>1</v>
      </c>
      <c r="U44" s="216" t="s">
        <v>179</v>
      </c>
      <c r="W44" s="217" t="s">
        <v>177</v>
      </c>
      <c r="X44" s="45" t="s">
        <v>74</v>
      </c>
      <c r="Y44" s="45" t="s">
        <v>310</v>
      </c>
      <c r="Z44" s="45" t="s">
        <v>282</v>
      </c>
      <c r="AA44" s="95" t="n">
        <v>7.198</v>
      </c>
      <c r="AB44" s="95" t="n">
        <v>0.02</v>
      </c>
      <c r="AC44" s="95" t="n">
        <v>0.228</v>
      </c>
      <c r="AD44" s="94" t="n">
        <v>105.2</v>
      </c>
      <c r="AE44" s="96" t="n">
        <v>37.5</v>
      </c>
      <c r="AF44" s="96" t="n">
        <v>-18.5</v>
      </c>
      <c r="AG44" s="94" t="n">
        <v>-0.493333333333333</v>
      </c>
      <c r="AH44" s="96" t="n">
        <v>25.3333333333333</v>
      </c>
      <c r="AI44" s="96" t="n">
        <v>74.2290748898679</v>
      </c>
      <c r="AJ44" s="96" t="n">
        <v>143</v>
      </c>
      <c r="AK44" s="94" t="n">
        <v>4.76666666666667</v>
      </c>
    </row>
    <row r="45" customFormat="false" ht="15" hidden="true" customHeight="false" outlineLevel="0" collapsed="false">
      <c r="A45" s="211" t="s">
        <v>180</v>
      </c>
      <c r="B45" s="212" t="s">
        <v>74</v>
      </c>
      <c r="C45" s="212" t="s">
        <v>61</v>
      </c>
      <c r="D45" s="212" t="s">
        <v>242</v>
      </c>
      <c r="E45" s="213" t="n">
        <v>11.342</v>
      </c>
      <c r="F45" s="213" t="n">
        <v>0.032</v>
      </c>
      <c r="G45" s="213" t="n">
        <v>0.257</v>
      </c>
      <c r="H45" s="214" t="n">
        <v>46.1</v>
      </c>
      <c r="I45" s="96" t="n">
        <v>38</v>
      </c>
      <c r="J45" s="96" t="n">
        <v>7</v>
      </c>
      <c r="K45" s="94" t="n">
        <v>0.184210526315789</v>
      </c>
      <c r="L45" s="96" t="n">
        <v>59.2105263157895</v>
      </c>
      <c r="M45" s="90" t="n">
        <v>48.5477178423236</v>
      </c>
      <c r="N45" s="212" t="s">
        <v>71</v>
      </c>
      <c r="O45" s="212" t="s">
        <v>65</v>
      </c>
      <c r="P45" s="215" t="s">
        <v>72</v>
      </c>
      <c r="Q45" s="215" t="n">
        <v>53</v>
      </c>
      <c r="R45" s="215" t="n">
        <v>1.76666666666667</v>
      </c>
      <c r="S45" s="215" t="s">
        <v>81</v>
      </c>
      <c r="T45" s="215" t="n">
        <v>2</v>
      </c>
      <c r="U45" s="216" t="s">
        <v>182</v>
      </c>
      <c r="W45" s="217" t="s">
        <v>180</v>
      </c>
      <c r="X45" s="45" t="s">
        <v>79</v>
      </c>
      <c r="Y45" s="45" t="s">
        <v>310</v>
      </c>
      <c r="Z45" s="45" t="s">
        <v>282</v>
      </c>
      <c r="AA45" s="95" t="n">
        <v>19.149</v>
      </c>
      <c r="AB45" s="95" t="n">
        <v>0.053</v>
      </c>
      <c r="AC45" s="95" t="n">
        <v>0.284</v>
      </c>
      <c r="AD45" s="94" t="n">
        <v>1.6</v>
      </c>
      <c r="AE45" s="96" t="n">
        <v>88.7</v>
      </c>
      <c r="AF45" s="96" t="n">
        <v>38.5</v>
      </c>
      <c r="AG45" s="94" t="n">
        <v>0.434047350620068</v>
      </c>
      <c r="AH45" s="96" t="n">
        <v>71.7023675310034</v>
      </c>
      <c r="AI45" s="96" t="n">
        <v>47.816091954023</v>
      </c>
      <c r="AJ45" s="96" t="n">
        <v>136</v>
      </c>
      <c r="AK45" s="94" t="n">
        <v>4.53333333333333</v>
      </c>
    </row>
    <row r="46" customFormat="false" ht="15" hidden="true" customHeight="false" outlineLevel="0" collapsed="false">
      <c r="A46" s="211" t="s">
        <v>183</v>
      </c>
      <c r="B46" s="212" t="s">
        <v>79</v>
      </c>
      <c r="C46" s="212" t="s">
        <v>61</v>
      </c>
      <c r="D46" s="212" t="s">
        <v>242</v>
      </c>
      <c r="E46" s="213" t="n">
        <v>21.859</v>
      </c>
      <c r="F46" s="213" t="n">
        <v>0.061</v>
      </c>
      <c r="G46" s="213" t="n">
        <v>0.366</v>
      </c>
      <c r="H46" s="214" t="n">
        <v>12.1</v>
      </c>
      <c r="I46" s="96" t="n">
        <v>31.3</v>
      </c>
      <c r="J46" s="96" t="n">
        <v>2.7</v>
      </c>
      <c r="K46" s="94" t="n">
        <v>0.0862619808306709</v>
      </c>
      <c r="L46" s="96" t="n">
        <v>54.3130990415335</v>
      </c>
      <c r="M46" s="90" t="n">
        <v>53.4621578099839</v>
      </c>
      <c r="N46" s="212" t="s">
        <v>71</v>
      </c>
      <c r="O46" s="212" t="s">
        <v>76</v>
      </c>
      <c r="P46" s="215" t="s">
        <v>72</v>
      </c>
      <c r="Q46" s="215" t="n">
        <v>42</v>
      </c>
      <c r="R46" s="215" t="n">
        <v>1.4</v>
      </c>
      <c r="S46" s="215" t="s">
        <v>67</v>
      </c>
      <c r="T46" s="215" t="n">
        <v>5</v>
      </c>
      <c r="U46" s="216"/>
      <c r="W46" s="217" t="s">
        <v>183</v>
      </c>
      <c r="X46" s="45" t="s">
        <v>60</v>
      </c>
      <c r="Y46" s="45" t="s">
        <v>310</v>
      </c>
      <c r="Z46" s="45" t="s">
        <v>427</v>
      </c>
      <c r="AA46" s="95" t="n">
        <v>10.755</v>
      </c>
      <c r="AB46" s="95" t="n">
        <v>0.03</v>
      </c>
      <c r="AC46" s="95" t="n">
        <v>0.265</v>
      </c>
      <c r="AD46" s="94" t="n">
        <v>95.1</v>
      </c>
      <c r="AE46" s="96" t="n">
        <v>26.4</v>
      </c>
      <c r="AF46" s="96" t="n">
        <v>-2.8</v>
      </c>
      <c r="AG46" s="94" t="n">
        <v>-0.106060606060606</v>
      </c>
      <c r="AH46" s="96" t="n">
        <v>44.6969696969697</v>
      </c>
      <c r="AI46" s="96" t="n">
        <v>45.5497382198953</v>
      </c>
      <c r="AJ46" s="96" t="n">
        <v>125</v>
      </c>
      <c r="AK46" s="94" t="n">
        <v>4.16666666666667</v>
      </c>
    </row>
    <row r="47" customFormat="false" ht="15" hidden="false" customHeight="false" outlineLevel="0" collapsed="false">
      <c r="A47" s="211" t="s">
        <v>185</v>
      </c>
      <c r="B47" s="212" t="s">
        <v>60</v>
      </c>
      <c r="C47" s="212" t="s">
        <v>61</v>
      </c>
      <c r="D47" s="212" t="s">
        <v>247</v>
      </c>
      <c r="E47" s="213" t="n">
        <v>15.161</v>
      </c>
      <c r="F47" s="213" t="n">
        <v>0.042</v>
      </c>
      <c r="G47" s="213" t="n">
        <v>0.755</v>
      </c>
      <c r="H47" s="214" t="n">
        <v>18.9</v>
      </c>
      <c r="I47" s="96" t="n">
        <v>27.5</v>
      </c>
      <c r="J47" s="96" t="n">
        <v>4.9</v>
      </c>
      <c r="K47" s="94" t="n">
        <v>0.178181818181818</v>
      </c>
      <c r="L47" s="96" t="n">
        <v>58.9090909090909</v>
      </c>
      <c r="M47" s="90" t="n">
        <v>50.2923976608187</v>
      </c>
      <c r="N47" s="212" t="s">
        <v>71</v>
      </c>
      <c r="O47" s="212" t="s">
        <v>76</v>
      </c>
      <c r="P47" s="215" t="s">
        <v>66</v>
      </c>
      <c r="Q47" s="215" t="n">
        <v>42</v>
      </c>
      <c r="R47" s="215" t="n">
        <v>1.4</v>
      </c>
      <c r="S47" s="215" t="s">
        <v>81</v>
      </c>
      <c r="T47" s="215" t="n">
        <v>8</v>
      </c>
      <c r="U47" s="216"/>
      <c r="W47" s="217" t="s">
        <v>185</v>
      </c>
      <c r="X47" s="45" t="s">
        <v>69</v>
      </c>
      <c r="Y47" s="45" t="s">
        <v>310</v>
      </c>
      <c r="Z47" s="45" t="s">
        <v>427</v>
      </c>
      <c r="AA47" s="95" t="n">
        <v>10.329</v>
      </c>
      <c r="AB47" s="95" t="n">
        <v>0.029</v>
      </c>
      <c r="AC47" s="95" t="n">
        <v>0.25</v>
      </c>
      <c r="AD47" s="94" t="n">
        <v>32.1</v>
      </c>
      <c r="AE47" s="96" t="n">
        <v>63.2</v>
      </c>
      <c r="AF47" s="96" t="n">
        <v>-12</v>
      </c>
      <c r="AG47" s="94" t="n">
        <v>-0.189873417721519</v>
      </c>
      <c r="AH47" s="96" t="n">
        <v>40.5063291139241</v>
      </c>
      <c r="AI47" s="96" t="n">
        <v>54.5090180360721</v>
      </c>
      <c r="AJ47" s="96" t="n">
        <v>125</v>
      </c>
      <c r="AK47" s="94" t="n">
        <v>4.16666666666667</v>
      </c>
    </row>
    <row r="48" customFormat="false" ht="15" hidden="true" customHeight="false" outlineLevel="0" collapsed="false">
      <c r="A48" s="211" t="s">
        <v>188</v>
      </c>
      <c r="B48" s="212" t="s">
        <v>69</v>
      </c>
      <c r="C48" s="212" t="s">
        <v>61</v>
      </c>
      <c r="D48" s="212" t="s">
        <v>247</v>
      </c>
      <c r="E48" s="213" t="n">
        <v>15.92</v>
      </c>
      <c r="F48" s="213" t="n">
        <v>0.044</v>
      </c>
      <c r="G48" s="213" t="n">
        <v>0.25</v>
      </c>
      <c r="H48" s="214" t="n">
        <v>23.1</v>
      </c>
      <c r="I48" s="96" t="n">
        <v>84.6</v>
      </c>
      <c r="J48" s="96" t="n">
        <v>-17.8</v>
      </c>
      <c r="K48" s="94" t="n">
        <v>-0.210401891252955</v>
      </c>
      <c r="L48" s="96" t="n">
        <v>39.4799054373522</v>
      </c>
      <c r="M48" s="90" t="n">
        <v>42.807924203273</v>
      </c>
      <c r="N48" s="45" t="s">
        <v>71</v>
      </c>
      <c r="O48" s="45" t="s">
        <v>76</v>
      </c>
      <c r="P48" s="215" t="s">
        <v>66</v>
      </c>
      <c r="Q48" s="215" t="n">
        <v>42</v>
      </c>
      <c r="R48" s="214" t="n">
        <v>1.4</v>
      </c>
      <c r="S48" s="215" t="s">
        <v>67</v>
      </c>
      <c r="T48" s="215" t="n">
        <v>7</v>
      </c>
      <c r="U48" s="216"/>
      <c r="W48" s="217" t="s">
        <v>188</v>
      </c>
      <c r="X48" s="45" t="s">
        <v>74</v>
      </c>
      <c r="Y48" s="45" t="s">
        <v>310</v>
      </c>
      <c r="Z48" s="45" t="s">
        <v>430</v>
      </c>
      <c r="AA48" s="95" t="n">
        <v>7.629</v>
      </c>
      <c r="AB48" s="95" t="n">
        <v>0.021</v>
      </c>
      <c r="AC48" s="95" t="n">
        <v>0.265</v>
      </c>
      <c r="AD48" s="94" t="n">
        <v>135.4</v>
      </c>
      <c r="AE48" s="96" t="n">
        <v>28.4</v>
      </c>
      <c r="AF48" s="96" t="n">
        <v>-1.2</v>
      </c>
      <c r="AG48" s="94" t="n">
        <v>-0.0422535211267606</v>
      </c>
      <c r="AH48" s="96" t="n">
        <v>47.887323943662</v>
      </c>
      <c r="AI48" s="96" t="n">
        <v>50.7228915662651</v>
      </c>
      <c r="AJ48" s="96" t="n">
        <v>125</v>
      </c>
      <c r="AK48" s="94" t="n">
        <v>4.16666666666667</v>
      </c>
    </row>
    <row r="52" customFormat="false" ht="14" hidden="false" customHeight="false" outlineLevel="0" collapsed="false">
      <c r="C52" s="113" t="s">
        <v>497</v>
      </c>
      <c r="Y52" s="113" t="s">
        <v>498</v>
      </c>
    </row>
    <row r="53" customFormat="false" ht="15" hidden="false" customHeight="false" outlineLevel="0" collapsed="false">
      <c r="B53" s="228" t="s">
        <v>494</v>
      </c>
      <c r="C53" s="229" t="s">
        <v>534</v>
      </c>
      <c r="D53" s="229" t="s">
        <v>535</v>
      </c>
      <c r="E53" s="229" t="s">
        <v>536</v>
      </c>
      <c r="F53" s="230" t="s">
        <v>537</v>
      </c>
      <c r="X53" s="228" t="s">
        <v>494</v>
      </c>
      <c r="Y53" s="229" t="s">
        <v>534</v>
      </c>
      <c r="Z53" s="229" t="s">
        <v>535</v>
      </c>
      <c r="AA53" s="229" t="s">
        <v>536</v>
      </c>
      <c r="AB53" s="230" t="s">
        <v>537</v>
      </c>
      <c r="AC53" s="231" t="s">
        <v>538</v>
      </c>
    </row>
    <row r="54" customFormat="false" ht="13" hidden="false" customHeight="false" outlineLevel="0" collapsed="false">
      <c r="B54" s="232" t="s">
        <v>499</v>
      </c>
      <c r="C54" s="233" t="n">
        <f aca="false">J70</f>
        <v>7.06</v>
      </c>
      <c r="D54" s="234" t="n">
        <f aca="false">K70</f>
        <v>-0.339923534575753</v>
      </c>
      <c r="E54" s="233" t="n">
        <f aca="false">L70</f>
        <v>33.0038232712124</v>
      </c>
      <c r="F54" s="235" t="n">
        <f aca="false">M70</f>
        <v>48.2143353570296</v>
      </c>
      <c r="X54" s="232" t="s">
        <v>499</v>
      </c>
      <c r="Y54" s="233" t="n">
        <f aca="false">AF70</f>
        <v>-9.06</v>
      </c>
      <c r="Z54" s="234" t="n">
        <f aca="false">AG70</f>
        <v>-0.127913061114147</v>
      </c>
      <c r="AA54" s="236" t="n">
        <f aca="false">AH70/100</f>
        <v>0.436043469442926</v>
      </c>
      <c r="AB54" s="235" t="n">
        <f aca="false">AI70</f>
        <v>49.5775174199758</v>
      </c>
      <c r="AC54" s="236" t="n">
        <f aca="false">AH71/100</f>
        <v>0.106525982686031</v>
      </c>
    </row>
    <row r="55" customFormat="false" ht="13" hidden="false" customHeight="false" outlineLevel="0" collapsed="false">
      <c r="B55" s="232" t="s">
        <v>500</v>
      </c>
      <c r="C55" s="233" t="n">
        <f aca="false">J78</f>
        <v>-54.4</v>
      </c>
      <c r="D55" s="234" t="n">
        <f aca="false">K78</f>
        <v>-0.445986652259439</v>
      </c>
      <c r="E55" s="233" t="n">
        <f aca="false">L78</f>
        <v>27.700667387028</v>
      </c>
      <c r="F55" s="235" t="n">
        <f aca="false">M78</f>
        <v>67.3923246199831</v>
      </c>
      <c r="X55" s="232" t="s">
        <v>500</v>
      </c>
      <c r="Y55" s="233" t="n">
        <f aca="false">AF78</f>
        <v>36.0333333333333</v>
      </c>
      <c r="Z55" s="234" t="n">
        <f aca="false">AG78</f>
        <v>0.310508070970144</v>
      </c>
      <c r="AA55" s="236" t="n">
        <f aca="false">AH78/100</f>
        <v>0.655254035485072</v>
      </c>
      <c r="AB55" s="235" t="n">
        <f aca="false">AI78</f>
        <v>47.5956291751185</v>
      </c>
      <c r="AC55" s="236" t="n">
        <f aca="false">AH79/100</f>
        <v>0.0640747860106741</v>
      </c>
    </row>
    <row r="56" customFormat="false" ht="13" hidden="false" customHeight="false" outlineLevel="0" collapsed="false">
      <c r="B56" s="232" t="s">
        <v>501</v>
      </c>
      <c r="C56" s="233" t="n">
        <f aca="false">J89</f>
        <v>-9.2</v>
      </c>
      <c r="D56" s="234" t="n">
        <f aca="false">K89</f>
        <v>0.125</v>
      </c>
      <c r="E56" s="233" t="n">
        <f aca="false">L89</f>
        <v>55</v>
      </c>
      <c r="F56" s="235" t="n">
        <f aca="false">M89</f>
        <v>34.6</v>
      </c>
      <c r="X56" s="232" t="s">
        <v>501</v>
      </c>
      <c r="Y56" s="233" t="n">
        <f aca="false">AF89</f>
        <v>29.8</v>
      </c>
      <c r="Z56" s="234" t="n">
        <f aca="false">AG89</f>
        <v>0.34</v>
      </c>
      <c r="AA56" s="236" t="n">
        <f aca="false">AH89/100</f>
        <v>0.662</v>
      </c>
      <c r="AB56" s="235" t="n">
        <f aca="false">AI89</f>
        <v>51.2</v>
      </c>
      <c r="AC56" s="236" t="n">
        <f aca="false">AH90/100</f>
        <v>0.127019683514013</v>
      </c>
    </row>
    <row r="57" customFormat="false" ht="13" hidden="false" customHeight="false" outlineLevel="0" collapsed="false">
      <c r="B57" s="232" t="s">
        <v>502</v>
      </c>
      <c r="C57" s="233" t="n">
        <f aca="false">J99</f>
        <v>21.5</v>
      </c>
      <c r="D57" s="234" t="n">
        <f aca="false">K99</f>
        <v>0.2</v>
      </c>
      <c r="E57" s="233" t="n">
        <f aca="false">L99</f>
        <v>60.5</v>
      </c>
      <c r="F57" s="235" t="n">
        <f aca="false">M99</f>
        <v>50.75</v>
      </c>
      <c r="X57" s="232" t="s">
        <v>502</v>
      </c>
      <c r="Y57" s="233" t="n">
        <f aca="false">AF99</f>
        <v>-11.5</v>
      </c>
      <c r="Z57" s="234" t="n">
        <f aca="false">AG99</f>
        <v>0.05</v>
      </c>
      <c r="AA57" s="236" t="n">
        <f aca="false">AH99/100</f>
        <v>0.5075</v>
      </c>
      <c r="AB57" s="235" t="n">
        <f aca="false">AI99</f>
        <v>48.25</v>
      </c>
      <c r="AC57" s="236" t="n">
        <f aca="false">AH100/100</f>
        <v>0.163063126835386</v>
      </c>
    </row>
    <row r="58" customFormat="false" ht="13" hidden="false" customHeight="false" outlineLevel="0" collapsed="false">
      <c r="B58" s="232" t="s">
        <v>503</v>
      </c>
      <c r="C58" s="233" t="n">
        <f aca="false">J112</f>
        <v>7.75</v>
      </c>
      <c r="D58" s="234" t="n">
        <f aca="false">K112</f>
        <v>0.2625</v>
      </c>
      <c r="E58" s="233" t="n">
        <f aca="false">L112</f>
        <v>62.625</v>
      </c>
      <c r="F58" s="235" t="n">
        <f aca="false">M112</f>
        <v>47.125</v>
      </c>
      <c r="X58" s="232" t="s">
        <v>503</v>
      </c>
      <c r="Y58" s="233" t="n">
        <f aca="false">AF112</f>
        <v>-3.125</v>
      </c>
      <c r="Z58" s="234" t="n">
        <f aca="false">AG112</f>
        <v>0</v>
      </c>
      <c r="AA58" s="236" t="n">
        <f aca="false">AH112/100</f>
        <v>0.4925</v>
      </c>
      <c r="AB58" s="235" t="n">
        <f aca="false">AI112</f>
        <v>53.2</v>
      </c>
      <c r="AC58" s="236" t="n">
        <f aca="false">AH113/100</f>
        <v>0.0932881480758867</v>
      </c>
    </row>
    <row r="59" customFormat="false" ht="13" hidden="false" customHeight="false" outlineLevel="0" collapsed="false">
      <c r="B59" s="232" t="s">
        <v>505</v>
      </c>
      <c r="C59" s="233" t="n">
        <f aca="false">J123</f>
        <v>-41</v>
      </c>
      <c r="D59" s="234" t="n">
        <f aca="false">K123</f>
        <v>-0.3</v>
      </c>
      <c r="E59" s="233" t="n">
        <f aca="false">L123</f>
        <v>33.6</v>
      </c>
      <c r="F59" s="235" t="n">
        <f aca="false">M123</f>
        <v>48.25</v>
      </c>
      <c r="X59" s="232" t="s">
        <v>505</v>
      </c>
      <c r="Y59" s="233" t="n">
        <f aca="false">AF123</f>
        <v>-19</v>
      </c>
      <c r="Z59" s="234" t="n">
        <f aca="false">AG123</f>
        <v>-0.18</v>
      </c>
      <c r="AA59" s="236" t="n">
        <f aca="false">AH123/100</f>
        <v>0.418</v>
      </c>
      <c r="AB59" s="235" t="n">
        <f aca="false">AI123</f>
        <v>68.2</v>
      </c>
      <c r="AC59" s="236" t="n">
        <f aca="false">AH124/100</f>
        <v>0.128351081023885</v>
      </c>
    </row>
    <row r="60" customFormat="false" ht="13" hidden="false" customHeight="false" outlineLevel="0" collapsed="false">
      <c r="B60" s="232" t="s">
        <v>507</v>
      </c>
      <c r="C60" s="233" t="n">
        <f aca="false">J135</f>
        <v>-14.6666666666667</v>
      </c>
      <c r="D60" s="234" t="n">
        <f aca="false">K135</f>
        <v>-0.116666666666667</v>
      </c>
      <c r="E60" s="233" t="n">
        <f aca="false">L135</f>
        <v>44.1666666666667</v>
      </c>
      <c r="F60" s="235" t="n">
        <f aca="false">M135</f>
        <v>44</v>
      </c>
      <c r="X60" s="232" t="s">
        <v>507</v>
      </c>
      <c r="Y60" s="233" t="n">
        <f aca="false">AF135</f>
        <v>8.33333333333333</v>
      </c>
      <c r="Z60" s="234" t="n">
        <f aca="false">AG135</f>
        <v>0.05</v>
      </c>
      <c r="AA60" s="236" t="n">
        <f aca="false">AH135/100</f>
        <v>0.53</v>
      </c>
      <c r="AB60" s="235" t="n">
        <f aca="false">AI135</f>
        <v>49.5</v>
      </c>
      <c r="AC60" s="236" t="n">
        <f aca="false">AH136/100</f>
        <v>0.0962981481303422</v>
      </c>
    </row>
    <row r="61" customFormat="false" ht="14" hidden="false" customHeight="false" outlineLevel="0" collapsed="false">
      <c r="B61" s="237" t="s">
        <v>508</v>
      </c>
      <c r="C61" s="238" t="n">
        <f aca="false">J148</f>
        <v>-11.8571428571429</v>
      </c>
      <c r="D61" s="239" t="n">
        <f aca="false">K148</f>
        <v>-0.1</v>
      </c>
      <c r="E61" s="238" t="n">
        <f aca="false">L148</f>
        <v>44.7142857142857</v>
      </c>
      <c r="F61" s="240" t="n">
        <f aca="false">M148</f>
        <v>42.1428571428571</v>
      </c>
      <c r="X61" s="237" t="s">
        <v>508</v>
      </c>
      <c r="Y61" s="238" t="n">
        <f aca="false">AF148</f>
        <v>-18.5714285714286</v>
      </c>
      <c r="Z61" s="239" t="n">
        <f aca="false">AG148</f>
        <v>-0.185714285714286</v>
      </c>
      <c r="AA61" s="241" t="n">
        <f aca="false">AH148/100</f>
        <v>0.408571428571429</v>
      </c>
      <c r="AB61" s="240" t="n">
        <f aca="false">AI148</f>
        <v>54.1428571428571</v>
      </c>
      <c r="AC61" s="236" t="n">
        <f aca="false">AH149/100</f>
        <v>0.0740150747653274</v>
      </c>
    </row>
    <row r="62" customFormat="false" ht="13" hidden="false" customHeight="false" outlineLevel="0" collapsed="false">
      <c r="B62" s="242"/>
    </row>
    <row r="63" customFormat="false" ht="13" hidden="false" customHeight="false" outlineLevel="0" collapsed="false">
      <c r="A63" s="113" t="s">
        <v>492</v>
      </c>
      <c r="AS63" s="113" t="s">
        <v>539</v>
      </c>
      <c r="AT63" s="113" t="s">
        <v>539</v>
      </c>
    </row>
    <row r="64" customFormat="false" ht="15" hidden="false" customHeight="false" outlineLevel="0" collapsed="false">
      <c r="A64" s="243" t="s">
        <v>1</v>
      </c>
      <c r="B64" s="118" t="s">
        <v>3</v>
      </c>
      <c r="C64" s="118" t="s">
        <v>4</v>
      </c>
      <c r="D64" s="118" t="s">
        <v>5</v>
      </c>
      <c r="E64" s="119" t="s">
        <v>8</v>
      </c>
      <c r="F64" s="119" t="s">
        <v>9</v>
      </c>
      <c r="G64" s="119" t="s">
        <v>10</v>
      </c>
      <c r="H64" s="120" t="s">
        <v>11</v>
      </c>
      <c r="I64" s="161" t="s">
        <v>45</v>
      </c>
      <c r="J64" s="123" t="s">
        <v>46</v>
      </c>
      <c r="K64" s="123" t="s">
        <v>47</v>
      </c>
      <c r="L64" s="123" t="s">
        <v>48</v>
      </c>
      <c r="M64" s="123" t="s">
        <v>49</v>
      </c>
      <c r="N64" s="123" t="s">
        <v>50</v>
      </c>
      <c r="O64" s="123" t="s">
        <v>51</v>
      </c>
      <c r="P64" s="123" t="s">
        <v>493</v>
      </c>
      <c r="Q64" s="123" t="s">
        <v>53</v>
      </c>
      <c r="R64" s="123" t="s">
        <v>54</v>
      </c>
      <c r="S64" s="123" t="s">
        <v>55</v>
      </c>
      <c r="T64" s="123" t="s">
        <v>56</v>
      </c>
      <c r="U64" s="123" t="s">
        <v>57</v>
      </c>
      <c r="V64" s="244" t="s">
        <v>518</v>
      </c>
      <c r="W64" s="123" t="s">
        <v>519</v>
      </c>
      <c r="X64" s="123" t="s">
        <v>520</v>
      </c>
      <c r="Y64" s="123" t="s">
        <v>521</v>
      </c>
      <c r="Z64" s="123" t="s">
        <v>522</v>
      </c>
      <c r="AA64" s="159" t="s">
        <v>523</v>
      </c>
      <c r="AB64" s="159" t="s">
        <v>524</v>
      </c>
      <c r="AC64" s="159" t="s">
        <v>525</v>
      </c>
      <c r="AD64" s="160" t="s">
        <v>526</v>
      </c>
      <c r="AE64" s="161" t="s">
        <v>527</v>
      </c>
      <c r="AF64" s="123" t="s">
        <v>528</v>
      </c>
      <c r="AG64" s="123" t="s">
        <v>529</v>
      </c>
      <c r="AH64" s="123" t="s">
        <v>530</v>
      </c>
      <c r="AI64" s="161" t="s">
        <v>531</v>
      </c>
      <c r="AJ64" s="161" t="s">
        <v>532</v>
      </c>
      <c r="AK64" s="245" t="s">
        <v>533</v>
      </c>
      <c r="AR64" s="125" t="s">
        <v>494</v>
      </c>
      <c r="AS64" s="126" t="s">
        <v>497</v>
      </c>
      <c r="AT64" s="127" t="s">
        <v>498</v>
      </c>
    </row>
    <row r="65" customFormat="false" ht="15" hidden="false" customHeight="false" outlineLevel="0" collapsed="false">
      <c r="A65" s="211" t="s">
        <v>68</v>
      </c>
      <c r="B65" s="212" t="s">
        <v>69</v>
      </c>
      <c r="C65" s="212" t="s">
        <v>61</v>
      </c>
      <c r="D65" s="212" t="s">
        <v>191</v>
      </c>
      <c r="E65" s="213" t="n">
        <v>8.089</v>
      </c>
      <c r="F65" s="213" t="n">
        <v>0.022</v>
      </c>
      <c r="G65" s="213" t="n">
        <v>0.327</v>
      </c>
      <c r="H65" s="214" t="n">
        <v>80.2</v>
      </c>
      <c r="I65" s="96" t="n">
        <v>144.7</v>
      </c>
      <c r="J65" s="96" t="n">
        <v>83.5</v>
      </c>
      <c r="K65" s="94" t="n">
        <v>0.57705597788528</v>
      </c>
      <c r="L65" s="96" t="n">
        <v>78.852798894264</v>
      </c>
      <c r="M65" s="90" t="n">
        <v>58.6257309941521</v>
      </c>
      <c r="N65" s="45" t="s">
        <v>71</v>
      </c>
      <c r="O65" s="45" t="s">
        <v>65</v>
      </c>
      <c r="P65" s="215" t="s">
        <v>72</v>
      </c>
      <c r="Q65" s="215" t="n">
        <v>99</v>
      </c>
      <c r="R65" s="214" t="n">
        <v>3.3</v>
      </c>
      <c r="S65" s="215" t="s">
        <v>67</v>
      </c>
      <c r="T65" s="215" t="n">
        <v>1</v>
      </c>
      <c r="U65" s="216"/>
      <c r="V65" s="246"/>
      <c r="W65" s="217" t="s">
        <v>68</v>
      </c>
      <c r="X65" s="45" t="s">
        <v>69</v>
      </c>
      <c r="Y65" s="45" t="s">
        <v>310</v>
      </c>
      <c r="Z65" s="45" t="s">
        <v>374</v>
      </c>
      <c r="AA65" s="95" t="n">
        <v>6.784</v>
      </c>
      <c r="AB65" s="95" t="n">
        <v>0.019</v>
      </c>
      <c r="AC65" s="95" t="n">
        <v>0.237</v>
      </c>
      <c r="AD65" s="94" t="n">
        <v>46.3</v>
      </c>
      <c r="AE65" s="96" t="n">
        <v>53.6</v>
      </c>
      <c r="AF65" s="96" t="n">
        <v>25.8</v>
      </c>
      <c r="AG65" s="94" t="n">
        <v>0.48134328358209</v>
      </c>
      <c r="AH65" s="96" t="n">
        <v>74.0671641791045</v>
      </c>
      <c r="AI65" s="96" t="n">
        <v>55.3908355795148</v>
      </c>
      <c r="AJ65" s="96" t="n">
        <v>182</v>
      </c>
      <c r="AK65" s="94" t="n">
        <v>6.06666666666667</v>
      </c>
      <c r="AR65" s="136" t="s">
        <v>499</v>
      </c>
      <c r="AS65" s="139" t="n">
        <f aca="false">E70</f>
        <v>5.7368</v>
      </c>
      <c r="AT65" s="140" t="n">
        <f aca="false">AA70</f>
        <v>8.3704</v>
      </c>
    </row>
    <row r="66" customFormat="false" ht="15" hidden="false" customHeight="false" outlineLevel="0" collapsed="false">
      <c r="A66" s="211" t="s">
        <v>110</v>
      </c>
      <c r="B66" s="212" t="s">
        <v>74</v>
      </c>
      <c r="C66" s="212" t="s">
        <v>61</v>
      </c>
      <c r="D66" s="212" t="s">
        <v>207</v>
      </c>
      <c r="E66" s="213" t="n">
        <v>5.224</v>
      </c>
      <c r="F66" s="213" t="n">
        <v>0.015</v>
      </c>
      <c r="G66" s="213" t="n">
        <v>0.261</v>
      </c>
      <c r="H66" s="214" t="n">
        <v>232.5</v>
      </c>
      <c r="I66" s="96" t="n">
        <v>3.8</v>
      </c>
      <c r="J66" s="96" t="n">
        <v>-1.2</v>
      </c>
      <c r="K66" s="94" t="n">
        <v>-0.31578947368421</v>
      </c>
      <c r="L66" s="96" t="n">
        <v>34.2105263157895</v>
      </c>
      <c r="M66" s="90" t="n">
        <v>52.7027027027027</v>
      </c>
      <c r="N66" s="212" t="s">
        <v>71</v>
      </c>
      <c r="O66" s="212" t="s">
        <v>65</v>
      </c>
      <c r="P66" s="215" t="s">
        <v>72</v>
      </c>
      <c r="Q66" s="215" t="n">
        <v>86</v>
      </c>
      <c r="R66" s="215" t="n">
        <v>2.86666666666667</v>
      </c>
      <c r="S66" s="215" t="s">
        <v>67</v>
      </c>
      <c r="T66" s="215" t="n">
        <v>1</v>
      </c>
      <c r="U66" s="216"/>
      <c r="V66" s="247"/>
      <c r="W66" s="217" t="s">
        <v>110</v>
      </c>
      <c r="X66" s="45" t="s">
        <v>69</v>
      </c>
      <c r="Y66" s="45" t="s">
        <v>310</v>
      </c>
      <c r="Z66" s="45" t="s">
        <v>392</v>
      </c>
      <c r="AA66" s="95" t="n">
        <v>11.711</v>
      </c>
      <c r="AB66" s="95" t="n">
        <v>0.033</v>
      </c>
      <c r="AC66" s="95" t="n">
        <v>0.233</v>
      </c>
      <c r="AD66" s="94" t="n">
        <v>68.5</v>
      </c>
      <c r="AE66" s="96" t="n">
        <v>92.9</v>
      </c>
      <c r="AF66" s="96" t="n">
        <v>-46.9</v>
      </c>
      <c r="AG66" s="94" t="n">
        <v>-0.504843918191604</v>
      </c>
      <c r="AH66" s="96" t="n">
        <v>24.7578040904198</v>
      </c>
      <c r="AI66" s="96" t="n">
        <v>46.8607825295723</v>
      </c>
      <c r="AJ66" s="96" t="n">
        <v>169</v>
      </c>
      <c r="AK66" s="94" t="n">
        <v>5.63333333333333</v>
      </c>
      <c r="AR66" s="136" t="s">
        <v>500</v>
      </c>
      <c r="AS66" s="139" t="n">
        <f aca="false">E78</f>
        <v>10.1226666666667</v>
      </c>
      <c r="AT66" s="140" t="n">
        <f aca="false">AA78</f>
        <v>15.7383333333333</v>
      </c>
    </row>
    <row r="67" customFormat="false" ht="15" hidden="false" customHeight="false" outlineLevel="0" collapsed="false">
      <c r="A67" s="211" t="s">
        <v>155</v>
      </c>
      <c r="B67" s="212" t="s">
        <v>69</v>
      </c>
      <c r="C67" s="212" t="s">
        <v>61</v>
      </c>
      <c r="D67" s="212" t="s">
        <v>232</v>
      </c>
      <c r="E67" s="213" t="n">
        <v>4.596</v>
      </c>
      <c r="F67" s="213" t="n">
        <v>0.013</v>
      </c>
      <c r="G67" s="213" t="n">
        <v>0.241</v>
      </c>
      <c r="H67" s="214" t="n">
        <v>115.4</v>
      </c>
      <c r="I67" s="96" t="n">
        <v>46.1</v>
      </c>
      <c r="J67" s="96" t="n">
        <v>-36.7</v>
      </c>
      <c r="K67" s="94" t="n">
        <v>-0.796095444685466</v>
      </c>
      <c r="L67" s="96" t="n">
        <v>10.1952277657267</v>
      </c>
      <c r="M67" s="90" t="n">
        <v>35.7041251778094</v>
      </c>
      <c r="N67" s="212" t="s">
        <v>64</v>
      </c>
      <c r="O67" s="212" t="s">
        <v>65</v>
      </c>
      <c r="P67" s="215" t="s">
        <v>72</v>
      </c>
      <c r="Q67" s="215" t="n">
        <v>61</v>
      </c>
      <c r="R67" s="215" t="n">
        <v>2.03333333333333</v>
      </c>
      <c r="S67" s="215" t="s">
        <v>67</v>
      </c>
      <c r="T67" s="215" t="n">
        <v>1</v>
      </c>
      <c r="U67" s="216" t="s">
        <v>157</v>
      </c>
      <c r="V67" s="246"/>
      <c r="W67" s="217" t="s">
        <v>155</v>
      </c>
      <c r="X67" s="45" t="s">
        <v>74</v>
      </c>
      <c r="Y67" s="45" t="s">
        <v>310</v>
      </c>
      <c r="Z67" s="45" t="s">
        <v>412</v>
      </c>
      <c r="AA67" s="95" t="n">
        <v>11.92</v>
      </c>
      <c r="AB67" s="95" t="n">
        <v>0.033</v>
      </c>
      <c r="AC67" s="95" t="n">
        <v>0.375</v>
      </c>
      <c r="AD67" s="94" t="n">
        <v>47.7</v>
      </c>
      <c r="AE67" s="96" t="n">
        <v>87.5</v>
      </c>
      <c r="AF67" s="96" t="n">
        <v>25.7</v>
      </c>
      <c r="AG67" s="94" t="n">
        <v>0.293714285714286</v>
      </c>
      <c r="AH67" s="96" t="n">
        <v>64.6857142857143</v>
      </c>
      <c r="AI67" s="96" t="n">
        <v>52.5497512437811</v>
      </c>
      <c r="AJ67" s="96" t="n">
        <v>144</v>
      </c>
      <c r="AK67" s="94" t="n">
        <v>4.8</v>
      </c>
      <c r="AR67" s="136" t="s">
        <v>501</v>
      </c>
      <c r="AS67" s="139" t="n">
        <f aca="false">E89</f>
        <v>7.202</v>
      </c>
      <c r="AT67" s="140" t="n">
        <f aca="false">AA89</f>
        <v>5.743</v>
      </c>
    </row>
    <row r="68" customFormat="false" ht="15" hidden="false" customHeight="false" outlineLevel="0" collapsed="false">
      <c r="A68" s="211" t="s">
        <v>169</v>
      </c>
      <c r="B68" s="212" t="s">
        <v>74</v>
      </c>
      <c r="C68" s="212" t="s">
        <v>61</v>
      </c>
      <c r="D68" s="212" t="s">
        <v>237</v>
      </c>
      <c r="E68" s="213" t="n">
        <v>6.3</v>
      </c>
      <c r="F68" s="213" t="n">
        <v>0.017</v>
      </c>
      <c r="G68" s="213" t="n">
        <v>0.27</v>
      </c>
      <c r="H68" s="214" t="n">
        <v>190.7</v>
      </c>
      <c r="I68" s="96" t="n">
        <v>10</v>
      </c>
      <c r="J68" s="96" t="n">
        <v>-7</v>
      </c>
      <c r="K68" s="94" t="n">
        <v>-0.7</v>
      </c>
      <c r="L68" s="96" t="n">
        <v>15</v>
      </c>
      <c r="M68" s="90" t="n">
        <v>53.6697247706422</v>
      </c>
      <c r="N68" s="212" t="s">
        <v>71</v>
      </c>
      <c r="O68" s="212" t="s">
        <v>65</v>
      </c>
      <c r="P68" s="215" t="s">
        <v>72</v>
      </c>
      <c r="Q68" s="215" t="n">
        <v>61</v>
      </c>
      <c r="R68" s="215" t="n">
        <v>2.03333333333333</v>
      </c>
      <c r="S68" s="215" t="s">
        <v>67</v>
      </c>
      <c r="T68" s="215" t="n">
        <v>1</v>
      </c>
      <c r="U68" s="216" t="s">
        <v>171</v>
      </c>
      <c r="V68" s="247"/>
      <c r="W68" s="217" t="s">
        <v>169</v>
      </c>
      <c r="X68" s="45" t="s">
        <v>79</v>
      </c>
      <c r="Y68" s="45" t="s">
        <v>310</v>
      </c>
      <c r="Z68" s="45" t="s">
        <v>420</v>
      </c>
      <c r="AA68" s="95" t="n">
        <v>4.239</v>
      </c>
      <c r="AB68" s="95" t="n">
        <v>0.012</v>
      </c>
      <c r="AC68" s="95" t="n">
        <v>0.253</v>
      </c>
      <c r="AD68" s="94" t="n">
        <v>242.1</v>
      </c>
      <c r="AE68" s="96" t="n">
        <v>75.4</v>
      </c>
      <c r="AF68" s="96" t="n">
        <v>-31.4</v>
      </c>
      <c r="AG68" s="94" t="n">
        <v>-0.416445623342175</v>
      </c>
      <c r="AH68" s="96" t="n">
        <v>29.1777188328912</v>
      </c>
      <c r="AI68" s="96" t="n">
        <v>18.8571428571429</v>
      </c>
      <c r="AJ68" s="96" t="n">
        <v>144</v>
      </c>
      <c r="AK68" s="94" t="n">
        <v>4.8</v>
      </c>
      <c r="AR68" s="136" t="s">
        <v>502</v>
      </c>
      <c r="AS68" s="139" t="n">
        <f aca="false">E99</f>
        <v>25.94325</v>
      </c>
      <c r="AT68" s="140" t="n">
        <f aca="false">AA99</f>
        <v>36.56225</v>
      </c>
    </row>
    <row r="69" customFormat="false" ht="16" hidden="false" customHeight="false" outlineLevel="0" collapsed="false">
      <c r="A69" s="248" t="s">
        <v>177</v>
      </c>
      <c r="B69" s="249" t="s">
        <v>69</v>
      </c>
      <c r="C69" s="249" t="s">
        <v>61</v>
      </c>
      <c r="D69" s="249" t="s">
        <v>242</v>
      </c>
      <c r="E69" s="250" t="n">
        <v>4.475</v>
      </c>
      <c r="F69" s="250" t="n">
        <v>0.012</v>
      </c>
      <c r="G69" s="250" t="n">
        <v>0.244</v>
      </c>
      <c r="H69" s="251" t="n">
        <v>85.4</v>
      </c>
      <c r="I69" s="252" t="n">
        <v>7.1</v>
      </c>
      <c r="J69" s="252" t="n">
        <v>-3.3</v>
      </c>
      <c r="K69" s="253" t="n">
        <v>-0.464788732394366</v>
      </c>
      <c r="L69" s="252" t="n">
        <v>26.7605633802817</v>
      </c>
      <c r="M69" s="254" t="n">
        <v>40.3693931398417</v>
      </c>
      <c r="N69" s="249" t="s">
        <v>64</v>
      </c>
      <c r="O69" s="249" t="s">
        <v>65</v>
      </c>
      <c r="P69" s="255" t="s">
        <v>72</v>
      </c>
      <c r="Q69" s="255" t="n">
        <v>60</v>
      </c>
      <c r="R69" s="255" t="n">
        <v>2</v>
      </c>
      <c r="S69" s="255" t="s">
        <v>67</v>
      </c>
      <c r="T69" s="255" t="n">
        <v>1</v>
      </c>
      <c r="U69" s="256" t="s">
        <v>179</v>
      </c>
      <c r="V69" s="257"/>
      <c r="W69" s="258" t="s">
        <v>177</v>
      </c>
      <c r="X69" s="259" t="s">
        <v>74</v>
      </c>
      <c r="Y69" s="259" t="s">
        <v>310</v>
      </c>
      <c r="Z69" s="259" t="s">
        <v>282</v>
      </c>
      <c r="AA69" s="260" t="n">
        <v>7.198</v>
      </c>
      <c r="AB69" s="260" t="n">
        <v>0.02</v>
      </c>
      <c r="AC69" s="260" t="n">
        <v>0.228</v>
      </c>
      <c r="AD69" s="253" t="n">
        <v>105.2</v>
      </c>
      <c r="AE69" s="252" t="n">
        <v>37.5</v>
      </c>
      <c r="AF69" s="252" t="n">
        <v>-18.5</v>
      </c>
      <c r="AG69" s="253" t="n">
        <v>-0.493333333333333</v>
      </c>
      <c r="AH69" s="252" t="n">
        <v>25.3333333333333</v>
      </c>
      <c r="AI69" s="252" t="n">
        <v>74.2290748898679</v>
      </c>
      <c r="AJ69" s="252" t="n">
        <v>143</v>
      </c>
      <c r="AK69" s="253" t="n">
        <v>4.76666666666667</v>
      </c>
      <c r="AR69" s="136" t="s">
        <v>503</v>
      </c>
      <c r="AS69" s="139" t="n">
        <f aca="false">E112</f>
        <v>10.392625</v>
      </c>
      <c r="AT69" s="140" t="n">
        <f aca="false">AA112</f>
        <v>9.276875</v>
      </c>
    </row>
    <row r="70" s="271" customFormat="true" ht="16" hidden="false" customHeight="false" outlineLevel="0" collapsed="false">
      <c r="A70" s="261" t="s">
        <v>504</v>
      </c>
      <c r="B70" s="262"/>
      <c r="C70" s="262"/>
      <c r="D70" s="262"/>
      <c r="E70" s="263" t="n">
        <f aca="false">AVERAGE(E65:E69)</f>
        <v>5.7368</v>
      </c>
      <c r="F70" s="263"/>
      <c r="G70" s="263"/>
      <c r="H70" s="264"/>
      <c r="I70" s="265" t="n">
        <f aca="false">AVERAGE(I65:I69)</f>
        <v>42.34</v>
      </c>
      <c r="J70" s="265" t="n">
        <f aca="false">AVERAGE(J65:J69)</f>
        <v>7.06</v>
      </c>
      <c r="K70" s="265" t="n">
        <f aca="false">AVERAGE(K65:K69)</f>
        <v>-0.339923534575753</v>
      </c>
      <c r="L70" s="265" t="n">
        <f aca="false">AVERAGE(L65:L69)</f>
        <v>33.0038232712124</v>
      </c>
      <c r="M70" s="265" t="n">
        <f aca="false">AVERAGE(M65:M69)</f>
        <v>48.2143353570296</v>
      </c>
      <c r="N70" s="262"/>
      <c r="O70" s="262"/>
      <c r="P70" s="266"/>
      <c r="Q70" s="266"/>
      <c r="R70" s="266"/>
      <c r="S70" s="266"/>
      <c r="T70" s="266"/>
      <c r="U70" s="266"/>
      <c r="V70" s="267"/>
      <c r="W70" s="268"/>
      <c r="X70" s="268"/>
      <c r="Y70" s="268"/>
      <c r="Z70" s="268"/>
      <c r="AA70" s="269" t="n">
        <f aca="false">AVERAGE(AA65:AA69)</f>
        <v>8.3704</v>
      </c>
      <c r="AB70" s="269"/>
      <c r="AC70" s="269"/>
      <c r="AD70" s="270"/>
      <c r="AE70" s="265" t="n">
        <f aca="false">AVERAGE(AE65:AE69)</f>
        <v>69.38</v>
      </c>
      <c r="AF70" s="265" t="n">
        <f aca="false">AVERAGE(AF65:AF69)</f>
        <v>-9.06</v>
      </c>
      <c r="AG70" s="265" t="n">
        <f aca="false">AVERAGE(AG65:AG69)</f>
        <v>-0.127913061114147</v>
      </c>
      <c r="AH70" s="265" t="n">
        <f aca="false">AVERAGE(AH65:AH69)</f>
        <v>43.6043469442926</v>
      </c>
      <c r="AI70" s="265" t="n">
        <f aca="false">AVERAGE(AI65:AI69)</f>
        <v>49.5775174199758</v>
      </c>
      <c r="AJ70" s="265"/>
      <c r="AK70" s="270"/>
      <c r="AR70" s="136" t="s">
        <v>505</v>
      </c>
      <c r="AS70" s="139" t="n">
        <f aca="false">E123</f>
        <v>11.0558</v>
      </c>
      <c r="AT70" s="140" t="n">
        <f aca="false">AA123</f>
        <v>11.4974</v>
      </c>
    </row>
    <row r="71" customFormat="false" ht="15" hidden="false" customHeight="false" outlineLevel="0" collapsed="false">
      <c r="A71" s="272" t="s">
        <v>540</v>
      </c>
      <c r="AH71" s="273" t="n">
        <f aca="false">STDEV(AH65:AH69)/SQRT((COUNT(AH65:AH69)))</f>
        <v>10.6525982686031</v>
      </c>
      <c r="AR71" s="136" t="s">
        <v>507</v>
      </c>
      <c r="AS71" s="139" t="n">
        <f aca="false">E135</f>
        <v>11.0915</v>
      </c>
      <c r="AT71" s="140" t="n">
        <f aca="false">AA135</f>
        <v>16.3796666666667</v>
      </c>
    </row>
    <row r="72" customFormat="false" ht="13" hidden="false" customHeight="false" outlineLevel="0" collapsed="false">
      <c r="AR72" s="153" t="s">
        <v>508</v>
      </c>
      <c r="AS72" s="156" t="n">
        <f aca="false">E148</f>
        <v>9.33057142857143</v>
      </c>
      <c r="AT72" s="157" t="n">
        <f aca="false">AA148</f>
        <v>10.3811428571429</v>
      </c>
    </row>
    <row r="73" customFormat="false" ht="15" hidden="false" customHeight="false" outlineLevel="0" collapsed="false">
      <c r="A73" s="272" t="s">
        <v>509</v>
      </c>
    </row>
    <row r="74" customFormat="false" ht="15" hidden="false" customHeight="false" outlineLevel="0" collapsed="false">
      <c r="A74" s="243" t="s">
        <v>1</v>
      </c>
      <c r="B74" s="118" t="s">
        <v>3</v>
      </c>
      <c r="C74" s="118" t="s">
        <v>4</v>
      </c>
      <c r="D74" s="118" t="s">
        <v>5</v>
      </c>
      <c r="E74" s="119" t="s">
        <v>8</v>
      </c>
      <c r="F74" s="119" t="s">
        <v>9</v>
      </c>
      <c r="G74" s="119" t="s">
        <v>10</v>
      </c>
      <c r="H74" s="120" t="s">
        <v>11</v>
      </c>
      <c r="I74" s="161" t="s">
        <v>45</v>
      </c>
      <c r="J74" s="123" t="s">
        <v>46</v>
      </c>
      <c r="K74" s="123" t="s">
        <v>47</v>
      </c>
      <c r="L74" s="123" t="s">
        <v>48</v>
      </c>
      <c r="M74" s="123" t="s">
        <v>49</v>
      </c>
      <c r="N74" s="123" t="s">
        <v>50</v>
      </c>
      <c r="O74" s="123" t="s">
        <v>51</v>
      </c>
      <c r="P74" s="123" t="s">
        <v>493</v>
      </c>
      <c r="Q74" s="123" t="s">
        <v>53</v>
      </c>
      <c r="R74" s="123" t="s">
        <v>54</v>
      </c>
      <c r="S74" s="123" t="s">
        <v>55</v>
      </c>
      <c r="T74" s="123" t="s">
        <v>56</v>
      </c>
      <c r="U74" s="123" t="s">
        <v>57</v>
      </c>
      <c r="V74" s="244" t="s">
        <v>518</v>
      </c>
      <c r="W74" s="123" t="s">
        <v>519</v>
      </c>
      <c r="X74" s="123" t="s">
        <v>520</v>
      </c>
      <c r="Y74" s="123" t="s">
        <v>521</v>
      </c>
      <c r="Z74" s="123" t="s">
        <v>522</v>
      </c>
      <c r="AA74" s="159" t="s">
        <v>523</v>
      </c>
      <c r="AB74" s="159" t="s">
        <v>524</v>
      </c>
      <c r="AC74" s="159" t="s">
        <v>525</v>
      </c>
      <c r="AD74" s="160" t="s">
        <v>526</v>
      </c>
      <c r="AE74" s="161" t="s">
        <v>527</v>
      </c>
      <c r="AF74" s="123" t="s">
        <v>528</v>
      </c>
      <c r="AG74" s="123" t="s">
        <v>529</v>
      </c>
      <c r="AH74" s="123" t="s">
        <v>530</v>
      </c>
      <c r="AI74" s="161" t="s">
        <v>531</v>
      </c>
      <c r="AJ74" s="161" t="s">
        <v>532</v>
      </c>
      <c r="AK74" s="245" t="s">
        <v>533</v>
      </c>
    </row>
    <row r="75" customFormat="false" ht="15" hidden="false" customHeight="false" outlineLevel="0" collapsed="false">
      <c r="A75" s="211" t="s">
        <v>161</v>
      </c>
      <c r="B75" s="212" t="s">
        <v>79</v>
      </c>
      <c r="C75" s="212" t="s">
        <v>61</v>
      </c>
      <c r="D75" s="212" t="s">
        <v>232</v>
      </c>
      <c r="E75" s="213" t="n">
        <v>12.092</v>
      </c>
      <c r="F75" s="213" t="n">
        <v>0.034</v>
      </c>
      <c r="G75" s="213" t="n">
        <v>0.354</v>
      </c>
      <c r="H75" s="214" t="n">
        <v>111.1</v>
      </c>
      <c r="I75" s="96" t="n">
        <v>111</v>
      </c>
      <c r="J75" s="96" t="n">
        <v>-83</v>
      </c>
      <c r="K75" s="94" t="n">
        <v>-0.747747747747748</v>
      </c>
      <c r="L75" s="96" t="n">
        <v>12.6126126126126</v>
      </c>
      <c r="M75" s="90" t="n">
        <v>60.2136181575434</v>
      </c>
      <c r="N75" s="212" t="s">
        <v>64</v>
      </c>
      <c r="O75" s="212" t="s">
        <v>65</v>
      </c>
      <c r="P75" s="215" t="s">
        <v>72</v>
      </c>
      <c r="Q75" s="215" t="n">
        <v>61</v>
      </c>
      <c r="R75" s="215" t="n">
        <v>2.03333333333333</v>
      </c>
      <c r="S75" s="215" t="s">
        <v>81</v>
      </c>
      <c r="T75" s="215" t="n">
        <v>2</v>
      </c>
      <c r="U75" s="216" t="s">
        <v>157</v>
      </c>
      <c r="V75" s="246"/>
      <c r="W75" s="217" t="s">
        <v>161</v>
      </c>
      <c r="X75" s="45" t="s">
        <v>60</v>
      </c>
      <c r="Y75" s="45" t="s">
        <v>310</v>
      </c>
      <c r="Z75" s="45" t="s">
        <v>417</v>
      </c>
      <c r="AA75" s="95" t="n">
        <v>18.804</v>
      </c>
      <c r="AB75" s="95" t="n">
        <v>0.052</v>
      </c>
      <c r="AC75" s="95" t="n">
        <v>0.308</v>
      </c>
      <c r="AD75" s="94" t="n">
        <v>1.1</v>
      </c>
      <c r="AE75" s="96" t="n">
        <v>103.2</v>
      </c>
      <c r="AF75" s="96" t="n">
        <v>5.6</v>
      </c>
      <c r="AG75" s="94" t="n">
        <v>0.0542635658914729</v>
      </c>
      <c r="AH75" s="96" t="n">
        <v>52.7131782945737</v>
      </c>
      <c r="AI75" s="96" t="n">
        <v>44.4033302497687</v>
      </c>
      <c r="AJ75" s="96" t="n">
        <v>144</v>
      </c>
      <c r="AK75" s="94" t="n">
        <v>4.8</v>
      </c>
    </row>
    <row r="76" customFormat="false" ht="15" hidden="false" customHeight="false" outlineLevel="0" collapsed="false">
      <c r="A76" s="211" t="s">
        <v>174</v>
      </c>
      <c r="B76" s="212" t="s">
        <v>60</v>
      </c>
      <c r="C76" s="212" t="s">
        <v>61</v>
      </c>
      <c r="D76" s="212" t="s">
        <v>242</v>
      </c>
      <c r="E76" s="213" t="n">
        <v>6.934</v>
      </c>
      <c r="F76" s="213" t="n">
        <v>0.019</v>
      </c>
      <c r="G76" s="213" t="n">
        <v>0.325</v>
      </c>
      <c r="H76" s="214" t="n">
        <v>138.2</v>
      </c>
      <c r="I76" s="96" t="n">
        <v>112.6</v>
      </c>
      <c r="J76" s="96" t="n">
        <v>-87.2</v>
      </c>
      <c r="K76" s="94" t="n">
        <v>-0.774422735346359</v>
      </c>
      <c r="L76" s="96" t="n">
        <v>11.2788632326821</v>
      </c>
      <c r="M76" s="223" t="n">
        <v>93.4156378600823</v>
      </c>
      <c r="N76" s="212" t="s">
        <v>71</v>
      </c>
      <c r="O76" s="212" t="s">
        <v>65</v>
      </c>
      <c r="P76" s="215" t="s">
        <v>72</v>
      </c>
      <c r="Q76" s="215" t="n">
        <v>61</v>
      </c>
      <c r="R76" s="215" t="n">
        <v>2.03333333333333</v>
      </c>
      <c r="S76" s="215" t="s">
        <v>81</v>
      </c>
      <c r="T76" s="215" t="n">
        <v>2</v>
      </c>
      <c r="U76" s="216"/>
      <c r="V76" s="247"/>
      <c r="W76" s="217" t="s">
        <v>174</v>
      </c>
      <c r="X76" s="45" t="s">
        <v>69</v>
      </c>
      <c r="Y76" s="45" t="s">
        <v>310</v>
      </c>
      <c r="Z76" s="45" t="s">
        <v>282</v>
      </c>
      <c r="AA76" s="95" t="n">
        <v>9.262</v>
      </c>
      <c r="AB76" s="95" t="n">
        <v>0.026</v>
      </c>
      <c r="AC76" s="95" t="n">
        <v>0.258</v>
      </c>
      <c r="AD76" s="94" t="n">
        <v>110.9</v>
      </c>
      <c r="AE76" s="96" t="n">
        <v>144.4</v>
      </c>
      <c r="AF76" s="96" t="n">
        <v>64</v>
      </c>
      <c r="AG76" s="94" t="n">
        <v>0.443213296398892</v>
      </c>
      <c r="AH76" s="96" t="n">
        <v>72.1606648199446</v>
      </c>
      <c r="AI76" s="96" t="n">
        <v>50.5674653215637</v>
      </c>
      <c r="AJ76" s="96" t="n">
        <v>144</v>
      </c>
      <c r="AK76" s="94" t="n">
        <v>4.8</v>
      </c>
    </row>
    <row r="77" customFormat="false" ht="16" hidden="false" customHeight="false" outlineLevel="0" collapsed="false">
      <c r="A77" s="211" t="s">
        <v>180</v>
      </c>
      <c r="B77" s="212" t="s">
        <v>74</v>
      </c>
      <c r="C77" s="212" t="s">
        <v>61</v>
      </c>
      <c r="D77" s="212" t="s">
        <v>242</v>
      </c>
      <c r="E77" s="213" t="n">
        <v>11.342</v>
      </c>
      <c r="F77" s="213" t="n">
        <v>0.032</v>
      </c>
      <c r="G77" s="213" t="n">
        <v>0.257</v>
      </c>
      <c r="H77" s="214" t="n">
        <v>46.1</v>
      </c>
      <c r="I77" s="96" t="n">
        <v>38</v>
      </c>
      <c r="J77" s="96" t="n">
        <v>7</v>
      </c>
      <c r="K77" s="94" t="n">
        <v>0.184210526315789</v>
      </c>
      <c r="L77" s="96" t="n">
        <v>59.2105263157895</v>
      </c>
      <c r="M77" s="90" t="n">
        <v>48.5477178423236</v>
      </c>
      <c r="N77" s="212" t="s">
        <v>71</v>
      </c>
      <c r="O77" s="212" t="s">
        <v>65</v>
      </c>
      <c r="P77" s="215" t="s">
        <v>72</v>
      </c>
      <c r="Q77" s="215" t="n">
        <v>53</v>
      </c>
      <c r="R77" s="215" t="n">
        <v>1.76666666666667</v>
      </c>
      <c r="S77" s="215" t="s">
        <v>81</v>
      </c>
      <c r="T77" s="215" t="n">
        <v>2</v>
      </c>
      <c r="U77" s="216" t="s">
        <v>182</v>
      </c>
      <c r="V77" s="246"/>
      <c r="W77" s="217" t="s">
        <v>180</v>
      </c>
      <c r="X77" s="45" t="s">
        <v>79</v>
      </c>
      <c r="Y77" s="45" t="s">
        <v>310</v>
      </c>
      <c r="Z77" s="45" t="s">
        <v>282</v>
      </c>
      <c r="AA77" s="95" t="n">
        <v>19.149</v>
      </c>
      <c r="AB77" s="95" t="n">
        <v>0.053</v>
      </c>
      <c r="AC77" s="95" t="n">
        <v>0.284</v>
      </c>
      <c r="AD77" s="94" t="n">
        <v>1.6</v>
      </c>
      <c r="AE77" s="96" t="n">
        <v>88.7</v>
      </c>
      <c r="AF77" s="96" t="n">
        <v>38.5</v>
      </c>
      <c r="AG77" s="94" t="n">
        <v>0.434047350620068</v>
      </c>
      <c r="AH77" s="96" t="n">
        <v>71.7023675310034</v>
      </c>
      <c r="AI77" s="96" t="n">
        <v>47.816091954023</v>
      </c>
      <c r="AJ77" s="96" t="n">
        <v>136</v>
      </c>
      <c r="AK77" s="94" t="n">
        <v>4.53333333333333</v>
      </c>
    </row>
    <row r="78" s="271" customFormat="true" ht="16" hidden="false" customHeight="false" outlineLevel="0" collapsed="false">
      <c r="A78" s="261" t="s">
        <v>504</v>
      </c>
      <c r="B78" s="262"/>
      <c r="C78" s="262"/>
      <c r="D78" s="262"/>
      <c r="E78" s="265" t="n">
        <f aca="false">AVERAGE(E75:E77)</f>
        <v>10.1226666666667</v>
      </c>
      <c r="F78" s="263"/>
      <c r="G78" s="263"/>
      <c r="H78" s="264"/>
      <c r="I78" s="265" t="n">
        <f aca="false">AVERAGE(I75:I77)</f>
        <v>87.2</v>
      </c>
      <c r="J78" s="265" t="n">
        <f aca="false">AVERAGE(J75:J77)</f>
        <v>-54.4</v>
      </c>
      <c r="K78" s="265" t="n">
        <f aca="false">AVERAGE(K75:K77)</f>
        <v>-0.445986652259439</v>
      </c>
      <c r="L78" s="265" t="n">
        <f aca="false">AVERAGE(L75:L77)</f>
        <v>27.700667387028</v>
      </c>
      <c r="M78" s="265" t="n">
        <f aca="false">AVERAGE(M75:M77)</f>
        <v>67.3923246199831</v>
      </c>
      <c r="N78" s="262"/>
      <c r="O78" s="262"/>
      <c r="P78" s="266"/>
      <c r="Q78" s="266"/>
      <c r="R78" s="266"/>
      <c r="S78" s="266"/>
      <c r="T78" s="266"/>
      <c r="U78" s="266"/>
      <c r="V78" s="267"/>
      <c r="W78" s="268"/>
      <c r="X78" s="268"/>
      <c r="Y78" s="268"/>
      <c r="Z78" s="268"/>
      <c r="AA78" s="265" t="n">
        <f aca="false">AVERAGE(AA75:AA77)</f>
        <v>15.7383333333333</v>
      </c>
      <c r="AB78" s="269"/>
      <c r="AC78" s="269"/>
      <c r="AD78" s="270"/>
      <c r="AE78" s="265" t="n">
        <f aca="false">AVERAGE(AE75:AE77)</f>
        <v>112.1</v>
      </c>
      <c r="AF78" s="265" t="n">
        <f aca="false">AVERAGE(AF75:AF77)</f>
        <v>36.0333333333333</v>
      </c>
      <c r="AG78" s="265" t="n">
        <f aca="false">AVERAGE(AG75:AG77)</f>
        <v>0.310508070970144</v>
      </c>
      <c r="AH78" s="265" t="n">
        <f aca="false">AVERAGE(AH75:AH77)</f>
        <v>65.5254035485072</v>
      </c>
      <c r="AI78" s="265" t="n">
        <f aca="false">AVERAGE(AI75:AI77)</f>
        <v>47.5956291751185</v>
      </c>
      <c r="AJ78" s="265"/>
      <c r="AK78" s="270"/>
    </row>
    <row r="79" customFormat="false" ht="15" hidden="false" customHeight="false" outlineLevel="0" collapsed="false">
      <c r="A79" s="272"/>
      <c r="B79" s="274"/>
      <c r="C79" s="274"/>
      <c r="D79" s="274"/>
      <c r="E79" s="275"/>
      <c r="F79" s="275"/>
      <c r="G79" s="275"/>
      <c r="H79" s="276"/>
      <c r="I79" s="277"/>
      <c r="J79" s="277"/>
      <c r="K79" s="278"/>
      <c r="L79" s="277"/>
      <c r="M79" s="279"/>
      <c r="N79" s="274"/>
      <c r="O79" s="274"/>
      <c r="P79" s="280"/>
      <c r="Q79" s="280"/>
      <c r="R79" s="280"/>
      <c r="S79" s="280"/>
      <c r="T79" s="280"/>
      <c r="U79" s="280"/>
      <c r="V79" s="281"/>
      <c r="W79" s="282"/>
      <c r="X79" s="283"/>
      <c r="Y79" s="283"/>
      <c r="Z79" s="283"/>
      <c r="AA79" s="284"/>
      <c r="AB79" s="284"/>
      <c r="AC79" s="284"/>
      <c r="AD79" s="278"/>
      <c r="AE79" s="277"/>
      <c r="AF79" s="277"/>
      <c r="AG79" s="278"/>
      <c r="AH79" s="273" t="n">
        <f aca="false">STDEV(AH75:AH77)/SQRT((COUNT(AH75:AH77)))</f>
        <v>6.40747860106741</v>
      </c>
      <c r="AI79" s="277"/>
      <c r="AJ79" s="277"/>
      <c r="AK79" s="278"/>
    </row>
    <row r="82" customFormat="false" ht="15" hidden="false" customHeight="false" outlineLevel="0" collapsed="false">
      <c r="A82" s="272" t="s">
        <v>510</v>
      </c>
    </row>
    <row r="83" customFormat="false" ht="15" hidden="false" customHeight="false" outlineLevel="0" collapsed="false">
      <c r="A83" s="117" t="s">
        <v>1</v>
      </c>
      <c r="B83" s="118" t="s">
        <v>3</v>
      </c>
      <c r="C83" s="118" t="s">
        <v>4</v>
      </c>
      <c r="D83" s="118" t="s">
        <v>5</v>
      </c>
      <c r="E83" s="119" t="s">
        <v>8</v>
      </c>
      <c r="F83" s="119" t="s">
        <v>9</v>
      </c>
      <c r="G83" s="119" t="s">
        <v>10</v>
      </c>
      <c r="H83" s="120" t="s">
        <v>11</v>
      </c>
      <c r="I83" s="161" t="s">
        <v>45</v>
      </c>
      <c r="J83" s="123" t="s">
        <v>46</v>
      </c>
      <c r="K83" s="123" t="s">
        <v>47</v>
      </c>
      <c r="L83" s="123" t="s">
        <v>48</v>
      </c>
      <c r="M83" s="123" t="s">
        <v>49</v>
      </c>
      <c r="N83" s="123" t="s">
        <v>50</v>
      </c>
      <c r="O83" s="123" t="s">
        <v>51</v>
      </c>
      <c r="P83" s="123" t="s">
        <v>493</v>
      </c>
      <c r="Q83" s="123" t="s">
        <v>53</v>
      </c>
      <c r="R83" s="123" t="s">
        <v>54</v>
      </c>
      <c r="S83" s="123" t="s">
        <v>55</v>
      </c>
      <c r="T83" s="123" t="s">
        <v>56</v>
      </c>
      <c r="U83" s="123" t="s">
        <v>57</v>
      </c>
      <c r="V83" s="285" t="s">
        <v>518</v>
      </c>
      <c r="W83" s="123" t="s">
        <v>519</v>
      </c>
      <c r="X83" s="123" t="s">
        <v>520</v>
      </c>
      <c r="Y83" s="123" t="s">
        <v>521</v>
      </c>
      <c r="Z83" s="123" t="s">
        <v>522</v>
      </c>
      <c r="AA83" s="159" t="s">
        <v>523</v>
      </c>
      <c r="AB83" s="159" t="s">
        <v>524</v>
      </c>
      <c r="AC83" s="159" t="s">
        <v>525</v>
      </c>
      <c r="AD83" s="160" t="s">
        <v>526</v>
      </c>
      <c r="AE83" s="161" t="s">
        <v>527</v>
      </c>
      <c r="AF83" s="123" t="s">
        <v>528</v>
      </c>
      <c r="AG83" s="123" t="s">
        <v>529</v>
      </c>
      <c r="AH83" s="123" t="s">
        <v>530</v>
      </c>
      <c r="AI83" s="161" t="s">
        <v>531</v>
      </c>
      <c r="AJ83" s="161" t="s">
        <v>532</v>
      </c>
      <c r="AK83" s="286" t="s">
        <v>533</v>
      </c>
    </row>
    <row r="84" customFormat="false" ht="15" hidden="false" customHeight="false" outlineLevel="0" collapsed="false">
      <c r="A84" s="287" t="n">
        <v>1</v>
      </c>
      <c r="B84" s="287" t="s">
        <v>60</v>
      </c>
      <c r="C84" s="287" t="s">
        <v>61</v>
      </c>
      <c r="D84" s="288" t="n">
        <v>0.631944444444444</v>
      </c>
      <c r="E84" s="289" t="n">
        <v>11.291</v>
      </c>
      <c r="F84" s="289" t="n">
        <v>0.031</v>
      </c>
      <c r="G84" s="289" t="n">
        <v>0.258</v>
      </c>
      <c r="H84" s="290" t="n">
        <v>68.3</v>
      </c>
      <c r="I84" s="291" t="n">
        <v>79</v>
      </c>
      <c r="J84" s="291" t="n">
        <v>-27</v>
      </c>
      <c r="K84" s="292" t="n">
        <v>-0.3</v>
      </c>
      <c r="L84" s="291" t="n">
        <v>33</v>
      </c>
      <c r="M84" s="90" t="n">
        <v>42</v>
      </c>
      <c r="N84" s="293" t="s">
        <v>64</v>
      </c>
      <c r="O84" s="293" t="s">
        <v>65</v>
      </c>
      <c r="P84" s="294" t="s">
        <v>66</v>
      </c>
      <c r="Q84" s="294" t="n">
        <v>99</v>
      </c>
      <c r="R84" s="290" t="n">
        <v>3.3</v>
      </c>
      <c r="S84" s="294" t="s">
        <v>67</v>
      </c>
      <c r="T84" s="294" t="n">
        <v>3</v>
      </c>
      <c r="U84" s="295"/>
      <c r="V84" s="296"/>
      <c r="W84" s="297" t="n">
        <v>1</v>
      </c>
      <c r="X84" s="293" t="s">
        <v>60</v>
      </c>
      <c r="Y84" s="293" t="s">
        <v>310</v>
      </c>
      <c r="Z84" s="298" t="n">
        <v>0.611111111111111</v>
      </c>
      <c r="AA84" s="299" t="n">
        <v>4.931</v>
      </c>
      <c r="AB84" s="299" t="n">
        <v>0.014</v>
      </c>
      <c r="AC84" s="299" t="n">
        <v>0.195</v>
      </c>
      <c r="AD84" s="292" t="n">
        <v>126.4</v>
      </c>
      <c r="AE84" s="291" t="n">
        <v>141</v>
      </c>
      <c r="AF84" s="291" t="n">
        <v>42</v>
      </c>
      <c r="AG84" s="292" t="n">
        <v>0.3</v>
      </c>
      <c r="AH84" s="291" t="n">
        <v>65</v>
      </c>
      <c r="AI84" s="291" t="n">
        <v>54</v>
      </c>
      <c r="AJ84" s="291" t="n">
        <v>182</v>
      </c>
      <c r="AK84" s="292" t="n">
        <v>6.1</v>
      </c>
    </row>
    <row r="85" customFormat="false" ht="15" hidden="false" customHeight="false" outlineLevel="0" collapsed="false">
      <c r="A85" s="287" t="n">
        <v>17</v>
      </c>
      <c r="B85" s="287" t="s">
        <v>60</v>
      </c>
      <c r="C85" s="287" t="s">
        <v>61</v>
      </c>
      <c r="D85" s="288" t="n">
        <v>0.679166666666667</v>
      </c>
      <c r="E85" s="289" t="n">
        <v>2.307</v>
      </c>
      <c r="F85" s="289" t="n">
        <v>0.006</v>
      </c>
      <c r="G85" s="289" t="n">
        <v>0.224</v>
      </c>
      <c r="H85" s="290" t="n">
        <v>113.4</v>
      </c>
      <c r="I85" s="291" t="n">
        <v>5</v>
      </c>
      <c r="J85" s="291" t="n">
        <v>4</v>
      </c>
      <c r="K85" s="292" t="n">
        <v>0.8</v>
      </c>
      <c r="L85" s="291" t="n">
        <v>88</v>
      </c>
      <c r="M85" s="90" t="n">
        <v>24</v>
      </c>
      <c r="N85" s="287" t="s">
        <v>71</v>
      </c>
      <c r="O85" s="287" t="s">
        <v>65</v>
      </c>
      <c r="P85" s="294" t="s">
        <v>66</v>
      </c>
      <c r="Q85" s="294" t="n">
        <v>86</v>
      </c>
      <c r="R85" s="294" t="n">
        <v>3</v>
      </c>
      <c r="S85" s="294" t="s">
        <v>67</v>
      </c>
      <c r="T85" s="294" t="n">
        <v>3</v>
      </c>
      <c r="U85" s="295"/>
      <c r="V85" s="300"/>
      <c r="W85" s="297" t="n">
        <v>17</v>
      </c>
      <c r="X85" s="293" t="s">
        <v>79</v>
      </c>
      <c r="Y85" s="293" t="s">
        <v>310</v>
      </c>
      <c r="Z85" s="298" t="n">
        <v>0.640277777777778</v>
      </c>
      <c r="AA85" s="299" t="n">
        <v>2.466</v>
      </c>
      <c r="AB85" s="299" t="n">
        <v>0.007</v>
      </c>
      <c r="AC85" s="299" t="n">
        <v>0.215</v>
      </c>
      <c r="AD85" s="292" t="n">
        <v>213.7</v>
      </c>
      <c r="AE85" s="291" t="n">
        <v>8</v>
      </c>
      <c r="AF85" s="291" t="n">
        <v>7</v>
      </c>
      <c r="AG85" s="292" t="n">
        <v>0.9</v>
      </c>
      <c r="AH85" s="291" t="n">
        <v>94</v>
      </c>
      <c r="AI85" s="291" t="n">
        <v>25</v>
      </c>
      <c r="AJ85" s="291" t="n">
        <v>169</v>
      </c>
      <c r="AK85" s="292" t="n">
        <v>5.6</v>
      </c>
    </row>
    <row r="86" customFormat="false" ht="15" hidden="false" customHeight="false" outlineLevel="0" collapsed="false">
      <c r="A86" s="287" t="n">
        <v>18</v>
      </c>
      <c r="B86" s="287" t="s">
        <v>69</v>
      </c>
      <c r="C86" s="287" t="s">
        <v>61</v>
      </c>
      <c r="D86" s="288" t="n">
        <v>0.679166666666667</v>
      </c>
      <c r="E86" s="289" t="n">
        <v>14.929</v>
      </c>
      <c r="F86" s="289" t="n">
        <v>0.041</v>
      </c>
      <c r="G86" s="289" t="n">
        <v>0.302</v>
      </c>
      <c r="H86" s="290" t="n">
        <v>21.9</v>
      </c>
      <c r="I86" s="291" t="n">
        <v>94</v>
      </c>
      <c r="J86" s="291" t="n">
        <v>-37</v>
      </c>
      <c r="K86" s="292" t="n">
        <v>-0.4</v>
      </c>
      <c r="L86" s="291" t="n">
        <v>31</v>
      </c>
      <c r="M86" s="90" t="n">
        <v>43</v>
      </c>
      <c r="N86" s="287" t="s">
        <v>64</v>
      </c>
      <c r="O86" s="287" t="s">
        <v>65</v>
      </c>
      <c r="P86" s="294" t="s">
        <v>66</v>
      </c>
      <c r="Q86" s="294" t="n">
        <v>76</v>
      </c>
      <c r="R86" s="294" t="n">
        <v>3</v>
      </c>
      <c r="S86" s="294" t="s">
        <v>67</v>
      </c>
      <c r="T86" s="294" t="n">
        <v>3</v>
      </c>
      <c r="U86" s="295"/>
      <c r="V86" s="296"/>
      <c r="W86" s="297" t="n">
        <v>18</v>
      </c>
      <c r="X86" s="293" t="s">
        <v>60</v>
      </c>
      <c r="Y86" s="293" t="s">
        <v>310</v>
      </c>
      <c r="Z86" s="298" t="n">
        <v>0.649305555555556</v>
      </c>
      <c r="AA86" s="299" t="n">
        <v>6.122</v>
      </c>
      <c r="AB86" s="299" t="n">
        <v>0.017</v>
      </c>
      <c r="AC86" s="299" t="n">
        <v>0.309</v>
      </c>
      <c r="AD86" s="292" t="n">
        <v>95</v>
      </c>
      <c r="AE86" s="291" t="n">
        <v>148</v>
      </c>
      <c r="AF86" s="291" t="n">
        <v>86</v>
      </c>
      <c r="AG86" s="292" t="n">
        <v>0.6</v>
      </c>
      <c r="AH86" s="291" t="n">
        <v>79</v>
      </c>
      <c r="AI86" s="291" t="n">
        <v>62</v>
      </c>
      <c r="AJ86" s="291" t="n">
        <v>159</v>
      </c>
      <c r="AK86" s="292" t="n">
        <v>5.3</v>
      </c>
    </row>
    <row r="87" customFormat="false" ht="15" hidden="false" customHeight="false" outlineLevel="0" collapsed="false">
      <c r="A87" s="287" t="n">
        <v>20</v>
      </c>
      <c r="B87" s="287" t="s">
        <v>79</v>
      </c>
      <c r="C87" s="287" t="s">
        <v>61</v>
      </c>
      <c r="D87" s="288" t="n">
        <v>0.679166666666667</v>
      </c>
      <c r="E87" s="289" t="n">
        <v>7.483</v>
      </c>
      <c r="F87" s="289" t="n">
        <v>0.021</v>
      </c>
      <c r="G87" s="289" t="n">
        <v>0.283</v>
      </c>
      <c r="H87" s="290" t="n">
        <v>116.4</v>
      </c>
      <c r="I87" s="291" t="n">
        <v>37</v>
      </c>
      <c r="J87" s="291" t="n">
        <v>14</v>
      </c>
      <c r="K87" s="292" t="n">
        <v>0.4</v>
      </c>
      <c r="L87" s="291" t="n">
        <v>68</v>
      </c>
      <c r="M87" s="90" t="n">
        <v>33</v>
      </c>
      <c r="N87" s="287" t="s">
        <v>71</v>
      </c>
      <c r="O87" s="287" t="s">
        <v>65</v>
      </c>
      <c r="P87" s="294" t="s">
        <v>66</v>
      </c>
      <c r="Q87" s="294" t="n">
        <v>76</v>
      </c>
      <c r="R87" s="294" t="n">
        <v>3</v>
      </c>
      <c r="S87" s="294" t="s">
        <v>67</v>
      </c>
      <c r="T87" s="294" t="n">
        <v>3</v>
      </c>
      <c r="U87" s="295"/>
      <c r="V87" s="300"/>
      <c r="W87" s="297" t="n">
        <v>20</v>
      </c>
      <c r="X87" s="293" t="s">
        <v>74</v>
      </c>
      <c r="Y87" s="293" t="s">
        <v>310</v>
      </c>
      <c r="Z87" s="298" t="n">
        <v>0.65</v>
      </c>
      <c r="AA87" s="299" t="n">
        <v>4.367</v>
      </c>
      <c r="AB87" s="299" t="n">
        <v>0.012</v>
      </c>
      <c r="AC87" s="299" t="n">
        <v>0.253</v>
      </c>
      <c r="AD87" s="292" t="n">
        <v>201.7</v>
      </c>
      <c r="AE87" s="291" t="n">
        <v>10</v>
      </c>
      <c r="AF87" s="291" t="n">
        <v>-6</v>
      </c>
      <c r="AG87" s="292" t="n">
        <v>-0.6</v>
      </c>
      <c r="AH87" s="291" t="n">
        <v>19</v>
      </c>
      <c r="AI87" s="291" t="n">
        <v>65</v>
      </c>
      <c r="AJ87" s="291" t="n">
        <v>159</v>
      </c>
      <c r="AK87" s="292" t="n">
        <v>5.3</v>
      </c>
    </row>
    <row r="88" customFormat="false" ht="16" hidden="false" customHeight="false" outlineLevel="0" collapsed="false">
      <c r="A88" s="287" t="n">
        <v>38</v>
      </c>
      <c r="B88" s="287" t="s">
        <v>69</v>
      </c>
      <c r="C88" s="287" t="s">
        <v>61</v>
      </c>
      <c r="D88" s="288" t="n">
        <v>0.736805555555556</v>
      </c>
      <c r="E88" s="289" t="n">
        <v>0</v>
      </c>
      <c r="F88" s="289" t="n">
        <v>0</v>
      </c>
      <c r="G88" s="289"/>
      <c r="H88" s="290" t="n">
        <v>180.3</v>
      </c>
      <c r="I88" s="291" t="n">
        <v>0</v>
      </c>
      <c r="J88" s="291" t="n">
        <v>0</v>
      </c>
      <c r="K88" s="292"/>
      <c r="L88" s="291"/>
      <c r="M88" s="90" t="n">
        <v>31</v>
      </c>
      <c r="N88" s="287" t="s">
        <v>64</v>
      </c>
      <c r="O88" s="287" t="s">
        <v>65</v>
      </c>
      <c r="P88" s="294" t="s">
        <v>66</v>
      </c>
      <c r="Q88" s="294" t="n">
        <v>61</v>
      </c>
      <c r="R88" s="294" t="n">
        <v>2</v>
      </c>
      <c r="S88" s="294" t="s">
        <v>67</v>
      </c>
      <c r="T88" s="294" t="n">
        <v>3</v>
      </c>
      <c r="U88" s="295" t="s">
        <v>168</v>
      </c>
      <c r="V88" s="296"/>
      <c r="W88" s="297" t="n">
        <v>38</v>
      </c>
      <c r="X88" s="293" t="s">
        <v>74</v>
      </c>
      <c r="Y88" s="293" t="s">
        <v>310</v>
      </c>
      <c r="Z88" s="298" t="n">
        <v>0.686805555555556</v>
      </c>
      <c r="AA88" s="299" t="n">
        <v>10.829</v>
      </c>
      <c r="AB88" s="299" t="n">
        <v>0.03</v>
      </c>
      <c r="AC88" s="299" t="n">
        <v>0.297</v>
      </c>
      <c r="AD88" s="292" t="n">
        <v>147</v>
      </c>
      <c r="AE88" s="291" t="n">
        <v>41</v>
      </c>
      <c r="AF88" s="291" t="n">
        <v>20</v>
      </c>
      <c r="AG88" s="292" t="n">
        <v>0.5</v>
      </c>
      <c r="AH88" s="291" t="n">
        <v>74</v>
      </c>
      <c r="AI88" s="291" t="n">
        <v>50</v>
      </c>
      <c r="AJ88" s="291" t="n">
        <v>144</v>
      </c>
      <c r="AK88" s="292" t="n">
        <v>4.8</v>
      </c>
    </row>
    <row r="89" s="271" customFormat="true" ht="16" hidden="false" customHeight="false" outlineLevel="0" collapsed="false">
      <c r="A89" s="261" t="s">
        <v>504</v>
      </c>
      <c r="B89" s="262"/>
      <c r="C89" s="262"/>
      <c r="D89" s="262"/>
      <c r="E89" s="265" t="n">
        <f aca="false">AVERAGE(E84:E88)</f>
        <v>7.202</v>
      </c>
      <c r="F89" s="263"/>
      <c r="G89" s="263"/>
      <c r="H89" s="264"/>
      <c r="I89" s="265" t="n">
        <f aca="false">AVERAGE(I84:I88)</f>
        <v>43</v>
      </c>
      <c r="J89" s="265" t="n">
        <f aca="false">AVERAGE(J84:J88)</f>
        <v>-9.2</v>
      </c>
      <c r="K89" s="265" t="n">
        <f aca="false">AVERAGE(K84:K88)</f>
        <v>0.125</v>
      </c>
      <c r="L89" s="265" t="n">
        <f aca="false">AVERAGE(L84:L88)</f>
        <v>55</v>
      </c>
      <c r="M89" s="265" t="n">
        <f aca="false">AVERAGE(M84:M88)</f>
        <v>34.6</v>
      </c>
      <c r="N89" s="262"/>
      <c r="O89" s="262"/>
      <c r="P89" s="266"/>
      <c r="Q89" s="266"/>
      <c r="R89" s="266"/>
      <c r="S89" s="266"/>
      <c r="T89" s="266"/>
      <c r="U89" s="266"/>
      <c r="V89" s="267"/>
      <c r="W89" s="268"/>
      <c r="X89" s="268"/>
      <c r="Y89" s="268"/>
      <c r="Z89" s="268"/>
      <c r="AA89" s="265" t="n">
        <f aca="false">AVERAGE(AA84:AA88)</f>
        <v>5.743</v>
      </c>
      <c r="AB89" s="269"/>
      <c r="AC89" s="269"/>
      <c r="AD89" s="270"/>
      <c r="AE89" s="265" t="n">
        <f aca="false">AVERAGE(AE84:AE88)</f>
        <v>69.6</v>
      </c>
      <c r="AF89" s="265" t="n">
        <f aca="false">AVERAGE(AF84:AF88)</f>
        <v>29.8</v>
      </c>
      <c r="AG89" s="265" t="n">
        <f aca="false">AVERAGE(AG84:AG88)</f>
        <v>0.34</v>
      </c>
      <c r="AH89" s="265" t="n">
        <f aca="false">AVERAGE(AH84:AH88)</f>
        <v>66.2</v>
      </c>
      <c r="AI89" s="265" t="n">
        <f aca="false">AVERAGE(AI84:AI88)</f>
        <v>51.2</v>
      </c>
      <c r="AJ89" s="265"/>
      <c r="AK89" s="270"/>
    </row>
    <row r="90" customFormat="false" ht="15" hidden="false" customHeight="false" outlineLevel="0" collapsed="false">
      <c r="A90" s="301"/>
      <c r="B90" s="301"/>
      <c r="C90" s="301"/>
      <c r="D90" s="302"/>
      <c r="E90" s="303"/>
      <c r="F90" s="303"/>
      <c r="G90" s="303"/>
      <c r="H90" s="304"/>
      <c r="I90" s="305"/>
      <c r="J90" s="305"/>
      <c r="K90" s="306"/>
      <c r="L90" s="305"/>
      <c r="M90" s="279"/>
      <c r="N90" s="301"/>
      <c r="O90" s="301"/>
      <c r="P90" s="307"/>
      <c r="Q90" s="307"/>
      <c r="R90" s="307"/>
      <c r="S90" s="307"/>
      <c r="T90" s="307"/>
      <c r="U90" s="307"/>
      <c r="V90" s="308"/>
      <c r="W90" s="309"/>
      <c r="X90" s="310"/>
      <c r="Y90" s="310"/>
      <c r="Z90" s="311"/>
      <c r="AA90" s="312"/>
      <c r="AB90" s="312"/>
      <c r="AC90" s="312"/>
      <c r="AD90" s="306"/>
      <c r="AE90" s="305"/>
      <c r="AF90" s="305"/>
      <c r="AG90" s="306"/>
      <c r="AH90" s="273" t="n">
        <f aca="false">STDEV(AH84:AH88)/SQRT((COUNT(AH84:AH88)))</f>
        <v>12.7019683514013</v>
      </c>
      <c r="AI90" s="305"/>
      <c r="AJ90" s="305"/>
      <c r="AK90" s="306"/>
    </row>
    <row r="93" customFormat="false" ht="13" hidden="false" customHeight="false" outlineLevel="0" collapsed="false">
      <c r="A93" s="113" t="s">
        <v>541</v>
      </c>
    </row>
    <row r="94" customFormat="false" ht="15" hidden="false" customHeight="false" outlineLevel="0" collapsed="false">
      <c r="A94" s="117" t="s">
        <v>1</v>
      </c>
      <c r="B94" s="118" t="s">
        <v>3</v>
      </c>
      <c r="C94" s="118" t="s">
        <v>4</v>
      </c>
      <c r="D94" s="118" t="s">
        <v>5</v>
      </c>
      <c r="E94" s="119" t="s">
        <v>8</v>
      </c>
      <c r="F94" s="119" t="s">
        <v>9</v>
      </c>
      <c r="G94" s="119" t="s">
        <v>10</v>
      </c>
      <c r="H94" s="120" t="s">
        <v>11</v>
      </c>
      <c r="I94" s="161" t="s">
        <v>45</v>
      </c>
      <c r="J94" s="123" t="s">
        <v>46</v>
      </c>
      <c r="K94" s="123" t="s">
        <v>47</v>
      </c>
      <c r="L94" s="123" t="s">
        <v>48</v>
      </c>
      <c r="M94" s="123" t="s">
        <v>49</v>
      </c>
      <c r="N94" s="123" t="s">
        <v>50</v>
      </c>
      <c r="O94" s="123" t="s">
        <v>51</v>
      </c>
      <c r="P94" s="123" t="s">
        <v>493</v>
      </c>
      <c r="Q94" s="123" t="s">
        <v>53</v>
      </c>
      <c r="R94" s="123" t="s">
        <v>54</v>
      </c>
      <c r="S94" s="123" t="s">
        <v>55</v>
      </c>
      <c r="T94" s="123" t="s">
        <v>56</v>
      </c>
      <c r="U94" s="123" t="s">
        <v>57</v>
      </c>
      <c r="V94" s="285" t="s">
        <v>518</v>
      </c>
      <c r="W94" s="123" t="s">
        <v>519</v>
      </c>
      <c r="X94" s="123" t="s">
        <v>520</v>
      </c>
      <c r="Y94" s="123" t="s">
        <v>521</v>
      </c>
      <c r="Z94" s="123" t="s">
        <v>522</v>
      </c>
      <c r="AA94" s="159" t="s">
        <v>523</v>
      </c>
      <c r="AB94" s="159" t="s">
        <v>524</v>
      </c>
      <c r="AC94" s="159" t="s">
        <v>525</v>
      </c>
      <c r="AD94" s="160" t="s">
        <v>526</v>
      </c>
      <c r="AE94" s="161" t="s">
        <v>527</v>
      </c>
      <c r="AF94" s="123" t="s">
        <v>528</v>
      </c>
      <c r="AG94" s="123" t="s">
        <v>529</v>
      </c>
      <c r="AH94" s="123" t="s">
        <v>530</v>
      </c>
      <c r="AI94" s="161" t="s">
        <v>531</v>
      </c>
      <c r="AJ94" s="161" t="s">
        <v>532</v>
      </c>
      <c r="AK94" s="286" t="s">
        <v>533</v>
      </c>
    </row>
    <row r="95" customFormat="false" ht="15" hidden="false" customHeight="false" outlineLevel="0" collapsed="false">
      <c r="A95" s="287" t="n">
        <v>14</v>
      </c>
      <c r="B95" s="287" t="s">
        <v>69</v>
      </c>
      <c r="C95" s="287" t="s">
        <v>61</v>
      </c>
      <c r="D95" s="288" t="n">
        <v>0.666666666666667</v>
      </c>
      <c r="E95" s="289" t="n">
        <v>11.958</v>
      </c>
      <c r="F95" s="289" t="n">
        <v>0.033</v>
      </c>
      <c r="G95" s="289" t="n">
        <v>0.258</v>
      </c>
      <c r="H95" s="290" t="n">
        <v>34.8</v>
      </c>
      <c r="I95" s="291" t="n">
        <v>137</v>
      </c>
      <c r="J95" s="291" t="n">
        <v>74</v>
      </c>
      <c r="K95" s="292" t="n">
        <v>0.5</v>
      </c>
      <c r="L95" s="291" t="n">
        <v>77</v>
      </c>
      <c r="M95" s="90" t="n">
        <v>42</v>
      </c>
      <c r="N95" s="287" t="s">
        <v>64</v>
      </c>
      <c r="O95" s="287" t="s">
        <v>65</v>
      </c>
      <c r="P95" s="294" t="s">
        <v>66</v>
      </c>
      <c r="Q95" s="294" t="n">
        <v>86</v>
      </c>
      <c r="R95" s="294" t="n">
        <v>3</v>
      </c>
      <c r="S95" s="294" t="s">
        <v>81</v>
      </c>
      <c r="T95" s="294" t="n">
        <v>4</v>
      </c>
      <c r="U95" s="295" t="s">
        <v>109</v>
      </c>
      <c r="V95" s="296"/>
      <c r="W95" s="297" t="n">
        <v>14</v>
      </c>
      <c r="X95" s="293" t="s">
        <v>60</v>
      </c>
      <c r="Y95" s="293" t="s">
        <v>310</v>
      </c>
      <c r="Z95" s="298" t="n">
        <v>0.640972222222222</v>
      </c>
      <c r="AA95" s="299" t="n">
        <v>8.283</v>
      </c>
      <c r="AB95" s="299" t="n">
        <v>0.023</v>
      </c>
      <c r="AC95" s="299" t="n">
        <v>0.26</v>
      </c>
      <c r="AD95" s="292" t="n">
        <v>53.5</v>
      </c>
      <c r="AE95" s="291" t="n">
        <v>164</v>
      </c>
      <c r="AF95" s="291" t="n">
        <v>-136</v>
      </c>
      <c r="AG95" s="292" t="n">
        <v>-0.8</v>
      </c>
      <c r="AH95" s="291" t="n">
        <v>9</v>
      </c>
      <c r="AI95" s="291" t="n">
        <v>58</v>
      </c>
      <c r="AJ95" s="291" t="n">
        <v>169</v>
      </c>
      <c r="AK95" s="292" t="n">
        <v>5.6</v>
      </c>
    </row>
    <row r="96" customFormat="false" ht="15" hidden="false" customHeight="false" outlineLevel="0" collapsed="false">
      <c r="A96" s="287" t="n">
        <v>35</v>
      </c>
      <c r="B96" s="287" t="s">
        <v>74</v>
      </c>
      <c r="C96" s="287" t="s">
        <v>61</v>
      </c>
      <c r="D96" s="288" t="n">
        <v>0.725</v>
      </c>
      <c r="E96" s="289" t="n">
        <v>72.576</v>
      </c>
      <c r="F96" s="289" t="n">
        <v>0.202</v>
      </c>
      <c r="G96" s="289" t="n">
        <v>0.43</v>
      </c>
      <c r="H96" s="290" t="n">
        <v>1.7</v>
      </c>
      <c r="I96" s="291" t="n">
        <v>89</v>
      </c>
      <c r="J96" s="291" t="n">
        <v>9</v>
      </c>
      <c r="K96" s="292" t="n">
        <v>0.1</v>
      </c>
      <c r="L96" s="291" t="n">
        <v>55</v>
      </c>
      <c r="M96" s="90" t="n">
        <v>55</v>
      </c>
      <c r="N96" s="287" t="s">
        <v>64</v>
      </c>
      <c r="O96" s="287" t="s">
        <v>65</v>
      </c>
      <c r="P96" s="294" t="s">
        <v>66</v>
      </c>
      <c r="Q96" s="294" t="n">
        <v>61</v>
      </c>
      <c r="R96" s="294" t="n">
        <v>2</v>
      </c>
      <c r="S96" s="294" t="s">
        <v>81</v>
      </c>
      <c r="T96" s="294" t="n">
        <v>4</v>
      </c>
      <c r="U96" s="295" t="s">
        <v>160</v>
      </c>
      <c r="V96" s="300"/>
      <c r="W96" s="297" t="n">
        <v>35</v>
      </c>
      <c r="X96" s="293" t="s">
        <v>79</v>
      </c>
      <c r="Y96" s="293" t="s">
        <v>310</v>
      </c>
      <c r="Z96" s="298" t="n">
        <v>0.676388888888889</v>
      </c>
      <c r="AA96" s="299" t="n">
        <v>83.535</v>
      </c>
      <c r="AB96" s="299" t="n">
        <v>0.232</v>
      </c>
      <c r="AC96" s="299" t="n">
        <v>0.454</v>
      </c>
      <c r="AD96" s="292" t="n">
        <v>10.8</v>
      </c>
      <c r="AE96" s="291" t="n">
        <v>129</v>
      </c>
      <c r="AF96" s="291" t="n">
        <v>21</v>
      </c>
      <c r="AG96" s="292" t="n">
        <v>0.2</v>
      </c>
      <c r="AH96" s="291" t="n">
        <v>58</v>
      </c>
      <c r="AI96" s="291" t="n">
        <v>30</v>
      </c>
      <c r="AJ96" s="291" t="n">
        <v>144</v>
      </c>
      <c r="AK96" s="292" t="n">
        <v>4.8</v>
      </c>
    </row>
    <row r="97" customFormat="false" ht="15" hidden="false" customHeight="false" outlineLevel="0" collapsed="false">
      <c r="A97" s="287" t="n">
        <v>37</v>
      </c>
      <c r="B97" s="287" t="s">
        <v>60</v>
      </c>
      <c r="C97" s="287" t="s">
        <v>61</v>
      </c>
      <c r="D97" s="288" t="n">
        <v>0.736805555555556</v>
      </c>
      <c r="E97" s="289" t="n">
        <v>12.174</v>
      </c>
      <c r="F97" s="289" t="n">
        <v>0.034</v>
      </c>
      <c r="G97" s="289" t="n">
        <v>0.284</v>
      </c>
      <c r="H97" s="290" t="n">
        <v>78.5</v>
      </c>
      <c r="I97" s="291" t="n">
        <v>15</v>
      </c>
      <c r="J97" s="291" t="n">
        <v>4</v>
      </c>
      <c r="K97" s="292" t="n">
        <v>0.3</v>
      </c>
      <c r="L97" s="291" t="n">
        <v>64</v>
      </c>
      <c r="M97" s="90" t="n">
        <v>59</v>
      </c>
      <c r="N97" s="287" t="s">
        <v>64</v>
      </c>
      <c r="O97" s="287" t="s">
        <v>65</v>
      </c>
      <c r="P97" s="294" t="s">
        <v>66</v>
      </c>
      <c r="Q97" s="294" t="n">
        <v>61</v>
      </c>
      <c r="R97" s="294" t="n">
        <v>2</v>
      </c>
      <c r="S97" s="294" t="s">
        <v>81</v>
      </c>
      <c r="T97" s="294" t="n">
        <v>4</v>
      </c>
      <c r="U97" s="295"/>
      <c r="V97" s="296"/>
      <c r="W97" s="297" t="n">
        <v>37</v>
      </c>
      <c r="X97" s="293" t="s">
        <v>69</v>
      </c>
      <c r="Y97" s="293" t="s">
        <v>310</v>
      </c>
      <c r="Z97" s="298" t="n">
        <v>0.686111111111111</v>
      </c>
      <c r="AA97" s="299" t="n">
        <v>11.05</v>
      </c>
      <c r="AB97" s="299" t="n">
        <v>0.031</v>
      </c>
      <c r="AC97" s="299" t="n">
        <v>0.285</v>
      </c>
      <c r="AD97" s="292" t="n">
        <v>144.6</v>
      </c>
      <c r="AE97" s="291" t="n">
        <v>91</v>
      </c>
      <c r="AF97" s="291" t="n">
        <v>70</v>
      </c>
      <c r="AG97" s="292" t="n">
        <v>0.8</v>
      </c>
      <c r="AH97" s="291" t="n">
        <v>88</v>
      </c>
      <c r="AI97" s="291" t="n">
        <v>52</v>
      </c>
      <c r="AJ97" s="291" t="n">
        <v>144</v>
      </c>
      <c r="AK97" s="292" t="n">
        <v>4.8</v>
      </c>
    </row>
    <row r="98" customFormat="false" ht="16" hidden="false" customHeight="false" outlineLevel="0" collapsed="false">
      <c r="A98" s="287" t="n">
        <v>40</v>
      </c>
      <c r="B98" s="287" t="s">
        <v>79</v>
      </c>
      <c r="C98" s="287" t="s">
        <v>61</v>
      </c>
      <c r="D98" s="288" t="n">
        <v>0.736805555555556</v>
      </c>
      <c r="E98" s="289" t="n">
        <v>7.065</v>
      </c>
      <c r="F98" s="289" t="n">
        <v>0.02</v>
      </c>
      <c r="G98" s="289" t="n">
        <v>0.203</v>
      </c>
      <c r="H98" s="290" t="n">
        <v>111.2</v>
      </c>
      <c r="I98" s="291" t="n">
        <v>12</v>
      </c>
      <c r="J98" s="291" t="n">
        <v>-1</v>
      </c>
      <c r="K98" s="292" t="n">
        <v>-0.1</v>
      </c>
      <c r="L98" s="291" t="n">
        <v>46</v>
      </c>
      <c r="M98" s="90" t="n">
        <v>47</v>
      </c>
      <c r="N98" s="287" t="s">
        <v>71</v>
      </c>
      <c r="O98" s="287" t="s">
        <v>65</v>
      </c>
      <c r="P98" s="294" t="s">
        <v>66</v>
      </c>
      <c r="Q98" s="294" t="n">
        <v>61</v>
      </c>
      <c r="R98" s="294" t="n">
        <v>2</v>
      </c>
      <c r="S98" s="294" t="s">
        <v>81</v>
      </c>
      <c r="T98" s="294" t="n">
        <v>4</v>
      </c>
      <c r="U98" s="295"/>
      <c r="V98" s="300"/>
      <c r="W98" s="297" t="n">
        <v>40</v>
      </c>
      <c r="X98" s="293" t="s">
        <v>60</v>
      </c>
      <c r="Y98" s="293" t="s">
        <v>310</v>
      </c>
      <c r="Z98" s="298" t="n">
        <v>0.695833333333333</v>
      </c>
      <c r="AA98" s="299" t="n">
        <v>43.381</v>
      </c>
      <c r="AB98" s="299" t="n">
        <v>0.121</v>
      </c>
      <c r="AC98" s="299" t="n">
        <v>0.342</v>
      </c>
      <c r="AD98" s="292" t="n">
        <v>1.1</v>
      </c>
      <c r="AE98" s="291" t="n">
        <v>36</v>
      </c>
      <c r="AF98" s="291" t="n">
        <v>-1</v>
      </c>
      <c r="AG98" s="292" t="n">
        <v>0</v>
      </c>
      <c r="AH98" s="291" t="n">
        <v>48</v>
      </c>
      <c r="AI98" s="291" t="n">
        <v>53</v>
      </c>
      <c r="AJ98" s="291" t="n">
        <v>144</v>
      </c>
      <c r="AK98" s="292" t="n">
        <v>4.8</v>
      </c>
    </row>
    <row r="99" s="271" customFormat="true" ht="16" hidden="false" customHeight="false" outlineLevel="0" collapsed="false">
      <c r="A99" s="261" t="s">
        <v>504</v>
      </c>
      <c r="B99" s="262"/>
      <c r="C99" s="262"/>
      <c r="D99" s="262"/>
      <c r="E99" s="265" t="n">
        <f aca="false">AVERAGE(E94:E98)</f>
        <v>25.94325</v>
      </c>
      <c r="F99" s="263"/>
      <c r="G99" s="263"/>
      <c r="H99" s="264"/>
      <c r="I99" s="265" t="n">
        <f aca="false">AVERAGE(I94:I98)</f>
        <v>63.25</v>
      </c>
      <c r="J99" s="265" t="n">
        <f aca="false">AVERAGE(J94:J98)</f>
        <v>21.5</v>
      </c>
      <c r="K99" s="265" t="n">
        <f aca="false">AVERAGE(K94:K98)</f>
        <v>0.2</v>
      </c>
      <c r="L99" s="265" t="n">
        <f aca="false">AVERAGE(L94:L98)</f>
        <v>60.5</v>
      </c>
      <c r="M99" s="265" t="n">
        <f aca="false">AVERAGE(M94:M98)</f>
        <v>50.75</v>
      </c>
      <c r="N99" s="262"/>
      <c r="O99" s="262"/>
      <c r="P99" s="266"/>
      <c r="Q99" s="266"/>
      <c r="R99" s="266"/>
      <c r="S99" s="266"/>
      <c r="T99" s="266"/>
      <c r="U99" s="266"/>
      <c r="V99" s="267"/>
      <c r="W99" s="268"/>
      <c r="X99" s="268"/>
      <c r="Y99" s="268"/>
      <c r="Z99" s="268"/>
      <c r="AA99" s="265" t="n">
        <f aca="false">AVERAGE(AA94:AA98)</f>
        <v>36.56225</v>
      </c>
      <c r="AB99" s="269"/>
      <c r="AC99" s="269"/>
      <c r="AD99" s="270"/>
      <c r="AE99" s="265" t="n">
        <f aca="false">AVERAGE(AE94:AE98)</f>
        <v>105</v>
      </c>
      <c r="AF99" s="265" t="n">
        <f aca="false">AVERAGE(AF94:AF98)</f>
        <v>-11.5</v>
      </c>
      <c r="AG99" s="265" t="n">
        <f aca="false">AVERAGE(AG94:AG98)</f>
        <v>0.05</v>
      </c>
      <c r="AH99" s="265" t="n">
        <f aca="false">AVERAGE(AH94:AH98)</f>
        <v>50.75</v>
      </c>
      <c r="AI99" s="265" t="n">
        <f aca="false">AVERAGE(AI94:AI98)</f>
        <v>48.25</v>
      </c>
      <c r="AJ99" s="265"/>
      <c r="AK99" s="270"/>
    </row>
    <row r="100" customFormat="false" ht="13" hidden="false" customHeight="false" outlineLevel="0" collapsed="false">
      <c r="AH100" s="273" t="n">
        <f aca="false">STDEV(AH95:AH98)/SQRT((COUNT(AH95:AH98)))</f>
        <v>16.3063126835386</v>
      </c>
    </row>
    <row r="102" customFormat="false" ht="13" hidden="false" customHeight="false" outlineLevel="0" collapsed="false">
      <c r="A102" s="113" t="s">
        <v>512</v>
      </c>
    </row>
    <row r="103" customFormat="false" ht="15" hidden="false" customHeight="false" outlineLevel="0" collapsed="false">
      <c r="A103" s="117" t="s">
        <v>1</v>
      </c>
      <c r="B103" s="118" t="s">
        <v>3</v>
      </c>
      <c r="C103" s="118" t="s">
        <v>4</v>
      </c>
      <c r="D103" s="118" t="s">
        <v>5</v>
      </c>
      <c r="E103" s="119" t="s">
        <v>8</v>
      </c>
      <c r="F103" s="119" t="s">
        <v>9</v>
      </c>
      <c r="G103" s="119" t="s">
        <v>10</v>
      </c>
      <c r="H103" s="120" t="s">
        <v>11</v>
      </c>
      <c r="I103" s="161" t="s">
        <v>45</v>
      </c>
      <c r="J103" s="123" t="s">
        <v>46</v>
      </c>
      <c r="K103" s="123" t="s">
        <v>47</v>
      </c>
      <c r="L103" s="123" t="s">
        <v>48</v>
      </c>
      <c r="M103" s="123" t="s">
        <v>49</v>
      </c>
      <c r="N103" s="123" t="s">
        <v>50</v>
      </c>
      <c r="O103" s="123" t="s">
        <v>51</v>
      </c>
      <c r="P103" s="123" t="s">
        <v>493</v>
      </c>
      <c r="Q103" s="123" t="s">
        <v>53</v>
      </c>
      <c r="R103" s="123" t="s">
        <v>54</v>
      </c>
      <c r="S103" s="123" t="s">
        <v>55</v>
      </c>
      <c r="T103" s="123" t="s">
        <v>56</v>
      </c>
      <c r="U103" s="123" t="s">
        <v>57</v>
      </c>
      <c r="V103" s="285" t="s">
        <v>518</v>
      </c>
      <c r="W103" s="123" t="s">
        <v>519</v>
      </c>
      <c r="X103" s="123" t="s">
        <v>520</v>
      </c>
      <c r="Y103" s="123" t="s">
        <v>521</v>
      </c>
      <c r="Z103" s="123" t="s">
        <v>522</v>
      </c>
      <c r="AA103" s="159" t="s">
        <v>523</v>
      </c>
      <c r="AB103" s="159" t="s">
        <v>524</v>
      </c>
      <c r="AC103" s="159" t="s">
        <v>525</v>
      </c>
      <c r="AD103" s="160" t="s">
        <v>526</v>
      </c>
      <c r="AE103" s="161" t="s">
        <v>527</v>
      </c>
      <c r="AF103" s="123" t="s">
        <v>528</v>
      </c>
      <c r="AG103" s="123" t="s">
        <v>529</v>
      </c>
      <c r="AH103" s="123" t="s">
        <v>530</v>
      </c>
      <c r="AI103" s="161" t="s">
        <v>531</v>
      </c>
      <c r="AJ103" s="161" t="s">
        <v>532</v>
      </c>
      <c r="AK103" s="286" t="s">
        <v>533</v>
      </c>
    </row>
    <row r="104" customFormat="false" ht="15" hidden="false" customHeight="false" outlineLevel="0" collapsed="false">
      <c r="A104" s="287" t="n">
        <v>3</v>
      </c>
      <c r="B104" s="287" t="s">
        <v>74</v>
      </c>
      <c r="C104" s="287" t="s">
        <v>61</v>
      </c>
      <c r="D104" s="288" t="n">
        <v>0.631944444444444</v>
      </c>
      <c r="E104" s="289" t="n">
        <v>10.077</v>
      </c>
      <c r="F104" s="289" t="n">
        <v>0.028</v>
      </c>
      <c r="G104" s="289" t="n">
        <v>0.247</v>
      </c>
      <c r="H104" s="290" t="n">
        <v>40.1</v>
      </c>
      <c r="I104" s="291" t="n">
        <v>114</v>
      </c>
      <c r="J104" s="291" t="n">
        <v>-11</v>
      </c>
      <c r="K104" s="292" t="n">
        <v>-0.1</v>
      </c>
      <c r="L104" s="291" t="n">
        <v>45</v>
      </c>
      <c r="M104" s="90" t="n">
        <v>55</v>
      </c>
      <c r="N104" s="293" t="s">
        <v>64</v>
      </c>
      <c r="O104" s="293" t="s">
        <v>76</v>
      </c>
      <c r="P104" s="294" t="s">
        <v>72</v>
      </c>
      <c r="Q104" s="294" t="n">
        <v>94</v>
      </c>
      <c r="R104" s="290" t="n">
        <v>3.1</v>
      </c>
      <c r="S104" s="294" t="s">
        <v>67</v>
      </c>
      <c r="T104" s="294" t="n">
        <v>5</v>
      </c>
      <c r="U104" s="295" t="s">
        <v>77</v>
      </c>
      <c r="V104" s="296"/>
      <c r="W104" s="297" t="n">
        <v>3</v>
      </c>
      <c r="X104" s="293" t="s">
        <v>74</v>
      </c>
      <c r="Y104" s="293" t="s">
        <v>310</v>
      </c>
      <c r="Z104" s="298" t="n">
        <v>0.610416666666667</v>
      </c>
      <c r="AA104" s="299" t="n">
        <v>4.288</v>
      </c>
      <c r="AB104" s="299" t="n">
        <v>0.012</v>
      </c>
      <c r="AC104" s="299" t="n">
        <v>0.216</v>
      </c>
      <c r="AD104" s="292" t="n">
        <v>118.7</v>
      </c>
      <c r="AE104" s="291" t="n">
        <v>29</v>
      </c>
      <c r="AF104" s="291" t="n">
        <v>20</v>
      </c>
      <c r="AG104" s="292" t="n">
        <v>0.7</v>
      </c>
      <c r="AH104" s="291" t="n">
        <v>84</v>
      </c>
      <c r="AI104" s="291" t="n">
        <v>54</v>
      </c>
      <c r="AJ104" s="291" t="n">
        <v>177</v>
      </c>
      <c r="AK104" s="292" t="n">
        <v>5.9</v>
      </c>
    </row>
    <row r="105" customFormat="false" ht="15" hidden="false" customHeight="false" outlineLevel="0" collapsed="false">
      <c r="A105" s="287" t="n">
        <v>7</v>
      </c>
      <c r="B105" s="287" t="s">
        <v>74</v>
      </c>
      <c r="C105" s="287" t="s">
        <v>61</v>
      </c>
      <c r="D105" s="288" t="n">
        <v>0.64375</v>
      </c>
      <c r="E105" s="289" t="n">
        <v>6.068</v>
      </c>
      <c r="F105" s="289" t="n">
        <v>0.017</v>
      </c>
      <c r="G105" s="289" t="n">
        <v>0.216</v>
      </c>
      <c r="H105" s="290" t="n">
        <v>139.5</v>
      </c>
      <c r="I105" s="291" t="n">
        <v>82</v>
      </c>
      <c r="J105" s="291" t="n">
        <v>37</v>
      </c>
      <c r="K105" s="292" t="n">
        <v>0.5</v>
      </c>
      <c r="L105" s="291" t="n">
        <v>73</v>
      </c>
      <c r="M105" s="90" t="n">
        <v>36</v>
      </c>
      <c r="N105" s="293" t="s">
        <v>71</v>
      </c>
      <c r="O105" s="293" t="s">
        <v>76</v>
      </c>
      <c r="P105" s="294" t="s">
        <v>72</v>
      </c>
      <c r="Q105" s="294" t="n">
        <v>94</v>
      </c>
      <c r="R105" s="290" t="n">
        <v>3.1</v>
      </c>
      <c r="S105" s="294" t="s">
        <v>67</v>
      </c>
      <c r="T105" s="294" t="n">
        <v>5</v>
      </c>
      <c r="U105" s="295"/>
      <c r="V105" s="300"/>
      <c r="W105" s="297" t="n">
        <v>7</v>
      </c>
      <c r="X105" s="293" t="s">
        <v>74</v>
      </c>
      <c r="Y105" s="293" t="s">
        <v>310</v>
      </c>
      <c r="Z105" s="298" t="n">
        <v>0.620833333333333</v>
      </c>
      <c r="AA105" s="299" t="n">
        <v>14.375</v>
      </c>
      <c r="AB105" s="299" t="n">
        <v>0.04</v>
      </c>
      <c r="AC105" s="299" t="n">
        <v>0.282</v>
      </c>
      <c r="AD105" s="292" t="n">
        <v>57.1</v>
      </c>
      <c r="AE105" s="291" t="n">
        <v>69</v>
      </c>
      <c r="AF105" s="291" t="n">
        <v>-9</v>
      </c>
      <c r="AG105" s="292" t="n">
        <v>-0.1</v>
      </c>
      <c r="AH105" s="291" t="n">
        <v>43</v>
      </c>
      <c r="AI105" s="291" t="n">
        <v>52</v>
      </c>
      <c r="AJ105" s="291" t="n">
        <v>177</v>
      </c>
      <c r="AK105" s="292" t="n">
        <v>5.9</v>
      </c>
    </row>
    <row r="106" customFormat="false" ht="15" hidden="false" customHeight="false" outlineLevel="0" collapsed="false">
      <c r="A106" s="287" t="n">
        <v>11</v>
      </c>
      <c r="B106" s="287" t="s">
        <v>74</v>
      </c>
      <c r="C106" s="287" t="s">
        <v>61</v>
      </c>
      <c r="D106" s="288" t="n">
        <v>0.65625</v>
      </c>
      <c r="E106" s="289" t="n">
        <v>9.285</v>
      </c>
      <c r="F106" s="289" t="n">
        <v>0.026</v>
      </c>
      <c r="G106" s="289" t="n">
        <v>0.274</v>
      </c>
      <c r="H106" s="290" t="n">
        <v>87.9</v>
      </c>
      <c r="I106" s="291" t="n">
        <v>42</v>
      </c>
      <c r="J106" s="291" t="n">
        <v>29</v>
      </c>
      <c r="K106" s="292" t="n">
        <v>0.7</v>
      </c>
      <c r="L106" s="291" t="n">
        <v>85</v>
      </c>
      <c r="M106" s="90" t="n">
        <v>62</v>
      </c>
      <c r="N106" s="293" t="s">
        <v>71</v>
      </c>
      <c r="O106" s="293" t="s">
        <v>76</v>
      </c>
      <c r="P106" s="294" t="s">
        <v>72</v>
      </c>
      <c r="Q106" s="294" t="n">
        <v>94</v>
      </c>
      <c r="R106" s="290" t="n">
        <v>3.1</v>
      </c>
      <c r="S106" s="294" t="s">
        <v>67</v>
      </c>
      <c r="T106" s="294" t="n">
        <v>5</v>
      </c>
      <c r="U106" s="295" t="s">
        <v>101</v>
      </c>
      <c r="V106" s="296"/>
      <c r="W106" s="297" t="n">
        <v>11</v>
      </c>
      <c r="X106" s="293" t="s">
        <v>74</v>
      </c>
      <c r="Y106" s="293" t="s">
        <v>310</v>
      </c>
      <c r="Z106" s="298" t="n">
        <v>0.630555555555556</v>
      </c>
      <c r="AA106" s="299" t="n">
        <v>12.996</v>
      </c>
      <c r="AB106" s="299" t="n">
        <v>0.036</v>
      </c>
      <c r="AC106" s="299" t="n">
        <v>0.3</v>
      </c>
      <c r="AD106" s="292" t="n">
        <v>58.5</v>
      </c>
      <c r="AE106" s="291" t="n">
        <v>80</v>
      </c>
      <c r="AF106" s="291" t="n">
        <v>-43</v>
      </c>
      <c r="AG106" s="292" t="n">
        <v>-0.5</v>
      </c>
      <c r="AH106" s="291" t="n">
        <v>23</v>
      </c>
      <c r="AI106" s="291" t="n">
        <v>60</v>
      </c>
      <c r="AJ106" s="291" t="n">
        <v>177</v>
      </c>
      <c r="AK106" s="292" t="n">
        <v>5.9</v>
      </c>
    </row>
    <row r="107" customFormat="false" ht="15" hidden="false" customHeight="false" outlineLevel="0" collapsed="false">
      <c r="A107" s="287" t="n">
        <v>21</v>
      </c>
      <c r="B107" s="287" t="s">
        <v>60</v>
      </c>
      <c r="C107" s="287" t="s">
        <v>61</v>
      </c>
      <c r="D107" s="288" t="n">
        <v>0.690277777777778</v>
      </c>
      <c r="E107" s="289" t="n">
        <v>15.304</v>
      </c>
      <c r="F107" s="289" t="n">
        <v>0.043</v>
      </c>
      <c r="G107" s="289" t="n">
        <v>0.298</v>
      </c>
      <c r="H107" s="290" t="n">
        <v>16.5</v>
      </c>
      <c r="I107" s="291" t="n">
        <v>16</v>
      </c>
      <c r="J107" s="291" t="n">
        <v>0</v>
      </c>
      <c r="K107" s="292" t="n">
        <v>0</v>
      </c>
      <c r="L107" s="291" t="n">
        <v>49</v>
      </c>
      <c r="M107" s="90" t="n">
        <v>52</v>
      </c>
      <c r="N107" s="287" t="s">
        <v>71</v>
      </c>
      <c r="O107" s="287" t="s">
        <v>76</v>
      </c>
      <c r="P107" s="294" t="s">
        <v>72</v>
      </c>
      <c r="Q107" s="294" t="n">
        <v>76</v>
      </c>
      <c r="R107" s="294" t="n">
        <v>3</v>
      </c>
      <c r="S107" s="294" t="s">
        <v>67</v>
      </c>
      <c r="T107" s="294" t="n">
        <v>5</v>
      </c>
      <c r="U107" s="295"/>
      <c r="V107" s="300"/>
      <c r="W107" s="297" t="n">
        <v>21</v>
      </c>
      <c r="X107" s="293" t="s">
        <v>79</v>
      </c>
      <c r="Y107" s="293" t="s">
        <v>310</v>
      </c>
      <c r="Z107" s="298" t="n">
        <v>0.65</v>
      </c>
      <c r="AA107" s="299" t="n">
        <v>6.827</v>
      </c>
      <c r="AB107" s="299" t="n">
        <v>0.019</v>
      </c>
      <c r="AC107" s="299" t="n">
        <v>0.276</v>
      </c>
      <c r="AD107" s="292" t="n">
        <v>121.2</v>
      </c>
      <c r="AE107" s="291" t="n">
        <v>89</v>
      </c>
      <c r="AF107" s="291" t="n">
        <v>76</v>
      </c>
      <c r="AG107" s="292" t="n">
        <v>0.9</v>
      </c>
      <c r="AH107" s="291" t="n">
        <v>93</v>
      </c>
      <c r="AI107" s="291" t="n">
        <v>48</v>
      </c>
      <c r="AJ107" s="291" t="n">
        <v>159</v>
      </c>
      <c r="AK107" s="292" t="n">
        <v>5.3</v>
      </c>
    </row>
    <row r="108" customFormat="false" ht="15" hidden="false" customHeight="false" outlineLevel="0" collapsed="false">
      <c r="A108" s="287" t="n">
        <v>24</v>
      </c>
      <c r="B108" s="287" t="s">
        <v>79</v>
      </c>
      <c r="C108" s="287" t="s">
        <v>61</v>
      </c>
      <c r="D108" s="288" t="n">
        <v>0.690277777777778</v>
      </c>
      <c r="E108" s="289" t="n">
        <v>9.371</v>
      </c>
      <c r="F108" s="289" t="n">
        <v>0.026</v>
      </c>
      <c r="G108" s="289" t="n">
        <v>0.291</v>
      </c>
      <c r="H108" s="290" t="n">
        <v>45.6</v>
      </c>
      <c r="I108" s="291" t="n">
        <v>62</v>
      </c>
      <c r="J108" s="291" t="n">
        <v>33</v>
      </c>
      <c r="K108" s="292" t="n">
        <v>0.5</v>
      </c>
      <c r="L108" s="291" t="n">
        <v>77</v>
      </c>
      <c r="M108" s="90" t="n">
        <v>40</v>
      </c>
      <c r="N108" s="287" t="s">
        <v>64</v>
      </c>
      <c r="O108" s="287" t="s">
        <v>76</v>
      </c>
      <c r="P108" s="294" t="s">
        <v>72</v>
      </c>
      <c r="Q108" s="294" t="n">
        <v>68</v>
      </c>
      <c r="R108" s="294" t="n">
        <v>2</v>
      </c>
      <c r="S108" s="294" t="s">
        <v>67</v>
      </c>
      <c r="T108" s="294" t="n">
        <v>5</v>
      </c>
      <c r="U108" s="295"/>
      <c r="V108" s="296"/>
      <c r="W108" s="297" t="n">
        <v>24</v>
      </c>
      <c r="X108" s="293" t="s">
        <v>69</v>
      </c>
      <c r="Y108" s="293" t="s">
        <v>310</v>
      </c>
      <c r="Z108" s="298" t="n">
        <v>0.658333333333333</v>
      </c>
      <c r="AA108" s="299" t="n">
        <v>9.343</v>
      </c>
      <c r="AB108" s="299" t="n">
        <v>0.026</v>
      </c>
      <c r="AC108" s="299" t="n">
        <v>0.282</v>
      </c>
      <c r="AD108" s="292" t="n">
        <v>124.1</v>
      </c>
      <c r="AE108" s="291" t="n">
        <v>58</v>
      </c>
      <c r="AF108" s="291" t="n">
        <v>-29</v>
      </c>
      <c r="AG108" s="292" t="n">
        <v>-0.5</v>
      </c>
      <c r="AH108" s="291" t="n">
        <v>25</v>
      </c>
      <c r="AI108" s="291" t="n">
        <v>88</v>
      </c>
      <c r="AJ108" s="291" t="n">
        <v>151</v>
      </c>
      <c r="AK108" s="292" t="n">
        <v>5</v>
      </c>
    </row>
    <row r="109" customFormat="false" ht="15" hidden="false" customHeight="false" outlineLevel="0" collapsed="false">
      <c r="A109" s="287" t="n">
        <v>28</v>
      </c>
      <c r="B109" s="287" t="s">
        <v>79</v>
      </c>
      <c r="C109" s="287" t="s">
        <v>61</v>
      </c>
      <c r="D109" s="288" t="n">
        <v>0.702083333333333</v>
      </c>
      <c r="E109" s="289" t="n">
        <v>7.046</v>
      </c>
      <c r="F109" s="289" t="n">
        <v>0.02</v>
      </c>
      <c r="G109" s="289" t="n">
        <v>0.224</v>
      </c>
      <c r="H109" s="290" t="n">
        <v>85.6</v>
      </c>
      <c r="I109" s="291" t="n">
        <v>68</v>
      </c>
      <c r="J109" s="291" t="n">
        <v>-43</v>
      </c>
      <c r="K109" s="292" t="n">
        <v>-0.6</v>
      </c>
      <c r="L109" s="291" t="n">
        <v>18</v>
      </c>
      <c r="M109" s="90" t="n">
        <v>35</v>
      </c>
      <c r="N109" s="287" t="s">
        <v>64</v>
      </c>
      <c r="O109" s="287" t="s">
        <v>76</v>
      </c>
      <c r="P109" s="294" t="s">
        <v>72</v>
      </c>
      <c r="Q109" s="294" t="n">
        <v>68</v>
      </c>
      <c r="R109" s="294" t="n">
        <v>2</v>
      </c>
      <c r="S109" s="294" t="s">
        <v>67</v>
      </c>
      <c r="T109" s="294" t="n">
        <v>5</v>
      </c>
      <c r="U109" s="295" t="s">
        <v>141</v>
      </c>
      <c r="V109" s="300"/>
      <c r="W109" s="297" t="n">
        <v>28</v>
      </c>
      <c r="X109" s="293" t="s">
        <v>60</v>
      </c>
      <c r="Y109" s="293" t="s">
        <v>310</v>
      </c>
      <c r="Z109" s="298" t="n">
        <v>0.667361111111111</v>
      </c>
      <c r="AA109" s="299" t="n">
        <v>5.155</v>
      </c>
      <c r="AB109" s="299" t="n">
        <v>0.014</v>
      </c>
      <c r="AC109" s="299" t="n">
        <v>0.215</v>
      </c>
      <c r="AD109" s="292" t="n">
        <v>129.3</v>
      </c>
      <c r="AE109" s="291" t="n">
        <v>27</v>
      </c>
      <c r="AF109" s="291" t="n">
        <v>1</v>
      </c>
      <c r="AG109" s="292" t="n">
        <v>0</v>
      </c>
      <c r="AH109" s="291" t="n">
        <v>52</v>
      </c>
      <c r="AI109" s="291" t="n">
        <v>34</v>
      </c>
      <c r="AJ109" s="291" t="n">
        <v>151</v>
      </c>
      <c r="AK109" s="292" t="n">
        <v>5</v>
      </c>
    </row>
    <row r="110" customFormat="false" ht="15" hidden="false" customHeight="false" outlineLevel="0" collapsed="false">
      <c r="A110" s="287" t="n">
        <v>33</v>
      </c>
      <c r="B110" s="287" t="s">
        <v>60</v>
      </c>
      <c r="C110" s="287" t="s">
        <v>61</v>
      </c>
      <c r="D110" s="288" t="n">
        <v>0.725</v>
      </c>
      <c r="E110" s="289" t="n">
        <v>4.131</v>
      </c>
      <c r="F110" s="289" t="n">
        <v>0.011</v>
      </c>
      <c r="G110" s="289" t="n">
        <v>0.216</v>
      </c>
      <c r="H110" s="290" t="n">
        <v>230</v>
      </c>
      <c r="I110" s="291" t="n">
        <v>14</v>
      </c>
      <c r="J110" s="291" t="n">
        <v>14</v>
      </c>
      <c r="K110" s="292" t="n">
        <v>1</v>
      </c>
      <c r="L110" s="291" t="n">
        <v>100</v>
      </c>
      <c r="M110" s="90" t="n">
        <v>44</v>
      </c>
      <c r="N110" s="287" t="s">
        <v>71</v>
      </c>
      <c r="O110" s="287" t="s">
        <v>76</v>
      </c>
      <c r="P110" s="294" t="s">
        <v>72</v>
      </c>
      <c r="Q110" s="294" t="n">
        <v>68</v>
      </c>
      <c r="R110" s="294" t="n">
        <v>2</v>
      </c>
      <c r="S110" s="294" t="s">
        <v>67</v>
      </c>
      <c r="T110" s="294" t="n">
        <v>5</v>
      </c>
      <c r="U110" s="295" t="s">
        <v>154</v>
      </c>
      <c r="V110" s="296"/>
      <c r="W110" s="297" t="n">
        <v>33</v>
      </c>
      <c r="X110" s="293" t="s">
        <v>69</v>
      </c>
      <c r="Y110" s="293" t="s">
        <v>310</v>
      </c>
      <c r="Z110" s="298" t="n">
        <v>0.676388888888889</v>
      </c>
      <c r="AA110" s="299" t="n">
        <v>10.476</v>
      </c>
      <c r="AB110" s="299" t="n">
        <v>0.029</v>
      </c>
      <c r="AC110" s="299" t="n">
        <v>0.252</v>
      </c>
      <c r="AD110" s="292" t="n">
        <v>61.1</v>
      </c>
      <c r="AE110" s="291" t="n">
        <v>90</v>
      </c>
      <c r="AF110" s="291" t="n">
        <v>-38</v>
      </c>
      <c r="AG110" s="292" t="n">
        <v>-0.4</v>
      </c>
      <c r="AH110" s="291" t="n">
        <v>29</v>
      </c>
      <c r="AI110" s="291" t="n">
        <v>50</v>
      </c>
      <c r="AJ110" s="291" t="n">
        <v>151</v>
      </c>
      <c r="AK110" s="292" t="n">
        <v>5</v>
      </c>
    </row>
    <row r="111" customFormat="false" ht="16" hidden="false" customHeight="false" outlineLevel="0" collapsed="false">
      <c r="A111" s="287" t="n">
        <v>44</v>
      </c>
      <c r="B111" s="287" t="s">
        <v>79</v>
      </c>
      <c r="C111" s="287" t="s">
        <v>61</v>
      </c>
      <c r="D111" s="288" t="n">
        <v>0.747916666666667</v>
      </c>
      <c r="E111" s="289" t="n">
        <v>21.859</v>
      </c>
      <c r="F111" s="289" t="n">
        <v>0.061</v>
      </c>
      <c r="G111" s="289" t="n">
        <v>0.366</v>
      </c>
      <c r="H111" s="290" t="n">
        <v>12.1</v>
      </c>
      <c r="I111" s="291" t="n">
        <v>31</v>
      </c>
      <c r="J111" s="291" t="n">
        <v>3</v>
      </c>
      <c r="K111" s="292" t="n">
        <v>0.1</v>
      </c>
      <c r="L111" s="291" t="n">
        <v>54</v>
      </c>
      <c r="M111" s="90" t="n">
        <v>53</v>
      </c>
      <c r="N111" s="287" t="s">
        <v>71</v>
      </c>
      <c r="O111" s="287" t="s">
        <v>76</v>
      </c>
      <c r="P111" s="294" t="s">
        <v>72</v>
      </c>
      <c r="Q111" s="294" t="n">
        <v>42</v>
      </c>
      <c r="R111" s="294" t="n">
        <v>1</v>
      </c>
      <c r="S111" s="294" t="s">
        <v>67</v>
      </c>
      <c r="T111" s="294" t="n">
        <v>5</v>
      </c>
      <c r="U111" s="295"/>
      <c r="V111" s="300"/>
      <c r="W111" s="297" t="n">
        <v>44</v>
      </c>
      <c r="X111" s="293" t="s">
        <v>60</v>
      </c>
      <c r="Y111" s="293" t="s">
        <v>310</v>
      </c>
      <c r="Z111" s="298" t="n">
        <v>0.704166666666667</v>
      </c>
      <c r="AA111" s="299" t="n">
        <v>10.755</v>
      </c>
      <c r="AB111" s="299" t="n">
        <v>0.03</v>
      </c>
      <c r="AC111" s="299" t="n">
        <v>0.265</v>
      </c>
      <c r="AD111" s="292" t="n">
        <v>95.1</v>
      </c>
      <c r="AE111" s="291" t="n">
        <v>26</v>
      </c>
      <c r="AF111" s="291" t="n">
        <v>-3</v>
      </c>
      <c r="AG111" s="292" t="n">
        <v>-0.1</v>
      </c>
      <c r="AH111" s="291" t="n">
        <v>45</v>
      </c>
      <c r="AI111" s="291" t="n">
        <v>46</v>
      </c>
      <c r="AJ111" s="291" t="n">
        <v>125</v>
      </c>
      <c r="AK111" s="292" t="n">
        <v>4.2</v>
      </c>
    </row>
    <row r="112" s="271" customFormat="true" ht="16" hidden="false" customHeight="false" outlineLevel="0" collapsed="false">
      <c r="A112" s="261" t="s">
        <v>504</v>
      </c>
      <c r="B112" s="262"/>
      <c r="C112" s="262"/>
      <c r="D112" s="262"/>
      <c r="E112" s="265" t="n">
        <f aca="false">AVERAGE(E104:E111)</f>
        <v>10.392625</v>
      </c>
      <c r="F112" s="263"/>
      <c r="G112" s="263"/>
      <c r="H112" s="264"/>
      <c r="I112" s="265" t="n">
        <f aca="false">AVERAGE(I104:I111)</f>
        <v>53.625</v>
      </c>
      <c r="J112" s="265" t="n">
        <f aca="false">AVERAGE(J104:J111)</f>
        <v>7.75</v>
      </c>
      <c r="K112" s="265" t="n">
        <f aca="false">AVERAGE(K104:K111)</f>
        <v>0.2625</v>
      </c>
      <c r="L112" s="265" t="n">
        <f aca="false">AVERAGE(L104:L111)</f>
        <v>62.625</v>
      </c>
      <c r="M112" s="265" t="n">
        <f aca="false">AVERAGE(M104:M111)</f>
        <v>47.125</v>
      </c>
      <c r="N112" s="262"/>
      <c r="O112" s="262"/>
      <c r="P112" s="266"/>
      <c r="Q112" s="266"/>
      <c r="R112" s="266"/>
      <c r="S112" s="266"/>
      <c r="T112" s="266"/>
      <c r="U112" s="266"/>
      <c r="V112" s="267"/>
      <c r="W112" s="268"/>
      <c r="X112" s="268"/>
      <c r="Y112" s="268"/>
      <c r="Z112" s="268"/>
      <c r="AA112" s="265" t="n">
        <f aca="false">AVERAGE(AA104:AA111)</f>
        <v>9.276875</v>
      </c>
      <c r="AB112" s="269"/>
      <c r="AC112" s="269"/>
      <c r="AD112" s="270"/>
      <c r="AE112" s="265" t="n">
        <f aca="false">AVERAGE(AE104:AE111)</f>
        <v>58.5</v>
      </c>
      <c r="AF112" s="265" t="n">
        <f aca="false">AVERAGE(AF104:AF111)</f>
        <v>-3.125</v>
      </c>
      <c r="AG112" s="265" t="n">
        <f aca="false">AVERAGE(AG104:AG111)</f>
        <v>-6.93889390390723E-018</v>
      </c>
      <c r="AH112" s="265" t="n">
        <f aca="false">AVERAGE(AH104:AH111)</f>
        <v>49.25</v>
      </c>
      <c r="AI112" s="265" t="n">
        <f aca="false">AVERAGE(AI107:AI111)</f>
        <v>53.2</v>
      </c>
      <c r="AJ112" s="265"/>
      <c r="AK112" s="270"/>
    </row>
    <row r="113" customFormat="false" ht="13" hidden="false" customHeight="false" outlineLevel="0" collapsed="false">
      <c r="AH113" s="273" t="n">
        <f aca="false">STDEV(AH104:AH111)/SQRT((COUNT(AH104:AH111)))</f>
        <v>9.32881480758867</v>
      </c>
    </row>
    <row r="116" customFormat="false" ht="13" hidden="false" customHeight="false" outlineLevel="0" collapsed="false">
      <c r="A116" s="113" t="s">
        <v>513</v>
      </c>
    </row>
    <row r="117" customFormat="false" ht="15" hidden="false" customHeight="false" outlineLevel="0" collapsed="false">
      <c r="A117" s="117" t="s">
        <v>1</v>
      </c>
      <c r="B117" s="118" t="s">
        <v>3</v>
      </c>
      <c r="C117" s="118" t="s">
        <v>4</v>
      </c>
      <c r="D117" s="118" t="s">
        <v>5</v>
      </c>
      <c r="E117" s="119" t="s">
        <v>8</v>
      </c>
      <c r="F117" s="119" t="s">
        <v>9</v>
      </c>
      <c r="G117" s="119" t="s">
        <v>10</v>
      </c>
      <c r="H117" s="120" t="s">
        <v>11</v>
      </c>
      <c r="I117" s="161" t="s">
        <v>45</v>
      </c>
      <c r="J117" s="123" t="s">
        <v>46</v>
      </c>
      <c r="K117" s="123" t="s">
        <v>47</v>
      </c>
      <c r="L117" s="123" t="s">
        <v>48</v>
      </c>
      <c r="M117" s="123" t="s">
        <v>49</v>
      </c>
      <c r="N117" s="123" t="s">
        <v>50</v>
      </c>
      <c r="O117" s="123" t="s">
        <v>51</v>
      </c>
      <c r="P117" s="123" t="s">
        <v>493</v>
      </c>
      <c r="Q117" s="123" t="s">
        <v>53</v>
      </c>
      <c r="R117" s="123" t="s">
        <v>54</v>
      </c>
      <c r="S117" s="123" t="s">
        <v>55</v>
      </c>
      <c r="T117" s="123" t="s">
        <v>56</v>
      </c>
      <c r="U117" s="123" t="s">
        <v>57</v>
      </c>
      <c r="V117" s="285" t="s">
        <v>518</v>
      </c>
      <c r="W117" s="123" t="s">
        <v>519</v>
      </c>
      <c r="X117" s="123" t="s">
        <v>520</v>
      </c>
      <c r="Y117" s="123" t="s">
        <v>521</v>
      </c>
      <c r="Z117" s="123" t="s">
        <v>522</v>
      </c>
      <c r="AA117" s="159" t="s">
        <v>523</v>
      </c>
      <c r="AB117" s="159" t="s">
        <v>524</v>
      </c>
      <c r="AC117" s="159" t="s">
        <v>525</v>
      </c>
      <c r="AD117" s="160" t="s">
        <v>526</v>
      </c>
      <c r="AE117" s="161" t="s">
        <v>527</v>
      </c>
      <c r="AF117" s="123" t="s">
        <v>528</v>
      </c>
      <c r="AG117" s="123" t="s">
        <v>529</v>
      </c>
      <c r="AH117" s="123" t="s">
        <v>530</v>
      </c>
      <c r="AI117" s="161" t="s">
        <v>531</v>
      </c>
      <c r="AJ117" s="161" t="s">
        <v>532</v>
      </c>
      <c r="AK117" s="286" t="s">
        <v>533</v>
      </c>
    </row>
    <row r="118" customFormat="false" ht="15" hidden="false" customHeight="false" outlineLevel="0" collapsed="false">
      <c r="A118" s="287" t="n">
        <v>10</v>
      </c>
      <c r="B118" s="287" t="s">
        <v>69</v>
      </c>
      <c r="C118" s="287" t="s">
        <v>61</v>
      </c>
      <c r="D118" s="288" t="n">
        <v>0.65625</v>
      </c>
      <c r="E118" s="289" t="n">
        <v>24.497</v>
      </c>
      <c r="F118" s="289" t="n">
        <v>0.068</v>
      </c>
      <c r="G118" s="289" t="n">
        <v>0.297</v>
      </c>
      <c r="H118" s="290" t="n">
        <v>2.4</v>
      </c>
      <c r="I118" s="291" t="n">
        <v>64</v>
      </c>
      <c r="J118" s="291" t="n">
        <v>-27</v>
      </c>
      <c r="K118" s="292" t="n">
        <v>-0.4</v>
      </c>
      <c r="L118" s="291" t="n">
        <v>29</v>
      </c>
      <c r="M118" s="90" t="n">
        <v>31</v>
      </c>
      <c r="N118" s="293" t="s">
        <v>71</v>
      </c>
      <c r="O118" s="293" t="s">
        <v>76</v>
      </c>
      <c r="P118" s="294" t="s">
        <v>72</v>
      </c>
      <c r="Q118" s="294" t="n">
        <v>94</v>
      </c>
      <c r="R118" s="290" t="n">
        <v>3.1</v>
      </c>
      <c r="S118" s="294" t="s">
        <v>81</v>
      </c>
      <c r="T118" s="294" t="n">
        <v>6</v>
      </c>
      <c r="U118" s="295" t="s">
        <v>98</v>
      </c>
      <c r="V118" s="296"/>
      <c r="W118" s="297" t="n">
        <v>10</v>
      </c>
      <c r="X118" s="293" t="s">
        <v>69</v>
      </c>
      <c r="Y118" s="293" t="s">
        <v>310</v>
      </c>
      <c r="Z118" s="298" t="n">
        <v>0.630555555555556</v>
      </c>
      <c r="AA118" s="299" t="n">
        <v>31.84</v>
      </c>
      <c r="AB118" s="299" t="n">
        <v>0.088</v>
      </c>
      <c r="AC118" s="299" t="n">
        <v>0.338</v>
      </c>
      <c r="AD118" s="292" t="n">
        <v>13</v>
      </c>
      <c r="AE118" s="291" t="n">
        <v>83</v>
      </c>
      <c r="AF118" s="291" t="n">
        <v>12</v>
      </c>
      <c r="AG118" s="292" t="n">
        <v>0.1</v>
      </c>
      <c r="AH118" s="291" t="n">
        <v>57</v>
      </c>
      <c r="AI118" s="291" t="n">
        <v>51</v>
      </c>
      <c r="AJ118" s="291" t="n">
        <v>177</v>
      </c>
      <c r="AK118" s="292" t="n">
        <v>5.9</v>
      </c>
    </row>
    <row r="119" customFormat="false" ht="15" hidden="false" customHeight="false" outlineLevel="0" collapsed="false">
      <c r="A119" s="287" t="n">
        <v>12</v>
      </c>
      <c r="B119" s="287" t="s">
        <v>79</v>
      </c>
      <c r="C119" s="287" t="s">
        <v>61</v>
      </c>
      <c r="D119" s="288" t="n">
        <v>0.65625</v>
      </c>
      <c r="E119" s="289" t="n">
        <v>3.994</v>
      </c>
      <c r="F119" s="289" t="n">
        <v>0.011</v>
      </c>
      <c r="G119" s="289" t="n">
        <v>0.194</v>
      </c>
      <c r="H119" s="290" t="n">
        <v>212</v>
      </c>
      <c r="I119" s="291" t="n">
        <v>191</v>
      </c>
      <c r="J119" s="291" t="n">
        <v>-141</v>
      </c>
      <c r="K119" s="292" t="n">
        <v>-0.7</v>
      </c>
      <c r="L119" s="291" t="n">
        <v>13</v>
      </c>
      <c r="M119" s="90"/>
      <c r="N119" s="293" t="s">
        <v>71</v>
      </c>
      <c r="O119" s="293" t="s">
        <v>76</v>
      </c>
      <c r="P119" s="294" t="s">
        <v>72</v>
      </c>
      <c r="Q119" s="294" t="n">
        <v>94</v>
      </c>
      <c r="R119" s="290" t="n">
        <v>3.1</v>
      </c>
      <c r="S119" s="294" t="s">
        <v>81</v>
      </c>
      <c r="T119" s="294" t="n">
        <v>6</v>
      </c>
      <c r="U119" s="295"/>
      <c r="V119" s="300"/>
      <c r="W119" s="297" t="n">
        <v>12</v>
      </c>
      <c r="X119" s="293" t="s">
        <v>79</v>
      </c>
      <c r="Y119" s="293" t="s">
        <v>310</v>
      </c>
      <c r="Z119" s="298" t="n">
        <v>0.63125</v>
      </c>
      <c r="AA119" s="299" t="n">
        <v>9.848</v>
      </c>
      <c r="AB119" s="299" t="n">
        <v>0.027</v>
      </c>
      <c r="AC119" s="299" t="n">
        <v>0.302</v>
      </c>
      <c r="AD119" s="292" t="n">
        <v>175</v>
      </c>
      <c r="AE119" s="291" t="n">
        <v>56</v>
      </c>
      <c r="AF119" s="291" t="n">
        <v>-8</v>
      </c>
      <c r="AG119" s="292" t="n">
        <v>-0.1</v>
      </c>
      <c r="AH119" s="291" t="n">
        <v>43</v>
      </c>
      <c r="AI119" s="291" t="n">
        <v>91</v>
      </c>
      <c r="AJ119" s="291" t="n">
        <v>177</v>
      </c>
      <c r="AK119" s="292" t="n">
        <v>5.9</v>
      </c>
    </row>
    <row r="120" customFormat="false" ht="15" hidden="false" customHeight="false" outlineLevel="0" collapsed="false">
      <c r="A120" s="287" t="n">
        <v>23</v>
      </c>
      <c r="B120" s="287" t="s">
        <v>74</v>
      </c>
      <c r="C120" s="287" t="s">
        <v>61</v>
      </c>
      <c r="D120" s="288" t="n">
        <v>0.690277777777778</v>
      </c>
      <c r="E120" s="289" t="n">
        <v>5.699</v>
      </c>
      <c r="F120" s="289" t="n">
        <v>0.016</v>
      </c>
      <c r="G120" s="289" t="n">
        <v>0.242</v>
      </c>
      <c r="H120" s="290" t="n">
        <v>107.7</v>
      </c>
      <c r="I120" s="291" t="n">
        <v>79</v>
      </c>
      <c r="J120" s="291" t="n">
        <v>-27</v>
      </c>
      <c r="K120" s="292" t="n">
        <v>-0.3</v>
      </c>
      <c r="L120" s="291" t="n">
        <v>33</v>
      </c>
      <c r="M120" s="90" t="n">
        <v>42</v>
      </c>
      <c r="N120" s="287" t="s">
        <v>64</v>
      </c>
      <c r="O120" s="287" t="s">
        <v>76</v>
      </c>
      <c r="P120" s="294" t="s">
        <v>72</v>
      </c>
      <c r="Q120" s="294" t="n">
        <v>68</v>
      </c>
      <c r="R120" s="294" t="n">
        <v>2</v>
      </c>
      <c r="S120" s="294" t="s">
        <v>81</v>
      </c>
      <c r="T120" s="294" t="n">
        <v>6</v>
      </c>
      <c r="U120" s="295"/>
      <c r="V120" s="296"/>
      <c r="W120" s="297" t="n">
        <v>23</v>
      </c>
      <c r="X120" s="293" t="s">
        <v>60</v>
      </c>
      <c r="Y120" s="293" t="s">
        <v>310</v>
      </c>
      <c r="Z120" s="298" t="n">
        <v>0.658333333333333</v>
      </c>
      <c r="AA120" s="299" t="n">
        <v>5.013</v>
      </c>
      <c r="AB120" s="299" t="n">
        <v>0.014</v>
      </c>
      <c r="AC120" s="299" t="n">
        <v>0.229</v>
      </c>
      <c r="AD120" s="292" t="n">
        <v>185.1</v>
      </c>
      <c r="AE120" s="291" t="n">
        <v>113</v>
      </c>
      <c r="AF120" s="291" t="n">
        <v>69</v>
      </c>
      <c r="AG120" s="292" t="n">
        <v>0.6</v>
      </c>
      <c r="AH120" s="291" t="n">
        <v>80</v>
      </c>
      <c r="AI120" s="291" t="n">
        <v>81</v>
      </c>
      <c r="AJ120" s="291" t="n">
        <v>151</v>
      </c>
      <c r="AK120" s="292" t="n">
        <v>5</v>
      </c>
    </row>
    <row r="121" customFormat="false" ht="15" hidden="false" customHeight="false" outlineLevel="0" collapsed="false">
      <c r="A121" s="287" t="n">
        <v>26</v>
      </c>
      <c r="B121" s="287" t="s">
        <v>69</v>
      </c>
      <c r="C121" s="287" t="s">
        <v>61</v>
      </c>
      <c r="D121" s="288" t="n">
        <v>0.702083333333333</v>
      </c>
      <c r="E121" s="289" t="n">
        <v>10.589</v>
      </c>
      <c r="F121" s="289" t="n">
        <v>0.029</v>
      </c>
      <c r="G121" s="289" t="n">
        <v>0.242</v>
      </c>
      <c r="H121" s="290" t="n">
        <v>42.4</v>
      </c>
      <c r="I121" s="291" t="n">
        <v>68</v>
      </c>
      <c r="J121" s="291" t="n">
        <v>18</v>
      </c>
      <c r="K121" s="292" t="n">
        <v>0.3</v>
      </c>
      <c r="L121" s="291" t="n">
        <v>63</v>
      </c>
      <c r="M121" s="90" t="n">
        <v>58</v>
      </c>
      <c r="N121" s="287" t="s">
        <v>64</v>
      </c>
      <c r="O121" s="287" t="s">
        <v>76</v>
      </c>
      <c r="P121" s="294" t="s">
        <v>72</v>
      </c>
      <c r="Q121" s="294" t="n">
        <v>68</v>
      </c>
      <c r="R121" s="294" t="n">
        <v>2</v>
      </c>
      <c r="S121" s="294" t="s">
        <v>81</v>
      </c>
      <c r="T121" s="294" t="n">
        <v>6</v>
      </c>
      <c r="U121" s="295"/>
      <c r="V121" s="300"/>
      <c r="W121" s="297" t="n">
        <v>26</v>
      </c>
      <c r="X121" s="293" t="s">
        <v>74</v>
      </c>
      <c r="Y121" s="293" t="s">
        <v>310</v>
      </c>
      <c r="Z121" s="298" t="n">
        <v>0.658333333333333</v>
      </c>
      <c r="AA121" s="299" t="n">
        <v>6.455</v>
      </c>
      <c r="AB121" s="299" t="n">
        <v>0.018</v>
      </c>
      <c r="AC121" s="299" t="n">
        <v>0.28</v>
      </c>
      <c r="AD121" s="292" t="n">
        <v>132.1</v>
      </c>
      <c r="AE121" s="291" t="n">
        <v>88</v>
      </c>
      <c r="AF121" s="291" t="n">
        <v>-49</v>
      </c>
      <c r="AG121" s="292" t="n">
        <v>-0.6</v>
      </c>
      <c r="AH121" s="291" t="n">
        <v>22</v>
      </c>
      <c r="AI121" s="291" t="n">
        <v>59</v>
      </c>
      <c r="AJ121" s="291" t="n">
        <v>151</v>
      </c>
      <c r="AK121" s="292" t="n">
        <v>5</v>
      </c>
    </row>
    <row r="122" customFormat="false" ht="16" hidden="false" customHeight="false" outlineLevel="0" collapsed="false">
      <c r="A122" s="287" t="n">
        <v>30</v>
      </c>
      <c r="B122" s="287" t="s">
        <v>69</v>
      </c>
      <c r="C122" s="287" t="s">
        <v>61</v>
      </c>
      <c r="D122" s="288" t="n">
        <v>0.713888888888889</v>
      </c>
      <c r="E122" s="289" t="n">
        <v>10.5</v>
      </c>
      <c r="F122" s="289" t="n">
        <v>0.029</v>
      </c>
      <c r="G122" s="289" t="n">
        <v>0.249</v>
      </c>
      <c r="H122" s="290" t="n">
        <v>38.4</v>
      </c>
      <c r="I122" s="291" t="n">
        <v>71</v>
      </c>
      <c r="J122" s="291" t="n">
        <v>-28</v>
      </c>
      <c r="K122" s="292" t="n">
        <v>-0.4</v>
      </c>
      <c r="L122" s="291" t="n">
        <v>30</v>
      </c>
      <c r="M122" s="90" t="n">
        <v>62</v>
      </c>
      <c r="N122" s="287" t="s">
        <v>71</v>
      </c>
      <c r="O122" s="287" t="s">
        <v>76</v>
      </c>
      <c r="P122" s="294" t="s">
        <v>72</v>
      </c>
      <c r="Q122" s="294" t="n">
        <v>68</v>
      </c>
      <c r="R122" s="294" t="n">
        <v>2</v>
      </c>
      <c r="S122" s="294" t="s">
        <v>81</v>
      </c>
      <c r="T122" s="294" t="n">
        <v>6</v>
      </c>
      <c r="U122" s="295"/>
      <c r="V122" s="296"/>
      <c r="W122" s="297" t="n">
        <v>30</v>
      </c>
      <c r="X122" s="293" t="s">
        <v>74</v>
      </c>
      <c r="Y122" s="293" t="s">
        <v>310</v>
      </c>
      <c r="Z122" s="298" t="n">
        <v>0.667361111111111</v>
      </c>
      <c r="AA122" s="299" t="n">
        <v>4.331</v>
      </c>
      <c r="AB122" s="299" t="n">
        <v>0.012</v>
      </c>
      <c r="AC122" s="299" t="n">
        <v>0.223</v>
      </c>
      <c r="AD122" s="292" t="n">
        <v>101.7</v>
      </c>
      <c r="AE122" s="291" t="n">
        <v>137</v>
      </c>
      <c r="AF122" s="291" t="n">
        <v>-119</v>
      </c>
      <c r="AG122" s="292" t="n">
        <v>-0.9</v>
      </c>
      <c r="AH122" s="291" t="n">
        <v>7</v>
      </c>
      <c r="AI122" s="291" t="n">
        <v>59</v>
      </c>
      <c r="AJ122" s="291" t="n">
        <v>151</v>
      </c>
      <c r="AK122" s="292" t="n">
        <v>5</v>
      </c>
    </row>
    <row r="123" s="271" customFormat="true" ht="16" hidden="false" customHeight="false" outlineLevel="0" collapsed="false">
      <c r="A123" s="261" t="s">
        <v>504</v>
      </c>
      <c r="B123" s="262"/>
      <c r="C123" s="262"/>
      <c r="D123" s="262"/>
      <c r="E123" s="265" t="n">
        <f aca="false">AVERAGE(E118:E122)</f>
        <v>11.0558</v>
      </c>
      <c r="F123" s="263"/>
      <c r="G123" s="263"/>
      <c r="H123" s="264"/>
      <c r="I123" s="265" t="n">
        <f aca="false">AVERAGE(I118:I122)</f>
        <v>94.6</v>
      </c>
      <c r="J123" s="265" t="n">
        <f aca="false">AVERAGE(J118:J122)</f>
        <v>-41</v>
      </c>
      <c r="K123" s="265" t="n">
        <f aca="false">AVERAGE(K118:K122)</f>
        <v>-0.3</v>
      </c>
      <c r="L123" s="265" t="n">
        <f aca="false">AVERAGE(L118:L122)</f>
        <v>33.6</v>
      </c>
      <c r="M123" s="265" t="n">
        <f aca="false">AVERAGE(M118:M122)</f>
        <v>48.25</v>
      </c>
      <c r="N123" s="262"/>
      <c r="O123" s="262"/>
      <c r="P123" s="266"/>
      <c r="Q123" s="266"/>
      <c r="R123" s="266"/>
      <c r="S123" s="266"/>
      <c r="T123" s="266"/>
      <c r="U123" s="266"/>
      <c r="V123" s="267"/>
      <c r="W123" s="268"/>
      <c r="X123" s="268"/>
      <c r="Y123" s="268"/>
      <c r="Z123" s="268"/>
      <c r="AA123" s="265" t="n">
        <f aca="false">AVERAGE(AA118:AA122)</f>
        <v>11.4974</v>
      </c>
      <c r="AB123" s="269"/>
      <c r="AC123" s="269"/>
      <c r="AD123" s="270"/>
      <c r="AE123" s="265" t="n">
        <f aca="false">AVERAGE(AE118:AE122)</f>
        <v>95.4</v>
      </c>
      <c r="AF123" s="265" t="n">
        <f aca="false">AVERAGE(AF118:AF122)</f>
        <v>-19</v>
      </c>
      <c r="AG123" s="265" t="n">
        <f aca="false">AVERAGE(AG118:AG122)</f>
        <v>-0.18</v>
      </c>
      <c r="AH123" s="265" t="n">
        <f aca="false">AVERAGE(AH118:AH122)</f>
        <v>41.8</v>
      </c>
      <c r="AI123" s="265" t="n">
        <f aca="false">AVERAGE(AI118:AI122)</f>
        <v>68.2</v>
      </c>
      <c r="AJ123" s="265"/>
      <c r="AK123" s="270"/>
    </row>
    <row r="124" customFormat="false" ht="13" hidden="false" customHeight="false" outlineLevel="0" collapsed="false">
      <c r="AH124" s="273" t="n">
        <f aca="false">STDEV(AH118:AH122)/SQRT((COUNT(AH118:AH122)))</f>
        <v>12.8351081023885</v>
      </c>
    </row>
    <row r="127" customFormat="false" ht="13" hidden="false" customHeight="false" outlineLevel="0" collapsed="false">
      <c r="A127" s="113" t="s">
        <v>514</v>
      </c>
    </row>
    <row r="128" customFormat="false" ht="15" hidden="false" customHeight="false" outlineLevel="0" collapsed="false">
      <c r="A128" s="117" t="s">
        <v>1</v>
      </c>
      <c r="B128" s="118" t="s">
        <v>3</v>
      </c>
      <c r="C128" s="118" t="s">
        <v>4</v>
      </c>
      <c r="D128" s="118" t="s">
        <v>5</v>
      </c>
      <c r="E128" s="119" t="s">
        <v>8</v>
      </c>
      <c r="F128" s="119" t="s">
        <v>9</v>
      </c>
      <c r="G128" s="119" t="s">
        <v>10</v>
      </c>
      <c r="H128" s="120" t="s">
        <v>11</v>
      </c>
      <c r="I128" s="161" t="s">
        <v>45</v>
      </c>
      <c r="J128" s="123" t="s">
        <v>46</v>
      </c>
      <c r="K128" s="123" t="s">
        <v>47</v>
      </c>
      <c r="L128" s="123" t="s">
        <v>48</v>
      </c>
      <c r="M128" s="123" t="s">
        <v>49</v>
      </c>
      <c r="N128" s="123" t="s">
        <v>50</v>
      </c>
      <c r="O128" s="123" t="s">
        <v>51</v>
      </c>
      <c r="P128" s="123" t="s">
        <v>493</v>
      </c>
      <c r="Q128" s="123" t="s">
        <v>53</v>
      </c>
      <c r="R128" s="123" t="s">
        <v>54</v>
      </c>
      <c r="S128" s="123" t="s">
        <v>55</v>
      </c>
      <c r="T128" s="123" t="s">
        <v>56</v>
      </c>
      <c r="U128" s="123" t="s">
        <v>57</v>
      </c>
      <c r="V128" s="285" t="s">
        <v>518</v>
      </c>
      <c r="W128" s="123" t="s">
        <v>519</v>
      </c>
      <c r="X128" s="123" t="s">
        <v>520</v>
      </c>
      <c r="Y128" s="123" t="s">
        <v>521</v>
      </c>
      <c r="Z128" s="123" t="s">
        <v>522</v>
      </c>
      <c r="AA128" s="159" t="s">
        <v>523</v>
      </c>
      <c r="AB128" s="159" t="s">
        <v>524</v>
      </c>
      <c r="AC128" s="159" t="s">
        <v>525</v>
      </c>
      <c r="AD128" s="160" t="s">
        <v>526</v>
      </c>
      <c r="AE128" s="161" t="s">
        <v>527</v>
      </c>
      <c r="AF128" s="123" t="s">
        <v>528</v>
      </c>
      <c r="AG128" s="123" t="s">
        <v>529</v>
      </c>
      <c r="AH128" s="123" t="s">
        <v>530</v>
      </c>
      <c r="AI128" s="161" t="s">
        <v>531</v>
      </c>
      <c r="AJ128" s="161" t="s">
        <v>532</v>
      </c>
      <c r="AK128" s="286" t="s">
        <v>533</v>
      </c>
    </row>
    <row r="129" customFormat="false" ht="15" hidden="false" customHeight="false" outlineLevel="0" collapsed="false">
      <c r="A129" s="287" t="n">
        <v>5</v>
      </c>
      <c r="B129" s="287" t="s">
        <v>60</v>
      </c>
      <c r="C129" s="287" t="s">
        <v>61</v>
      </c>
      <c r="D129" s="288" t="n">
        <v>0.64375</v>
      </c>
      <c r="E129" s="289" t="n">
        <v>8.433</v>
      </c>
      <c r="F129" s="289" t="n">
        <v>0.023</v>
      </c>
      <c r="G129" s="289" t="n">
        <v>0.202</v>
      </c>
      <c r="H129" s="290" t="n">
        <v>38.1</v>
      </c>
      <c r="I129" s="291" t="n">
        <v>22</v>
      </c>
      <c r="J129" s="291" t="n">
        <v>-4</v>
      </c>
      <c r="K129" s="292" t="n">
        <v>-0.2</v>
      </c>
      <c r="L129" s="291" t="n">
        <v>42</v>
      </c>
      <c r="M129" s="90" t="n">
        <v>46</v>
      </c>
      <c r="N129" s="293" t="s">
        <v>64</v>
      </c>
      <c r="O129" s="293" t="s">
        <v>76</v>
      </c>
      <c r="P129" s="294" t="s">
        <v>66</v>
      </c>
      <c r="Q129" s="294" t="n">
        <v>94</v>
      </c>
      <c r="R129" s="290" t="n">
        <v>3.1</v>
      </c>
      <c r="S129" s="294" t="s">
        <v>67</v>
      </c>
      <c r="T129" s="294" t="n">
        <v>7</v>
      </c>
      <c r="U129" s="295" t="s">
        <v>77</v>
      </c>
      <c r="V129" s="296"/>
      <c r="W129" s="297" t="n">
        <v>5</v>
      </c>
      <c r="X129" s="293" t="s">
        <v>60</v>
      </c>
      <c r="Y129" s="293" t="s">
        <v>310</v>
      </c>
      <c r="Z129" s="298" t="n">
        <v>0.621527777777778</v>
      </c>
      <c r="AA129" s="299" t="n">
        <v>9.713</v>
      </c>
      <c r="AB129" s="299" t="n">
        <v>0.027</v>
      </c>
      <c r="AC129" s="299" t="n">
        <v>0.361</v>
      </c>
      <c r="AD129" s="292" t="n">
        <v>59.6</v>
      </c>
      <c r="AE129" s="291" t="n">
        <v>60</v>
      </c>
      <c r="AF129" s="291" t="n">
        <v>19</v>
      </c>
      <c r="AG129" s="292" t="n">
        <v>0.3</v>
      </c>
      <c r="AH129" s="291" t="n">
        <v>66</v>
      </c>
      <c r="AI129" s="291" t="n">
        <v>46</v>
      </c>
      <c r="AJ129" s="291" t="n">
        <v>177</v>
      </c>
      <c r="AK129" s="292" t="n">
        <v>5.9</v>
      </c>
    </row>
    <row r="130" customFormat="false" ht="15" hidden="false" customHeight="false" outlineLevel="0" collapsed="false">
      <c r="A130" s="287" t="n">
        <v>9</v>
      </c>
      <c r="B130" s="287" t="s">
        <v>60</v>
      </c>
      <c r="C130" s="287" t="s">
        <v>61</v>
      </c>
      <c r="D130" s="288" t="n">
        <v>0.65625</v>
      </c>
      <c r="E130" s="289" t="n">
        <v>6.523</v>
      </c>
      <c r="F130" s="289" t="n">
        <v>0.018</v>
      </c>
      <c r="G130" s="289" t="n">
        <v>0.217</v>
      </c>
      <c r="H130" s="290" t="n">
        <v>187.3</v>
      </c>
      <c r="I130" s="291" t="n">
        <v>23</v>
      </c>
      <c r="J130" s="291" t="n">
        <v>3</v>
      </c>
      <c r="K130" s="292" t="n">
        <v>0.1</v>
      </c>
      <c r="L130" s="291" t="n">
        <v>57</v>
      </c>
      <c r="M130" s="90" t="n">
        <v>48</v>
      </c>
      <c r="N130" s="293" t="s">
        <v>71</v>
      </c>
      <c r="O130" s="293" t="s">
        <v>76</v>
      </c>
      <c r="P130" s="294" t="s">
        <v>66</v>
      </c>
      <c r="Q130" s="294" t="n">
        <v>94</v>
      </c>
      <c r="R130" s="290" t="n">
        <v>3.1</v>
      </c>
      <c r="S130" s="294" t="s">
        <v>67</v>
      </c>
      <c r="T130" s="294" t="n">
        <v>7</v>
      </c>
      <c r="U130" s="295" t="s">
        <v>95</v>
      </c>
      <c r="V130" s="300"/>
      <c r="W130" s="297" t="n">
        <v>9</v>
      </c>
      <c r="X130" s="293" t="s">
        <v>60</v>
      </c>
      <c r="Y130" s="293" t="s">
        <v>310</v>
      </c>
      <c r="Z130" s="298" t="n">
        <v>0.630555555555556</v>
      </c>
      <c r="AA130" s="299" t="n">
        <v>11.5</v>
      </c>
      <c r="AB130" s="299" t="n">
        <v>0.032</v>
      </c>
      <c r="AC130" s="299" t="n">
        <v>0.364</v>
      </c>
      <c r="AD130" s="292" t="n">
        <v>62.5</v>
      </c>
      <c r="AE130" s="291" t="n">
        <v>99</v>
      </c>
      <c r="AF130" s="291" t="n">
        <v>-43</v>
      </c>
      <c r="AG130" s="292" t="n">
        <v>-0.4</v>
      </c>
      <c r="AH130" s="291" t="n">
        <v>28</v>
      </c>
      <c r="AI130" s="291" t="n">
        <v>50</v>
      </c>
      <c r="AJ130" s="291" t="n">
        <v>177</v>
      </c>
      <c r="AK130" s="292" t="n">
        <v>5.9</v>
      </c>
    </row>
    <row r="131" customFormat="false" ht="15" hidden="false" customHeight="false" outlineLevel="0" collapsed="false">
      <c r="A131" s="287" t="n">
        <v>16</v>
      </c>
      <c r="B131" s="287" t="s">
        <v>79</v>
      </c>
      <c r="C131" s="287" t="s">
        <v>61</v>
      </c>
      <c r="D131" s="288" t="n">
        <v>0.666666666666667</v>
      </c>
      <c r="E131" s="289" t="n">
        <v>22.836</v>
      </c>
      <c r="F131" s="289" t="n">
        <v>0.063</v>
      </c>
      <c r="G131" s="289" t="n">
        <v>0.308</v>
      </c>
      <c r="H131" s="290" t="n">
        <v>19.2</v>
      </c>
      <c r="I131" s="291" t="n">
        <v>75</v>
      </c>
      <c r="J131" s="291" t="n">
        <v>7</v>
      </c>
      <c r="K131" s="292" t="n">
        <v>0.1</v>
      </c>
      <c r="L131" s="291" t="n">
        <v>54</v>
      </c>
      <c r="M131" s="90" t="n">
        <v>36</v>
      </c>
      <c r="N131" s="287" t="s">
        <v>71</v>
      </c>
      <c r="O131" s="287" t="s">
        <v>76</v>
      </c>
      <c r="P131" s="294" t="s">
        <v>66</v>
      </c>
      <c r="Q131" s="294" t="n">
        <v>86</v>
      </c>
      <c r="R131" s="294" t="n">
        <v>3</v>
      </c>
      <c r="S131" s="294" t="s">
        <v>67</v>
      </c>
      <c r="T131" s="294" t="n">
        <v>7</v>
      </c>
      <c r="U131" s="295"/>
      <c r="V131" s="296"/>
      <c r="W131" s="297" t="n">
        <v>16</v>
      </c>
      <c r="X131" s="293" t="s">
        <v>74</v>
      </c>
      <c r="Y131" s="293" t="s">
        <v>310</v>
      </c>
      <c r="Z131" s="298" t="n">
        <v>0.640277777777778</v>
      </c>
      <c r="AA131" s="299" t="n">
        <v>52.59</v>
      </c>
      <c r="AB131" s="299" t="n">
        <v>0.146</v>
      </c>
      <c r="AC131" s="299" t="n">
        <v>0.357</v>
      </c>
      <c r="AD131" s="292" t="n">
        <v>2.5</v>
      </c>
      <c r="AE131" s="291" t="n">
        <v>107</v>
      </c>
      <c r="AF131" s="291" t="n">
        <v>4</v>
      </c>
      <c r="AG131" s="292" t="n">
        <v>0</v>
      </c>
      <c r="AH131" s="291" t="n">
        <v>52</v>
      </c>
      <c r="AI131" s="291" t="n">
        <v>49</v>
      </c>
      <c r="AJ131" s="291" t="n">
        <v>169</v>
      </c>
      <c r="AK131" s="292" t="n">
        <v>5.6</v>
      </c>
    </row>
    <row r="132" customFormat="false" ht="15" hidden="false" customHeight="false" outlineLevel="0" collapsed="false">
      <c r="A132" s="287" t="n">
        <v>29</v>
      </c>
      <c r="B132" s="287" t="s">
        <v>60</v>
      </c>
      <c r="C132" s="287" t="s">
        <v>61</v>
      </c>
      <c r="D132" s="288" t="n">
        <v>0.713888888888889</v>
      </c>
      <c r="E132" s="289" t="n">
        <v>7.549</v>
      </c>
      <c r="F132" s="289" t="n">
        <v>0.021</v>
      </c>
      <c r="G132" s="289" t="n">
        <v>0.297</v>
      </c>
      <c r="H132" s="290" t="n">
        <v>68.3</v>
      </c>
      <c r="I132" s="291" t="n">
        <v>121</v>
      </c>
      <c r="J132" s="291" t="n">
        <v>-78</v>
      </c>
      <c r="K132" s="292" t="n">
        <v>-0.6</v>
      </c>
      <c r="L132" s="291" t="n">
        <v>18</v>
      </c>
      <c r="M132" s="90" t="n">
        <v>35</v>
      </c>
      <c r="N132" s="287" t="s">
        <v>64</v>
      </c>
      <c r="O132" s="287" t="s">
        <v>76</v>
      </c>
      <c r="P132" s="294" t="s">
        <v>66</v>
      </c>
      <c r="Q132" s="294" t="n">
        <v>68</v>
      </c>
      <c r="R132" s="294" t="n">
        <v>2</v>
      </c>
      <c r="S132" s="294" t="s">
        <v>67</v>
      </c>
      <c r="T132" s="294" t="n">
        <v>7</v>
      </c>
      <c r="U132" s="295"/>
      <c r="V132" s="300"/>
      <c r="W132" s="297" t="n">
        <v>29</v>
      </c>
      <c r="X132" s="293" t="s">
        <v>69</v>
      </c>
      <c r="Y132" s="293" t="s">
        <v>310</v>
      </c>
      <c r="Z132" s="298" t="n">
        <v>0.666666666666667</v>
      </c>
      <c r="AA132" s="299" t="n">
        <v>9.707</v>
      </c>
      <c r="AB132" s="299" t="n">
        <v>0.027</v>
      </c>
      <c r="AC132" s="299" t="n">
        <v>0.227</v>
      </c>
      <c r="AD132" s="292" t="n">
        <v>105</v>
      </c>
      <c r="AE132" s="291" t="n">
        <v>71</v>
      </c>
      <c r="AF132" s="291" t="n">
        <v>-25</v>
      </c>
      <c r="AG132" s="292" t="n">
        <v>-0.4</v>
      </c>
      <c r="AH132" s="291" t="n">
        <v>32</v>
      </c>
      <c r="AI132" s="291" t="n">
        <v>75</v>
      </c>
      <c r="AJ132" s="291" t="n">
        <v>151</v>
      </c>
      <c r="AK132" s="292" t="n">
        <v>5</v>
      </c>
    </row>
    <row r="133" customFormat="false" ht="15" hidden="false" customHeight="false" outlineLevel="0" collapsed="false">
      <c r="A133" s="287" t="n">
        <v>32</v>
      </c>
      <c r="B133" s="287" t="s">
        <v>79</v>
      </c>
      <c r="C133" s="287" t="s">
        <v>61</v>
      </c>
      <c r="D133" s="288" t="n">
        <v>0.713888888888889</v>
      </c>
      <c r="E133" s="289" t="n">
        <v>5.288</v>
      </c>
      <c r="F133" s="289" t="n">
        <v>0.015</v>
      </c>
      <c r="G133" s="289" t="n">
        <v>0.171</v>
      </c>
      <c r="H133" s="290" t="n">
        <v>198.5</v>
      </c>
      <c r="I133" s="291" t="n">
        <v>25</v>
      </c>
      <c r="J133" s="291" t="n">
        <v>2</v>
      </c>
      <c r="K133" s="292" t="n">
        <v>0.1</v>
      </c>
      <c r="L133" s="291" t="n">
        <v>55</v>
      </c>
      <c r="M133" s="90" t="n">
        <v>56</v>
      </c>
      <c r="N133" s="287" t="s">
        <v>71</v>
      </c>
      <c r="O133" s="287" t="s">
        <v>76</v>
      </c>
      <c r="P133" s="294" t="s">
        <v>66</v>
      </c>
      <c r="Q133" s="294" t="n">
        <v>68</v>
      </c>
      <c r="R133" s="294" t="n">
        <v>2</v>
      </c>
      <c r="S133" s="294" t="s">
        <v>67</v>
      </c>
      <c r="T133" s="294" t="n">
        <v>7</v>
      </c>
      <c r="U133" s="295"/>
      <c r="V133" s="296"/>
      <c r="W133" s="297" t="n">
        <v>32</v>
      </c>
      <c r="X133" s="293" t="s">
        <v>60</v>
      </c>
      <c r="Y133" s="293" t="s">
        <v>310</v>
      </c>
      <c r="Z133" s="298" t="n">
        <v>0.676388888888889</v>
      </c>
      <c r="AA133" s="299" t="n">
        <v>7.139</v>
      </c>
      <c r="AB133" s="299" t="n">
        <v>0.02</v>
      </c>
      <c r="AC133" s="299" t="n">
        <v>0.293</v>
      </c>
      <c r="AD133" s="292" t="n">
        <v>122.2</v>
      </c>
      <c r="AE133" s="291" t="n">
        <v>113</v>
      </c>
      <c r="AF133" s="291" t="n">
        <v>96</v>
      </c>
      <c r="AG133" s="292" t="n">
        <v>0.8</v>
      </c>
      <c r="AH133" s="291" t="n">
        <v>92</v>
      </c>
      <c r="AI133" s="291" t="n">
        <v>26</v>
      </c>
      <c r="AJ133" s="291" t="n">
        <v>151</v>
      </c>
      <c r="AK133" s="292" t="n">
        <v>5</v>
      </c>
    </row>
    <row r="134" customFormat="false" ht="16" hidden="false" customHeight="false" outlineLevel="0" collapsed="false">
      <c r="A134" s="287" t="n">
        <v>46</v>
      </c>
      <c r="B134" s="287" t="s">
        <v>69</v>
      </c>
      <c r="C134" s="287" t="s">
        <v>61</v>
      </c>
      <c r="D134" s="288" t="n">
        <v>0.756944444444444</v>
      </c>
      <c r="E134" s="289" t="n">
        <v>15.92</v>
      </c>
      <c r="F134" s="289" t="n">
        <v>0.044</v>
      </c>
      <c r="G134" s="289" t="n">
        <v>0.25</v>
      </c>
      <c r="H134" s="290" t="n">
        <v>23.1</v>
      </c>
      <c r="I134" s="291" t="n">
        <v>85</v>
      </c>
      <c r="J134" s="291" t="n">
        <v>-18</v>
      </c>
      <c r="K134" s="292" t="n">
        <v>-0.2</v>
      </c>
      <c r="L134" s="291" t="n">
        <v>39</v>
      </c>
      <c r="M134" s="90" t="n">
        <v>43</v>
      </c>
      <c r="N134" s="293" t="s">
        <v>71</v>
      </c>
      <c r="O134" s="293" t="s">
        <v>76</v>
      </c>
      <c r="P134" s="294" t="s">
        <v>66</v>
      </c>
      <c r="Q134" s="294" t="n">
        <v>42</v>
      </c>
      <c r="R134" s="290" t="n">
        <v>1.4</v>
      </c>
      <c r="S134" s="294" t="s">
        <v>67</v>
      </c>
      <c r="T134" s="294" t="n">
        <v>7</v>
      </c>
      <c r="U134" s="295"/>
      <c r="V134" s="300"/>
      <c r="W134" s="297" t="n">
        <v>46</v>
      </c>
      <c r="X134" s="293" t="s">
        <v>74</v>
      </c>
      <c r="Y134" s="293" t="s">
        <v>310</v>
      </c>
      <c r="Z134" s="298" t="n">
        <v>0.704861111111111</v>
      </c>
      <c r="AA134" s="299" t="n">
        <v>7.629</v>
      </c>
      <c r="AB134" s="299" t="n">
        <v>0.021</v>
      </c>
      <c r="AC134" s="299" t="n">
        <v>0.265</v>
      </c>
      <c r="AD134" s="292" t="n">
        <v>135.4</v>
      </c>
      <c r="AE134" s="291" t="n">
        <v>28</v>
      </c>
      <c r="AF134" s="291" t="n">
        <v>-1</v>
      </c>
      <c r="AG134" s="292" t="n">
        <v>0</v>
      </c>
      <c r="AH134" s="291" t="n">
        <v>48</v>
      </c>
      <c r="AI134" s="291" t="n">
        <v>51</v>
      </c>
      <c r="AJ134" s="291" t="n">
        <v>125</v>
      </c>
      <c r="AK134" s="292" t="n">
        <v>4.2</v>
      </c>
    </row>
    <row r="135" s="271" customFormat="true" ht="16" hidden="false" customHeight="false" outlineLevel="0" collapsed="false">
      <c r="A135" s="261" t="s">
        <v>504</v>
      </c>
      <c r="B135" s="262"/>
      <c r="C135" s="262"/>
      <c r="D135" s="262"/>
      <c r="E135" s="265" t="n">
        <f aca="false">AVERAGE(E129:E134)</f>
        <v>11.0915</v>
      </c>
      <c r="F135" s="263"/>
      <c r="G135" s="263"/>
      <c r="H135" s="264"/>
      <c r="I135" s="265" t="n">
        <f aca="false">AVERAGE(I129:I134)</f>
        <v>58.5</v>
      </c>
      <c r="J135" s="265" t="n">
        <f aca="false">AVERAGE(J129:J134)</f>
        <v>-14.6666666666667</v>
      </c>
      <c r="K135" s="265" t="n">
        <f aca="false">AVERAGE(K129:K134)</f>
        <v>-0.116666666666667</v>
      </c>
      <c r="L135" s="265" t="n">
        <f aca="false">AVERAGE(L129:L134)</f>
        <v>44.1666666666667</v>
      </c>
      <c r="M135" s="265" t="n">
        <f aca="false">AVERAGE(M129:M134)</f>
        <v>44</v>
      </c>
      <c r="N135" s="262"/>
      <c r="O135" s="262"/>
      <c r="P135" s="266"/>
      <c r="Q135" s="266"/>
      <c r="R135" s="266"/>
      <c r="S135" s="266"/>
      <c r="T135" s="266"/>
      <c r="U135" s="266"/>
      <c r="V135" s="267"/>
      <c r="W135" s="268"/>
      <c r="X135" s="268"/>
      <c r="Y135" s="268"/>
      <c r="Z135" s="268"/>
      <c r="AA135" s="265" t="n">
        <f aca="false">AVERAGE(AA129:AA134)</f>
        <v>16.3796666666667</v>
      </c>
      <c r="AB135" s="269"/>
      <c r="AC135" s="269"/>
      <c r="AD135" s="270"/>
      <c r="AE135" s="265" t="n">
        <f aca="false">AVERAGE(AE129:AE134)</f>
        <v>79.6666666666667</v>
      </c>
      <c r="AF135" s="265" t="n">
        <f aca="false">AVERAGE(AF129:AF134)</f>
        <v>8.33333333333333</v>
      </c>
      <c r="AG135" s="265" t="n">
        <f aca="false">AVERAGE(AG129:AG134)</f>
        <v>0.05</v>
      </c>
      <c r="AH135" s="265" t="n">
        <f aca="false">AVERAGE(AH129:AH134)</f>
        <v>53</v>
      </c>
      <c r="AI135" s="265" t="n">
        <f aca="false">AVERAGE(AI129:AI134)</f>
        <v>49.5</v>
      </c>
      <c r="AJ135" s="265"/>
      <c r="AK135" s="270"/>
    </row>
    <row r="136" customFormat="false" ht="13" hidden="false" customHeight="false" outlineLevel="0" collapsed="false">
      <c r="AH136" s="273" t="n">
        <f aca="false">STDEV(AH129:AH134)/SQRT((COUNT(AH129:AH134)))</f>
        <v>9.62981481303422</v>
      </c>
    </row>
    <row r="139" customFormat="false" ht="13" hidden="false" customHeight="false" outlineLevel="0" collapsed="false">
      <c r="A139" s="113" t="s">
        <v>542</v>
      </c>
    </row>
    <row r="140" customFormat="false" ht="15" hidden="false" customHeight="false" outlineLevel="0" collapsed="false">
      <c r="A140" s="117" t="s">
        <v>1</v>
      </c>
      <c r="B140" s="118" t="s">
        <v>3</v>
      </c>
      <c r="C140" s="118" t="s">
        <v>4</v>
      </c>
      <c r="D140" s="118" t="s">
        <v>5</v>
      </c>
      <c r="E140" s="119" t="s">
        <v>8</v>
      </c>
      <c r="F140" s="119" t="s">
        <v>9</v>
      </c>
      <c r="G140" s="119" t="s">
        <v>10</v>
      </c>
      <c r="H140" s="120" t="s">
        <v>11</v>
      </c>
      <c r="I140" s="161" t="s">
        <v>45</v>
      </c>
      <c r="J140" s="123" t="s">
        <v>46</v>
      </c>
      <c r="K140" s="123" t="s">
        <v>47</v>
      </c>
      <c r="L140" s="123" t="s">
        <v>48</v>
      </c>
      <c r="M140" s="123" t="s">
        <v>49</v>
      </c>
      <c r="N140" s="123" t="s">
        <v>50</v>
      </c>
      <c r="O140" s="123" t="s">
        <v>51</v>
      </c>
      <c r="P140" s="123" t="s">
        <v>493</v>
      </c>
      <c r="Q140" s="123" t="s">
        <v>53</v>
      </c>
      <c r="R140" s="123" t="s">
        <v>54</v>
      </c>
      <c r="S140" s="123" t="s">
        <v>55</v>
      </c>
      <c r="T140" s="123" t="s">
        <v>56</v>
      </c>
      <c r="U140" s="123" t="s">
        <v>57</v>
      </c>
      <c r="V140" s="285" t="s">
        <v>518</v>
      </c>
      <c r="W140" s="123" t="s">
        <v>519</v>
      </c>
      <c r="X140" s="123" t="s">
        <v>520</v>
      </c>
      <c r="Y140" s="123" t="s">
        <v>521</v>
      </c>
      <c r="Z140" s="123" t="s">
        <v>522</v>
      </c>
      <c r="AA140" s="159" t="s">
        <v>523</v>
      </c>
      <c r="AB140" s="159" t="s">
        <v>524</v>
      </c>
      <c r="AC140" s="159" t="s">
        <v>525</v>
      </c>
      <c r="AD140" s="160" t="s">
        <v>526</v>
      </c>
      <c r="AE140" s="161" t="s">
        <v>527</v>
      </c>
      <c r="AF140" s="123" t="s">
        <v>528</v>
      </c>
      <c r="AG140" s="123" t="s">
        <v>529</v>
      </c>
      <c r="AH140" s="123" t="s">
        <v>530</v>
      </c>
      <c r="AI140" s="161" t="s">
        <v>531</v>
      </c>
      <c r="AJ140" s="161" t="s">
        <v>532</v>
      </c>
      <c r="AK140" s="286" t="s">
        <v>533</v>
      </c>
    </row>
    <row r="141" customFormat="false" ht="15" hidden="false" customHeight="false" outlineLevel="0" collapsed="false">
      <c r="A141" s="287" t="n">
        <v>4</v>
      </c>
      <c r="B141" s="287" t="s">
        <v>79</v>
      </c>
      <c r="C141" s="287" t="s">
        <v>61</v>
      </c>
      <c r="D141" s="288" t="n">
        <v>0.631944444444444</v>
      </c>
      <c r="E141" s="289" t="n">
        <v>20.377</v>
      </c>
      <c r="F141" s="289" t="n">
        <v>0.057</v>
      </c>
      <c r="G141" s="289" t="n">
        <v>0.248</v>
      </c>
      <c r="H141" s="290" t="n">
        <v>8.4</v>
      </c>
      <c r="I141" s="291" t="n">
        <v>99</v>
      </c>
      <c r="J141" s="291" t="n">
        <v>-8</v>
      </c>
      <c r="K141" s="292" t="n">
        <v>-0.1</v>
      </c>
      <c r="L141" s="291" t="n">
        <v>46</v>
      </c>
      <c r="M141" s="90" t="n">
        <v>47</v>
      </c>
      <c r="N141" s="293" t="s">
        <v>64</v>
      </c>
      <c r="O141" s="293" t="s">
        <v>76</v>
      </c>
      <c r="P141" s="294" t="s">
        <v>66</v>
      </c>
      <c r="Q141" s="294" t="n">
        <v>94</v>
      </c>
      <c r="R141" s="290" t="n">
        <v>3.1</v>
      </c>
      <c r="S141" s="294" t="s">
        <v>81</v>
      </c>
      <c r="T141" s="294" t="n">
        <v>8</v>
      </c>
      <c r="U141" s="295"/>
      <c r="V141" s="296"/>
      <c r="W141" s="297" t="n">
        <v>4</v>
      </c>
      <c r="X141" s="293" t="s">
        <v>79</v>
      </c>
      <c r="Y141" s="293" t="s">
        <v>310</v>
      </c>
      <c r="Z141" s="298" t="n">
        <v>0.610416666666667</v>
      </c>
      <c r="AA141" s="299" t="n">
        <v>14.268</v>
      </c>
      <c r="AB141" s="299" t="n">
        <v>0.04</v>
      </c>
      <c r="AC141" s="299" t="n">
        <v>0.304</v>
      </c>
      <c r="AD141" s="292" t="n">
        <v>64.3</v>
      </c>
      <c r="AE141" s="291" t="n">
        <v>71</v>
      </c>
      <c r="AF141" s="291" t="n">
        <v>34</v>
      </c>
      <c r="AG141" s="292" t="n">
        <v>0.5</v>
      </c>
      <c r="AH141" s="291" t="n">
        <v>74</v>
      </c>
      <c r="AI141" s="291" t="n">
        <v>42</v>
      </c>
      <c r="AJ141" s="291" t="n">
        <v>177</v>
      </c>
      <c r="AK141" s="292" t="n">
        <v>5.9</v>
      </c>
    </row>
    <row r="142" customFormat="false" ht="15" hidden="false" customHeight="false" outlineLevel="0" collapsed="false">
      <c r="A142" s="287" t="n">
        <v>6</v>
      </c>
      <c r="B142" s="287" t="s">
        <v>69</v>
      </c>
      <c r="C142" s="287" t="s">
        <v>61</v>
      </c>
      <c r="D142" s="288" t="n">
        <v>0.641666666666667</v>
      </c>
      <c r="E142" s="289" t="n">
        <v>5.803</v>
      </c>
      <c r="F142" s="289" t="n">
        <v>0.016</v>
      </c>
      <c r="G142" s="289" t="n">
        <v>0.273</v>
      </c>
      <c r="H142" s="290" t="n">
        <v>164.9</v>
      </c>
      <c r="I142" s="291" t="n">
        <v>36</v>
      </c>
      <c r="J142" s="291" t="n">
        <v>-24</v>
      </c>
      <c r="K142" s="292" t="n">
        <v>-0.7</v>
      </c>
      <c r="L142" s="291" t="n">
        <v>17</v>
      </c>
      <c r="M142" s="90" t="n">
        <v>24</v>
      </c>
      <c r="N142" s="293" t="s">
        <v>71</v>
      </c>
      <c r="O142" s="293" t="s">
        <v>76</v>
      </c>
      <c r="P142" s="294" t="s">
        <v>66</v>
      </c>
      <c r="Q142" s="294" t="n">
        <v>94</v>
      </c>
      <c r="R142" s="290" t="n">
        <v>3.1</v>
      </c>
      <c r="S142" s="294" t="s">
        <v>81</v>
      </c>
      <c r="T142" s="294" t="n">
        <v>8</v>
      </c>
      <c r="U142" s="295"/>
      <c r="V142" s="300"/>
      <c r="W142" s="297" t="n">
        <v>6</v>
      </c>
      <c r="X142" s="293" t="s">
        <v>69</v>
      </c>
      <c r="Y142" s="293" t="s">
        <v>310</v>
      </c>
      <c r="Z142" s="298" t="n">
        <v>0.620833333333333</v>
      </c>
      <c r="AA142" s="299" t="n">
        <v>10.512</v>
      </c>
      <c r="AB142" s="299" t="n">
        <v>0.029</v>
      </c>
      <c r="AC142" s="299" t="n">
        <v>0.33</v>
      </c>
      <c r="AD142" s="292" t="n">
        <v>149.8</v>
      </c>
      <c r="AE142" s="291" t="n">
        <v>98</v>
      </c>
      <c r="AF142" s="291" t="n">
        <v>-53</v>
      </c>
      <c r="AG142" s="292" t="n">
        <v>-0.5</v>
      </c>
      <c r="AH142" s="291" t="n">
        <v>23</v>
      </c>
      <c r="AI142" s="291" t="n">
        <v>61</v>
      </c>
      <c r="AJ142" s="291" t="n">
        <v>177</v>
      </c>
      <c r="AK142" s="292" t="n">
        <v>5.9</v>
      </c>
    </row>
    <row r="143" customFormat="false" ht="15" hidden="false" customHeight="false" outlineLevel="0" collapsed="false">
      <c r="A143" s="287" t="n">
        <v>8</v>
      </c>
      <c r="B143" s="287" t="s">
        <v>79</v>
      </c>
      <c r="C143" s="287" t="s">
        <v>61</v>
      </c>
      <c r="D143" s="288" t="n">
        <v>0.64375</v>
      </c>
      <c r="E143" s="289" t="n">
        <v>3.543</v>
      </c>
      <c r="F143" s="289" t="n">
        <v>0.01</v>
      </c>
      <c r="G143" s="289" t="n">
        <v>0.252</v>
      </c>
      <c r="H143" s="290" t="n">
        <v>185.1</v>
      </c>
      <c r="I143" s="291" t="n">
        <v>7</v>
      </c>
      <c r="J143" s="291" t="n">
        <v>7</v>
      </c>
      <c r="K143" s="292" t="n">
        <v>1</v>
      </c>
      <c r="L143" s="291" t="n">
        <v>100</v>
      </c>
      <c r="M143" s="90" t="n">
        <v>24</v>
      </c>
      <c r="N143" s="293" t="s">
        <v>71</v>
      </c>
      <c r="O143" s="293" t="s">
        <v>76</v>
      </c>
      <c r="P143" s="294" t="s">
        <v>66</v>
      </c>
      <c r="Q143" s="294" t="n">
        <v>94</v>
      </c>
      <c r="R143" s="290" t="n">
        <v>3.1</v>
      </c>
      <c r="S143" s="294" t="s">
        <v>81</v>
      </c>
      <c r="T143" s="294" t="n">
        <v>8</v>
      </c>
      <c r="U143" s="295" t="s">
        <v>91</v>
      </c>
      <c r="V143" s="296"/>
      <c r="W143" s="297" t="n">
        <v>8</v>
      </c>
      <c r="X143" s="293" t="s">
        <v>79</v>
      </c>
      <c r="Y143" s="293" t="s">
        <v>310</v>
      </c>
      <c r="Z143" s="298" t="n">
        <v>0.620833333333333</v>
      </c>
      <c r="AA143" s="299" t="n">
        <v>11.79</v>
      </c>
      <c r="AB143" s="299" t="n">
        <v>0.033</v>
      </c>
      <c r="AC143" s="299" t="n">
        <v>0.33</v>
      </c>
      <c r="AD143" s="292" t="n">
        <v>79.6</v>
      </c>
      <c r="AE143" s="291" t="n">
        <v>105</v>
      </c>
      <c r="AF143" s="291" t="n">
        <v>-32</v>
      </c>
      <c r="AG143" s="292" t="n">
        <v>-0.3</v>
      </c>
      <c r="AH143" s="291" t="n">
        <v>35</v>
      </c>
      <c r="AI143" s="291" t="n">
        <v>41</v>
      </c>
      <c r="AJ143" s="291" t="n">
        <v>177</v>
      </c>
      <c r="AK143" s="292" t="n">
        <v>5.9</v>
      </c>
    </row>
    <row r="144" customFormat="false" ht="15" hidden="false" customHeight="false" outlineLevel="0" collapsed="false">
      <c r="A144" s="287" t="n">
        <v>19</v>
      </c>
      <c r="B144" s="287" t="s">
        <v>74</v>
      </c>
      <c r="C144" s="287" t="s">
        <v>61</v>
      </c>
      <c r="D144" s="288" t="n">
        <v>0.679166666666667</v>
      </c>
      <c r="E144" s="289" t="n">
        <v>6.864</v>
      </c>
      <c r="F144" s="289" t="n">
        <v>0.019</v>
      </c>
      <c r="G144" s="289" t="n">
        <v>0.237</v>
      </c>
      <c r="H144" s="290" t="n">
        <v>57.7</v>
      </c>
      <c r="I144" s="291" t="n">
        <v>31</v>
      </c>
      <c r="J144" s="291" t="n">
        <v>-20</v>
      </c>
      <c r="K144" s="292" t="n">
        <v>-0.6</v>
      </c>
      <c r="L144" s="291" t="n">
        <v>18</v>
      </c>
      <c r="M144" s="90" t="n">
        <v>45</v>
      </c>
      <c r="N144" s="287" t="s">
        <v>64</v>
      </c>
      <c r="O144" s="287" t="s">
        <v>76</v>
      </c>
      <c r="P144" s="294" t="s">
        <v>66</v>
      </c>
      <c r="Q144" s="294" t="n">
        <v>76</v>
      </c>
      <c r="R144" s="294" t="n">
        <v>3</v>
      </c>
      <c r="S144" s="294" t="s">
        <v>81</v>
      </c>
      <c r="T144" s="294" t="n">
        <v>8</v>
      </c>
      <c r="U144" s="295"/>
      <c r="V144" s="300"/>
      <c r="W144" s="297" t="n">
        <v>19</v>
      </c>
      <c r="X144" s="293" t="s">
        <v>69</v>
      </c>
      <c r="Y144" s="293" t="s">
        <v>310</v>
      </c>
      <c r="Z144" s="298" t="n">
        <v>0.649305555555556</v>
      </c>
      <c r="AA144" s="299" t="n">
        <v>7.92</v>
      </c>
      <c r="AB144" s="299" t="n">
        <v>0.022</v>
      </c>
      <c r="AC144" s="299" t="n">
        <v>0.208</v>
      </c>
      <c r="AD144" s="292" t="n">
        <v>65.4</v>
      </c>
      <c r="AE144" s="291" t="n">
        <v>88</v>
      </c>
      <c r="AF144" s="291" t="n">
        <v>-44</v>
      </c>
      <c r="AG144" s="292" t="n">
        <v>-0.5</v>
      </c>
      <c r="AH144" s="291" t="n">
        <v>25</v>
      </c>
      <c r="AI144" s="291" t="n">
        <v>56</v>
      </c>
      <c r="AJ144" s="291" t="n">
        <v>159</v>
      </c>
      <c r="AK144" s="292" t="n">
        <v>5.3</v>
      </c>
    </row>
    <row r="145" customFormat="false" ht="15" hidden="false" customHeight="false" outlineLevel="0" collapsed="false">
      <c r="A145" s="287" t="n">
        <v>27</v>
      </c>
      <c r="B145" s="287" t="s">
        <v>74</v>
      </c>
      <c r="C145" s="287" t="s">
        <v>61</v>
      </c>
      <c r="D145" s="288" t="n">
        <v>0.702083333333333</v>
      </c>
      <c r="E145" s="289" t="n">
        <v>7.273</v>
      </c>
      <c r="F145" s="289" t="n">
        <v>0.02</v>
      </c>
      <c r="G145" s="289" t="n">
        <v>0.28</v>
      </c>
      <c r="H145" s="290" t="n">
        <v>78.8</v>
      </c>
      <c r="I145" s="291" t="n">
        <v>22</v>
      </c>
      <c r="J145" s="291" t="n">
        <v>4</v>
      </c>
      <c r="K145" s="292" t="n">
        <v>0.2</v>
      </c>
      <c r="L145" s="291" t="n">
        <v>60</v>
      </c>
      <c r="M145" s="90" t="n">
        <v>46</v>
      </c>
      <c r="N145" s="287" t="s">
        <v>64</v>
      </c>
      <c r="O145" s="287" t="s">
        <v>76</v>
      </c>
      <c r="P145" s="294" t="s">
        <v>66</v>
      </c>
      <c r="Q145" s="294" t="n">
        <v>68</v>
      </c>
      <c r="R145" s="294" t="n">
        <v>2</v>
      </c>
      <c r="S145" s="294" t="s">
        <v>81</v>
      </c>
      <c r="T145" s="294" t="n">
        <v>8</v>
      </c>
      <c r="U145" s="295"/>
      <c r="V145" s="296"/>
      <c r="W145" s="297" t="n">
        <v>27</v>
      </c>
      <c r="X145" s="293" t="s">
        <v>79</v>
      </c>
      <c r="Y145" s="293" t="s">
        <v>310</v>
      </c>
      <c r="Z145" s="298" t="n">
        <v>0.658333333333333</v>
      </c>
      <c r="AA145" s="299" t="n">
        <v>6.148</v>
      </c>
      <c r="AB145" s="299" t="n">
        <v>0.017</v>
      </c>
      <c r="AC145" s="299" t="n">
        <v>0.279</v>
      </c>
      <c r="AD145" s="292" t="n">
        <v>164.3</v>
      </c>
      <c r="AE145" s="291" t="n">
        <v>72</v>
      </c>
      <c r="AF145" s="291" t="n">
        <v>-33</v>
      </c>
      <c r="AG145" s="292" t="n">
        <v>-0.5</v>
      </c>
      <c r="AH145" s="291" t="n">
        <v>27</v>
      </c>
      <c r="AI145" s="291" t="n">
        <v>58</v>
      </c>
      <c r="AJ145" s="291" t="n">
        <v>151</v>
      </c>
      <c r="AK145" s="292" t="n">
        <v>5</v>
      </c>
    </row>
    <row r="146" customFormat="false" ht="15" hidden="false" customHeight="false" outlineLevel="0" collapsed="false">
      <c r="A146" s="287" t="n">
        <v>31</v>
      </c>
      <c r="B146" s="287" t="s">
        <v>74</v>
      </c>
      <c r="C146" s="287" t="s">
        <v>61</v>
      </c>
      <c r="D146" s="288" t="n">
        <v>0.713888888888889</v>
      </c>
      <c r="E146" s="289" t="n">
        <v>6.293</v>
      </c>
      <c r="F146" s="289" t="n">
        <v>0.017</v>
      </c>
      <c r="G146" s="289" t="n">
        <v>0.229</v>
      </c>
      <c r="H146" s="290" t="n">
        <v>64</v>
      </c>
      <c r="I146" s="291" t="n">
        <v>65</v>
      </c>
      <c r="J146" s="291" t="n">
        <v>-47</v>
      </c>
      <c r="K146" s="292" t="n">
        <v>-0.7</v>
      </c>
      <c r="L146" s="291" t="n">
        <v>13</v>
      </c>
      <c r="M146" s="90" t="n">
        <v>59</v>
      </c>
      <c r="N146" s="287" t="s">
        <v>71</v>
      </c>
      <c r="O146" s="287" t="s">
        <v>76</v>
      </c>
      <c r="P146" s="294" t="s">
        <v>66</v>
      </c>
      <c r="Q146" s="294" t="n">
        <v>68</v>
      </c>
      <c r="R146" s="294" t="n">
        <v>2</v>
      </c>
      <c r="S146" s="294" t="s">
        <v>81</v>
      </c>
      <c r="T146" s="294" t="n">
        <v>8</v>
      </c>
      <c r="U146" s="295"/>
      <c r="V146" s="300"/>
      <c r="W146" s="297" t="n">
        <v>31</v>
      </c>
      <c r="X146" s="293" t="s">
        <v>79</v>
      </c>
      <c r="Y146" s="293" t="s">
        <v>310</v>
      </c>
      <c r="Z146" s="298" t="n">
        <v>0.667361111111111</v>
      </c>
      <c r="AA146" s="299" t="n">
        <v>11.701</v>
      </c>
      <c r="AB146" s="299" t="n">
        <v>0.033</v>
      </c>
      <c r="AC146" s="299" t="n">
        <v>0.336</v>
      </c>
      <c r="AD146" s="292" t="n">
        <v>21.9</v>
      </c>
      <c r="AE146" s="291" t="n">
        <v>45</v>
      </c>
      <c r="AF146" s="291" t="n">
        <v>10</v>
      </c>
      <c r="AG146" s="292" t="n">
        <v>0.2</v>
      </c>
      <c r="AH146" s="291" t="n">
        <v>61</v>
      </c>
      <c r="AI146" s="291" t="n">
        <v>66</v>
      </c>
      <c r="AJ146" s="291" t="n">
        <v>151</v>
      </c>
      <c r="AK146" s="292" t="n">
        <v>5</v>
      </c>
    </row>
    <row r="147" customFormat="false" ht="16" hidden="false" customHeight="false" outlineLevel="0" collapsed="false">
      <c r="A147" s="287" t="n">
        <v>45</v>
      </c>
      <c r="B147" s="287" t="s">
        <v>60</v>
      </c>
      <c r="C147" s="287" t="s">
        <v>61</v>
      </c>
      <c r="D147" s="288" t="n">
        <v>0.756944444444444</v>
      </c>
      <c r="E147" s="289" t="n">
        <v>15.161</v>
      </c>
      <c r="F147" s="289" t="n">
        <v>0.042</v>
      </c>
      <c r="G147" s="289" t="n">
        <v>0.755</v>
      </c>
      <c r="H147" s="290" t="n">
        <v>18.9</v>
      </c>
      <c r="I147" s="291" t="n">
        <v>28</v>
      </c>
      <c r="J147" s="291" t="n">
        <v>5</v>
      </c>
      <c r="K147" s="292" t="n">
        <v>0.2</v>
      </c>
      <c r="L147" s="291" t="n">
        <v>59</v>
      </c>
      <c r="M147" s="90" t="n">
        <v>50</v>
      </c>
      <c r="N147" s="287" t="s">
        <v>71</v>
      </c>
      <c r="O147" s="287" t="s">
        <v>76</v>
      </c>
      <c r="P147" s="294" t="s">
        <v>66</v>
      </c>
      <c r="Q147" s="294" t="n">
        <v>42</v>
      </c>
      <c r="R147" s="294" t="n">
        <v>1</v>
      </c>
      <c r="S147" s="294" t="s">
        <v>81</v>
      </c>
      <c r="T147" s="294" t="n">
        <v>8</v>
      </c>
      <c r="U147" s="295"/>
      <c r="V147" s="296"/>
      <c r="W147" s="297" t="n">
        <v>45</v>
      </c>
      <c r="X147" s="293" t="s">
        <v>69</v>
      </c>
      <c r="Y147" s="293" t="s">
        <v>310</v>
      </c>
      <c r="Z147" s="298" t="n">
        <v>0.704166666666667</v>
      </c>
      <c r="AA147" s="299" t="n">
        <v>10.329</v>
      </c>
      <c r="AB147" s="299" t="n">
        <v>0.029</v>
      </c>
      <c r="AC147" s="299" t="n">
        <v>0.25</v>
      </c>
      <c r="AD147" s="292" t="n">
        <v>32.1</v>
      </c>
      <c r="AE147" s="291" t="n">
        <v>63</v>
      </c>
      <c r="AF147" s="291" t="n">
        <v>-12</v>
      </c>
      <c r="AG147" s="292" t="n">
        <v>-0.2</v>
      </c>
      <c r="AH147" s="291" t="n">
        <v>41</v>
      </c>
      <c r="AI147" s="291" t="n">
        <v>55</v>
      </c>
      <c r="AJ147" s="291" t="n">
        <v>125</v>
      </c>
      <c r="AK147" s="292" t="n">
        <v>4.2</v>
      </c>
    </row>
    <row r="148" s="271" customFormat="true" ht="16" hidden="false" customHeight="false" outlineLevel="0" collapsed="false">
      <c r="A148" s="261" t="s">
        <v>504</v>
      </c>
      <c r="B148" s="262"/>
      <c r="C148" s="262"/>
      <c r="D148" s="262"/>
      <c r="E148" s="265" t="n">
        <f aca="false">AVERAGE(E141:E147)</f>
        <v>9.33057142857143</v>
      </c>
      <c r="F148" s="263"/>
      <c r="G148" s="263"/>
      <c r="H148" s="264"/>
      <c r="I148" s="265" t="n">
        <f aca="false">AVERAGE(I141:I147)</f>
        <v>41.1428571428572</v>
      </c>
      <c r="J148" s="265" t="n">
        <f aca="false">AVERAGE(J141:J147)</f>
        <v>-11.8571428571429</v>
      </c>
      <c r="K148" s="265" t="n">
        <f aca="false">AVERAGE(K141:K147)</f>
        <v>-0.1</v>
      </c>
      <c r="L148" s="265" t="n">
        <f aca="false">AVERAGE(L141:L147)</f>
        <v>44.7142857142857</v>
      </c>
      <c r="M148" s="265" t="n">
        <f aca="false">AVERAGE(M141:M147)</f>
        <v>42.1428571428571</v>
      </c>
      <c r="N148" s="262"/>
      <c r="O148" s="262"/>
      <c r="P148" s="266"/>
      <c r="Q148" s="266"/>
      <c r="R148" s="266"/>
      <c r="S148" s="266"/>
      <c r="T148" s="266"/>
      <c r="U148" s="266"/>
      <c r="V148" s="267"/>
      <c r="W148" s="268"/>
      <c r="X148" s="268"/>
      <c r="Y148" s="268"/>
      <c r="Z148" s="268"/>
      <c r="AA148" s="265" t="n">
        <f aca="false">AVERAGE(AA141:AA147)</f>
        <v>10.3811428571429</v>
      </c>
      <c r="AB148" s="269"/>
      <c r="AC148" s="269"/>
      <c r="AD148" s="270"/>
      <c r="AE148" s="265" t="n">
        <f aca="false">AVERAGE(AE141:AE147)</f>
        <v>77.4285714285714</v>
      </c>
      <c r="AF148" s="265" t="n">
        <f aca="false">AVERAGE(AF141:AF147)</f>
        <v>-18.5714285714286</v>
      </c>
      <c r="AG148" s="265" t="n">
        <f aca="false">AVERAGE(AG141:AG147)</f>
        <v>-0.185714285714286</v>
      </c>
      <c r="AH148" s="265" t="n">
        <f aca="false">AVERAGE(AH141:AH147)</f>
        <v>40.8571428571429</v>
      </c>
      <c r="AI148" s="265" t="n">
        <f aca="false">AVERAGE(AI141:AI147)</f>
        <v>54.1428571428571</v>
      </c>
      <c r="AJ148" s="265"/>
      <c r="AK148" s="270"/>
    </row>
    <row r="149" customFormat="false" ht="13" hidden="false" customHeight="false" outlineLevel="0" collapsed="false">
      <c r="AH149" s="273" t="n">
        <f aca="false">STDEV(AH141:AH147)/SQRT((COUNT(AH141:AH147)))</f>
        <v>7.40150747653274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5078125" defaultRowHeight="13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4.34"/>
    <col collapsed="false" customWidth="true" hidden="false" outlineLevel="0" max="3" min="3" style="0" width="18.33"/>
    <col collapsed="false" customWidth="true" hidden="false" outlineLevel="0" max="4" min="4" style="0" width="19.5"/>
  </cols>
  <sheetData>
    <row r="1" customFormat="false" ht="14" hidden="false" customHeight="false" outlineLevel="0" collapsed="false">
      <c r="A1" s="313" t="s">
        <v>251</v>
      </c>
      <c r="B1" s="314"/>
      <c r="C1" s="313" t="s">
        <v>432</v>
      </c>
      <c r="D1" s="314"/>
    </row>
    <row r="2" customFormat="false" ht="13" hidden="false" customHeight="false" outlineLevel="0" collapsed="false">
      <c r="A2" s="315" t="s">
        <v>543</v>
      </c>
      <c r="B2" s="316" t="s">
        <v>544</v>
      </c>
      <c r="C2" s="316" t="s">
        <v>543</v>
      </c>
      <c r="D2" s="317" t="s">
        <v>544</v>
      </c>
    </row>
    <row r="3" customFormat="false" ht="15" hidden="false" customHeight="false" outlineLevel="0" collapsed="false">
      <c r="A3" s="318" t="s">
        <v>58</v>
      </c>
      <c r="B3" s="319" t="s">
        <v>68</v>
      </c>
      <c r="C3" s="320" t="s">
        <v>58</v>
      </c>
      <c r="D3" s="321" t="s">
        <v>68</v>
      </c>
    </row>
    <row r="4" customFormat="false" ht="15" hidden="false" customHeight="false" outlineLevel="0" collapsed="false">
      <c r="A4" s="318" t="s">
        <v>78</v>
      </c>
      <c r="B4" s="319" t="s">
        <v>73</v>
      </c>
      <c r="C4" s="320" t="s">
        <v>78</v>
      </c>
      <c r="D4" s="321" t="s">
        <v>73</v>
      </c>
    </row>
    <row r="5" customFormat="false" ht="15" hidden="false" customHeight="false" outlineLevel="0" collapsed="false">
      <c r="A5" s="318" t="s">
        <v>82</v>
      </c>
      <c r="B5" s="319" t="s">
        <v>85</v>
      </c>
      <c r="C5" s="320" t="s">
        <v>82</v>
      </c>
      <c r="D5" s="321" t="s">
        <v>85</v>
      </c>
    </row>
    <row r="6" customFormat="false" ht="15" hidden="false" customHeight="false" outlineLevel="0" collapsed="false">
      <c r="A6" s="318" t="s">
        <v>89</v>
      </c>
      <c r="B6" s="319" t="s">
        <v>87</v>
      </c>
      <c r="C6" s="320" t="s">
        <v>89</v>
      </c>
      <c r="D6" s="321" t="s">
        <v>87</v>
      </c>
    </row>
    <row r="7" customFormat="false" ht="15" hidden="false" customHeight="false" outlineLevel="0" collapsed="false">
      <c r="A7" s="318" t="s">
        <v>92</v>
      </c>
      <c r="B7" s="319" t="s">
        <v>96</v>
      </c>
      <c r="C7" s="320" t="s">
        <v>92</v>
      </c>
      <c r="D7" s="321" t="s">
        <v>96</v>
      </c>
    </row>
    <row r="8" customFormat="false" ht="15" hidden="false" customHeight="false" outlineLevel="0" collapsed="false">
      <c r="A8" s="318" t="s">
        <v>102</v>
      </c>
      <c r="B8" s="319" t="s">
        <v>99</v>
      </c>
      <c r="C8" s="320" t="s">
        <v>102</v>
      </c>
      <c r="D8" s="321" t="s">
        <v>99</v>
      </c>
    </row>
    <row r="9" customFormat="false" ht="15" hidden="false" customHeight="false" outlineLevel="0" collapsed="false">
      <c r="A9" s="322" t="s">
        <v>104</v>
      </c>
      <c r="B9" s="319" t="s">
        <v>107</v>
      </c>
      <c r="C9" s="320" t="s">
        <v>107</v>
      </c>
      <c r="D9" s="321" t="s">
        <v>110</v>
      </c>
    </row>
    <row r="10" customFormat="false" ht="15" hidden="false" customHeight="false" outlineLevel="0" collapsed="false">
      <c r="A10" s="318" t="s">
        <v>112</v>
      </c>
      <c r="B10" s="319" t="s">
        <v>110</v>
      </c>
      <c r="C10" s="320" t="s">
        <v>114</v>
      </c>
      <c r="D10" s="321" t="s">
        <v>112</v>
      </c>
    </row>
    <row r="11" customFormat="false" ht="15" hidden="false" customHeight="false" outlineLevel="0" collapsed="false">
      <c r="A11" s="318" t="s">
        <v>114</v>
      </c>
      <c r="B11" s="319" t="s">
        <v>117</v>
      </c>
      <c r="C11" s="320" t="s">
        <v>117</v>
      </c>
      <c r="D11" s="321" t="s">
        <v>119</v>
      </c>
    </row>
    <row r="12" customFormat="false" ht="15" hidden="false" customHeight="false" outlineLevel="0" collapsed="false">
      <c r="A12" s="318" t="s">
        <v>121</v>
      </c>
      <c r="B12" s="319" t="s">
        <v>119</v>
      </c>
      <c r="C12" s="320" t="s">
        <v>123</v>
      </c>
      <c r="D12" s="321" t="s">
        <v>121</v>
      </c>
    </row>
    <row r="13" customFormat="false" ht="15" hidden="false" customHeight="false" outlineLevel="0" collapsed="false">
      <c r="A13" s="318" t="s">
        <v>123</v>
      </c>
      <c r="B13" s="323" t="s">
        <v>126</v>
      </c>
      <c r="C13" s="320" t="s">
        <v>128</v>
      </c>
      <c r="D13" s="321" t="s">
        <v>130</v>
      </c>
    </row>
    <row r="14" customFormat="false" ht="15" hidden="false" customHeight="false" outlineLevel="0" collapsed="false">
      <c r="A14" s="318" t="s">
        <v>130</v>
      </c>
      <c r="B14" s="319" t="s">
        <v>128</v>
      </c>
      <c r="C14" s="320" t="s">
        <v>137</v>
      </c>
      <c r="D14" s="321" t="s">
        <v>135</v>
      </c>
    </row>
    <row r="15" customFormat="false" ht="15" hidden="false" customHeight="false" outlineLevel="0" collapsed="false">
      <c r="A15" s="322" t="s">
        <v>132</v>
      </c>
      <c r="B15" s="319" t="s">
        <v>135</v>
      </c>
      <c r="C15" s="320" t="s">
        <v>139</v>
      </c>
      <c r="D15" s="321" t="s">
        <v>142</v>
      </c>
    </row>
    <row r="16" customFormat="false" ht="15" hidden="false" customHeight="false" outlineLevel="0" collapsed="false">
      <c r="A16" s="318" t="s">
        <v>139</v>
      </c>
      <c r="B16" s="319" t="s">
        <v>137</v>
      </c>
      <c r="C16" s="320" t="s">
        <v>147</v>
      </c>
      <c r="D16" s="321" t="s">
        <v>145</v>
      </c>
    </row>
    <row r="17" customFormat="false" ht="15" hidden="false" customHeight="false" outlineLevel="0" collapsed="false">
      <c r="A17" s="318" t="s">
        <v>142</v>
      </c>
      <c r="B17" s="319" t="s">
        <v>145</v>
      </c>
      <c r="C17" s="320" t="s">
        <v>149</v>
      </c>
      <c r="D17" s="321" t="s">
        <v>151</v>
      </c>
    </row>
    <row r="18" customFormat="false" ht="15" hidden="false" customHeight="false" outlineLevel="0" collapsed="false">
      <c r="A18" s="318" t="s">
        <v>149</v>
      </c>
      <c r="B18" s="319" t="s">
        <v>147</v>
      </c>
      <c r="C18" s="320" t="s">
        <v>158</v>
      </c>
      <c r="D18" s="321" t="s">
        <v>155</v>
      </c>
    </row>
    <row r="19" customFormat="false" ht="15" hidden="false" customHeight="false" outlineLevel="0" collapsed="false">
      <c r="A19" s="318" t="s">
        <v>151</v>
      </c>
      <c r="B19" s="319" t="s">
        <v>155</v>
      </c>
      <c r="C19" s="320" t="s">
        <v>161</v>
      </c>
      <c r="D19" s="321" t="s">
        <v>163</v>
      </c>
    </row>
    <row r="20" customFormat="false" ht="15" hidden="false" customHeight="false" outlineLevel="0" collapsed="false">
      <c r="A20" s="318" t="s">
        <v>161</v>
      </c>
      <c r="B20" s="319" t="s">
        <v>158</v>
      </c>
      <c r="C20" s="320" t="s">
        <v>169</v>
      </c>
      <c r="D20" s="321" t="s">
        <v>166</v>
      </c>
    </row>
    <row r="21" customFormat="false" ht="15" hidden="false" customHeight="false" outlineLevel="0" collapsed="false">
      <c r="A21" s="318" t="s">
        <v>163</v>
      </c>
      <c r="B21" s="319" t="s">
        <v>166</v>
      </c>
      <c r="C21" s="320" t="s">
        <v>172</v>
      </c>
      <c r="D21" s="321" t="s">
        <v>174</v>
      </c>
    </row>
    <row r="22" customFormat="false" ht="15" hidden="false" customHeight="false" outlineLevel="0" collapsed="false">
      <c r="A22" s="318" t="s">
        <v>172</v>
      </c>
      <c r="B22" s="319" t="s">
        <v>169</v>
      </c>
      <c r="C22" s="320" t="s">
        <v>180</v>
      </c>
      <c r="D22" s="321" t="s">
        <v>177</v>
      </c>
    </row>
    <row r="23" customFormat="false" ht="15" hidden="false" customHeight="false" outlineLevel="0" collapsed="false">
      <c r="A23" s="318" t="s">
        <v>174</v>
      </c>
      <c r="B23" s="319" t="s">
        <v>177</v>
      </c>
      <c r="C23" s="320" t="s">
        <v>183</v>
      </c>
      <c r="D23" s="321" t="s">
        <v>185</v>
      </c>
    </row>
    <row r="24" customFormat="false" ht="15" hidden="false" customHeight="false" outlineLevel="0" collapsed="false">
      <c r="A24" s="318" t="s">
        <v>183</v>
      </c>
      <c r="B24" s="319" t="s">
        <v>180</v>
      </c>
      <c r="C24" s="217" t="s">
        <v>58</v>
      </c>
      <c r="D24" s="321" t="s">
        <v>188</v>
      </c>
    </row>
    <row r="25" customFormat="false" ht="15" hidden="false" customHeight="false" outlineLevel="0" collapsed="false">
      <c r="A25" s="318" t="s">
        <v>185</v>
      </c>
      <c r="B25" s="319" t="s">
        <v>188</v>
      </c>
      <c r="C25" s="217" t="s">
        <v>78</v>
      </c>
      <c r="D25" s="324" t="s">
        <v>68</v>
      </c>
    </row>
    <row r="26" customFormat="false" ht="15" hidden="false" customHeight="false" outlineLevel="0" collapsed="false">
      <c r="A26" s="325" t="s">
        <v>58</v>
      </c>
      <c r="B26" s="211" t="s">
        <v>68</v>
      </c>
      <c r="C26" s="217" t="s">
        <v>82</v>
      </c>
      <c r="D26" s="324" t="s">
        <v>73</v>
      </c>
    </row>
    <row r="27" customFormat="false" ht="15" hidden="false" customHeight="false" outlineLevel="0" collapsed="false">
      <c r="A27" s="325" t="s">
        <v>78</v>
      </c>
      <c r="B27" s="211" t="s">
        <v>73</v>
      </c>
      <c r="C27" s="217" t="s">
        <v>89</v>
      </c>
      <c r="D27" s="324" t="s">
        <v>85</v>
      </c>
    </row>
    <row r="28" customFormat="false" ht="15" hidden="false" customHeight="false" outlineLevel="0" collapsed="false">
      <c r="A28" s="325" t="s">
        <v>82</v>
      </c>
      <c r="B28" s="211" t="s">
        <v>85</v>
      </c>
      <c r="C28" s="217" t="s">
        <v>92</v>
      </c>
      <c r="D28" s="324" t="s">
        <v>87</v>
      </c>
    </row>
    <row r="29" customFormat="false" ht="15" hidden="false" customHeight="false" outlineLevel="0" collapsed="false">
      <c r="A29" s="325" t="s">
        <v>89</v>
      </c>
      <c r="B29" s="211" t="s">
        <v>87</v>
      </c>
      <c r="C29" s="217" t="s">
        <v>102</v>
      </c>
      <c r="D29" s="324" t="s">
        <v>96</v>
      </c>
    </row>
    <row r="30" customFormat="false" ht="15" hidden="false" customHeight="false" outlineLevel="0" collapsed="false">
      <c r="A30" s="325" t="s">
        <v>92</v>
      </c>
      <c r="B30" s="211" t="s">
        <v>96</v>
      </c>
      <c r="C30" s="217" t="s">
        <v>107</v>
      </c>
      <c r="D30" s="324" t="s">
        <v>99</v>
      </c>
    </row>
    <row r="31" customFormat="false" ht="15" hidden="false" customHeight="false" outlineLevel="0" collapsed="false">
      <c r="A31" s="325" t="s">
        <v>102</v>
      </c>
      <c r="B31" s="211" t="s">
        <v>99</v>
      </c>
      <c r="C31" s="217" t="s">
        <v>114</v>
      </c>
      <c r="D31" s="324" t="s">
        <v>110</v>
      </c>
    </row>
    <row r="32" customFormat="false" ht="15" hidden="false" customHeight="false" outlineLevel="0" collapsed="false">
      <c r="A32" s="326" t="s">
        <v>104</v>
      </c>
      <c r="B32" s="211" t="s">
        <v>107</v>
      </c>
      <c r="C32" s="217" t="s">
        <v>117</v>
      </c>
      <c r="D32" s="324" t="s">
        <v>112</v>
      </c>
    </row>
    <row r="33" customFormat="false" ht="15" hidden="false" customHeight="false" outlineLevel="0" collapsed="false">
      <c r="A33" s="325" t="s">
        <v>112</v>
      </c>
      <c r="B33" s="211" t="s">
        <v>110</v>
      </c>
      <c r="C33" s="217" t="s">
        <v>123</v>
      </c>
      <c r="D33" s="324" t="s">
        <v>119</v>
      </c>
    </row>
    <row r="34" customFormat="false" ht="15" hidden="false" customHeight="false" outlineLevel="0" collapsed="false">
      <c r="A34" s="325" t="s">
        <v>114</v>
      </c>
      <c r="B34" s="211" t="s">
        <v>117</v>
      </c>
      <c r="C34" s="217" t="s">
        <v>128</v>
      </c>
      <c r="D34" s="324" t="s">
        <v>121</v>
      </c>
    </row>
    <row r="35" customFormat="false" ht="15" hidden="false" customHeight="false" outlineLevel="0" collapsed="false">
      <c r="A35" s="325" t="s">
        <v>121</v>
      </c>
      <c r="B35" s="211" t="s">
        <v>119</v>
      </c>
      <c r="C35" s="217" t="s">
        <v>137</v>
      </c>
      <c r="D35" s="324" t="s">
        <v>130</v>
      </c>
    </row>
    <row r="36" customFormat="false" ht="15" hidden="false" customHeight="false" outlineLevel="0" collapsed="false">
      <c r="A36" s="325" t="s">
        <v>123</v>
      </c>
      <c r="B36" s="218" t="s">
        <v>126</v>
      </c>
      <c r="C36" s="217" t="s">
        <v>139</v>
      </c>
      <c r="D36" s="324" t="s">
        <v>135</v>
      </c>
    </row>
    <row r="37" customFormat="false" ht="15" hidden="false" customHeight="false" outlineLevel="0" collapsed="false">
      <c r="A37" s="325" t="s">
        <v>130</v>
      </c>
      <c r="B37" s="211" t="s">
        <v>128</v>
      </c>
      <c r="C37" s="217" t="s">
        <v>147</v>
      </c>
      <c r="D37" s="324" t="s">
        <v>142</v>
      </c>
    </row>
    <row r="38" customFormat="false" ht="15" hidden="false" customHeight="false" outlineLevel="0" collapsed="false">
      <c r="A38" s="326" t="s">
        <v>132</v>
      </c>
      <c r="B38" s="211" t="s">
        <v>135</v>
      </c>
      <c r="C38" s="217" t="s">
        <v>149</v>
      </c>
      <c r="D38" s="324" t="s">
        <v>145</v>
      </c>
    </row>
    <row r="39" customFormat="false" ht="15" hidden="false" customHeight="false" outlineLevel="0" collapsed="false">
      <c r="A39" s="325" t="s">
        <v>139</v>
      </c>
      <c r="B39" s="211" t="s">
        <v>137</v>
      </c>
      <c r="C39" s="217" t="s">
        <v>158</v>
      </c>
      <c r="D39" s="324" t="s">
        <v>151</v>
      </c>
    </row>
    <row r="40" customFormat="false" ht="15" hidden="false" customHeight="false" outlineLevel="0" collapsed="false">
      <c r="A40" s="325" t="s">
        <v>142</v>
      </c>
      <c r="B40" s="211" t="s">
        <v>145</v>
      </c>
      <c r="C40" s="217" t="s">
        <v>161</v>
      </c>
      <c r="D40" s="324" t="s">
        <v>155</v>
      </c>
    </row>
    <row r="41" customFormat="false" ht="15" hidden="false" customHeight="false" outlineLevel="0" collapsed="false">
      <c r="A41" s="325" t="s">
        <v>149</v>
      </c>
      <c r="B41" s="211" t="s">
        <v>147</v>
      </c>
      <c r="C41" s="217" t="s">
        <v>169</v>
      </c>
      <c r="D41" s="324" t="s">
        <v>163</v>
      </c>
    </row>
    <row r="42" customFormat="false" ht="15" hidden="false" customHeight="false" outlineLevel="0" collapsed="false">
      <c r="A42" s="325" t="s">
        <v>151</v>
      </c>
      <c r="B42" s="211" t="s">
        <v>155</v>
      </c>
      <c r="C42" s="217" t="s">
        <v>172</v>
      </c>
      <c r="D42" s="324" t="s">
        <v>166</v>
      </c>
    </row>
    <row r="43" customFormat="false" ht="15" hidden="false" customHeight="false" outlineLevel="0" collapsed="false">
      <c r="A43" s="325" t="s">
        <v>161</v>
      </c>
      <c r="B43" s="211" t="s">
        <v>158</v>
      </c>
      <c r="C43" s="217" t="s">
        <v>180</v>
      </c>
      <c r="D43" s="324" t="s">
        <v>174</v>
      </c>
    </row>
    <row r="44" customFormat="false" ht="15" hidden="false" customHeight="false" outlineLevel="0" collapsed="false">
      <c r="A44" s="325" t="s">
        <v>163</v>
      </c>
      <c r="B44" s="211" t="s">
        <v>166</v>
      </c>
      <c r="C44" s="217" t="s">
        <v>183</v>
      </c>
      <c r="D44" s="324" t="s">
        <v>177</v>
      </c>
    </row>
    <row r="45" customFormat="false" ht="15" hidden="false" customHeight="false" outlineLevel="0" collapsed="false">
      <c r="A45" s="325" t="s">
        <v>172</v>
      </c>
      <c r="B45" s="211" t="s">
        <v>169</v>
      </c>
      <c r="C45" s="327"/>
      <c r="D45" s="324" t="s">
        <v>185</v>
      </c>
    </row>
    <row r="46" customFormat="false" ht="15" hidden="false" customHeight="false" outlineLevel="0" collapsed="false">
      <c r="A46" s="325" t="s">
        <v>174</v>
      </c>
      <c r="B46" s="211" t="s">
        <v>177</v>
      </c>
      <c r="C46" s="327"/>
      <c r="D46" s="324" t="s">
        <v>188</v>
      </c>
    </row>
    <row r="47" customFormat="false" ht="15" hidden="false" customHeight="false" outlineLevel="0" collapsed="false">
      <c r="A47" s="325" t="s">
        <v>183</v>
      </c>
      <c r="B47" s="211" t="s">
        <v>180</v>
      </c>
      <c r="C47" s="327"/>
      <c r="D47" s="328"/>
    </row>
    <row r="48" customFormat="false" ht="16" hidden="false" customHeight="false" outlineLevel="0" collapsed="false">
      <c r="A48" s="329" t="s">
        <v>185</v>
      </c>
      <c r="B48" s="330" t="s">
        <v>188</v>
      </c>
      <c r="C48" s="331"/>
      <c r="D48" s="3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LibreOffice/7.2.2.2$Linux_X86_64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2020-09-24T08:15:10Z</dcterms:created>
  <dc:creator>Microsoft Office User</dc:creator>
  <dc:description/>
  <dc:language>en-US</dc:language>
  <cp:lastModifiedBy/>
  <dcterms:modified xsi:type="dcterms:W3CDTF">2021-11-02T23:08:33Z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