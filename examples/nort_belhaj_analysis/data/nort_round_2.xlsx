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T2_30.08.20" sheetId="1" state="visible" r:id="rId2"/>
    <sheet name="NORT2_23.11.2020 (after)" sheetId="2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<sst xmlns="http://schemas.openxmlformats.org/spreadsheetml/2006/main" count="2288" uniqueCount="423">
  <si>
    <t xml:space="preserve">Test</t>
  </si>
  <si>
    <t xml:space="preserve">Animal</t>
  </si>
  <si>
    <t xml:space="preserve">Stage</t>
  </si>
  <si>
    <t xml:space="preserve">Apparatus</t>
  </si>
  <si>
    <t xml:space="preserve">Date</t>
  </si>
  <si>
    <t xml:space="preserve">Time</t>
  </si>
  <si>
    <t xml:space="preserve">Video_file_name</t>
  </si>
  <si>
    <t xml:space="preserve">Duration</t>
  </si>
  <si>
    <t xml:space="preserve">Distance</t>
  </si>
  <si>
    <t xml:space="preserve">Mean_speed</t>
  </si>
  <si>
    <t xml:space="preserve">Max_speed</t>
  </si>
  <si>
    <t xml:space="preserve">Time_freezing</t>
  </si>
  <si>
    <t xml:space="preserve">Object_A_._head_entries</t>
  </si>
  <si>
    <t xml:space="preserve">Object_A_._head_time</t>
  </si>
  <si>
    <t xml:space="preserve">Object_A_._distance</t>
  </si>
  <si>
    <t xml:space="preserve">Object_A_._average_speed</t>
  </si>
  <si>
    <t xml:space="preserve">Object_A_._max_speed</t>
  </si>
  <si>
    <t xml:space="preserve">Object_A_._in_zone_oriented_to_centre</t>
  </si>
  <si>
    <t xml:space="preserve">Object_A_._Absolute_head_turn_angle</t>
  </si>
  <si>
    <t xml:space="preserve">Object_A_._time_freezing</t>
  </si>
  <si>
    <t xml:space="preserve">Object_A_._time_head_in_._centre_out</t>
  </si>
  <si>
    <t xml:space="preserve">Object_B_._head_entries</t>
  </si>
  <si>
    <t xml:space="preserve">Object_B_._head_time</t>
  </si>
  <si>
    <t xml:space="preserve">Object_B_._distance</t>
  </si>
  <si>
    <t xml:space="preserve">Object_B_._average_speed</t>
  </si>
  <si>
    <t xml:space="preserve">Object_B_._max_speed</t>
  </si>
  <si>
    <t xml:space="preserve">Object_B_._in_zone_oriented_to_centre</t>
  </si>
  <si>
    <t xml:space="preserve">Object_B_._Absolute_head_turn_angle</t>
  </si>
  <si>
    <t xml:space="preserve">Object_B_._time_freezing</t>
  </si>
  <si>
    <t xml:space="preserve">Object_B_._time_head_in_._centre_out</t>
  </si>
  <si>
    <t xml:space="preserve">Inside_._entries</t>
  </si>
  <si>
    <t xml:space="preserve">Inside_._time</t>
  </si>
  <si>
    <t xml:space="preserve">Inside_._distance</t>
  </si>
  <si>
    <t xml:space="preserve">Inside_._average_speed</t>
  </si>
  <si>
    <t xml:space="preserve">Inside_._time_freezing</t>
  </si>
  <si>
    <t xml:space="preserve">Outside_._entries</t>
  </si>
  <si>
    <t xml:space="preserve">Outside_._time</t>
  </si>
  <si>
    <t xml:space="preserve">Outside_._distance</t>
  </si>
  <si>
    <t xml:space="preserve">Outside_._average_speed</t>
  </si>
  <si>
    <t xml:space="preserve">Outside_._time_freezing</t>
  </si>
  <si>
    <t xml:space="preserve">Relative time Inside</t>
  </si>
  <si>
    <t xml:space="preserve">Relative time Outside</t>
  </si>
  <si>
    <t xml:space="preserve">Relative distance Inside</t>
  </si>
  <si>
    <t xml:space="preserve">Relative distance Outside</t>
  </si>
  <si>
    <t xml:space="preserve">E1: total exploration time in first trial (E1 = A1 + B1)</t>
  </si>
  <si>
    <t xml:space="preserve">E2: total exploration time in second trial E2 ( E2 = A2 + B2)</t>
  </si>
  <si>
    <t xml:space="preserve">D1: Absolute discrimination measure (D1 = B2- A2)</t>
  </si>
  <si>
    <t xml:space="preserve">D2: Discrimination index (D2 = D1/E2)</t>
  </si>
  <si>
    <t xml:space="preserve">D3: Novelty preference (D3 = B2/E2*100)</t>
  </si>
  <si>
    <t xml:space="preserve">Object bias score = (time exploring the object A/total time exploring both objects A1 and B1)*100</t>
  </si>
  <si>
    <t xml:space="preserve">Sex</t>
  </si>
  <si>
    <t xml:space="preserve">HCAR1</t>
  </si>
  <si>
    <t xml:space="preserve">VXFAD</t>
  </si>
  <si>
    <t xml:space="preserve">Age (days)</t>
  </si>
  <si>
    <t xml:space="preserve">Age (months)</t>
  </si>
  <si>
    <t xml:space="preserve">Treatment</t>
  </si>
  <si>
    <t xml:space="preserve">Group</t>
  </si>
  <si>
    <t xml:space="preserve">All comments</t>
  </si>
  <si>
    <t xml:space="preserve">47</t>
  </si>
  <si>
    <t xml:space="preserve">Training (identical objects) T1</t>
  </si>
  <si>
    <t xml:space="preserve">Open-Field-1</t>
  </si>
  <si>
    <t xml:space="preserve">31.08.2020</t>
  </si>
  <si>
    <t xml:space="preserve">09:24</t>
  </si>
  <si>
    <t xml:space="preserve">NORT 30.08.2020 videos\Test 39.szv</t>
  </si>
  <si>
    <t xml:space="preserve">Male</t>
  </si>
  <si>
    <t xml:space="preserve"> -/-</t>
  </si>
  <si>
    <t xml:space="preserve">tg</t>
  </si>
  <si>
    <t xml:space="preserve">PBS</t>
  </si>
  <si>
    <t xml:space="preserve">aggressive</t>
  </si>
  <si>
    <t xml:space="preserve">48</t>
  </si>
  <si>
    <t xml:space="preserve">Open-Field-2</t>
  </si>
  <si>
    <t xml:space="preserve">NORT 30.08.2020 videos\Test 38.szv</t>
  </si>
  <si>
    <t xml:space="preserve">49</t>
  </si>
  <si>
    <t xml:space="preserve">Open-Field-3</t>
  </si>
  <si>
    <t xml:space="preserve">NORT 30.08.2020 videos\Test 40.szv</t>
  </si>
  <si>
    <t xml:space="preserve">barbed on chest</t>
  </si>
  <si>
    <t xml:space="preserve">50</t>
  </si>
  <si>
    <t xml:space="preserve">Open-Field-4</t>
  </si>
  <si>
    <t xml:space="preserve">NORT 30.08.2020 videos\Test 41.szv</t>
  </si>
  <si>
    <t xml:space="preserve">Female</t>
  </si>
  <si>
    <t xml:space="preserve">lactate</t>
  </si>
  <si>
    <t xml:space="preserve">seizure, stereotypic</t>
  </si>
  <si>
    <t xml:space="preserve">51</t>
  </si>
  <si>
    <t xml:space="preserve">09:38</t>
  </si>
  <si>
    <t xml:space="preserve">NORT 30.08.2020 videos\Test 43.szv</t>
  </si>
  <si>
    <t xml:space="preserve">stereotypic running</t>
  </si>
  <si>
    <t xml:space="preserve">52</t>
  </si>
  <si>
    <t xml:space="preserve">09:37</t>
  </si>
  <si>
    <t xml:space="preserve">NORT 30.08.2020 videos\Test 42.szv</t>
  </si>
  <si>
    <t xml:space="preserve">53</t>
  </si>
  <si>
    <t xml:space="preserve">NORT 30.08.2020 videos\Test 44.szv</t>
  </si>
  <si>
    <t xml:space="preserve">54</t>
  </si>
  <si>
    <t xml:space="preserve">NORT 30.08.2020 videos\Test 45.szv</t>
  </si>
  <si>
    <t xml:space="preserve">wt</t>
  </si>
  <si>
    <t xml:space="preserve">OBS: alone</t>
  </si>
  <si>
    <t xml:space="preserve">55</t>
  </si>
  <si>
    <t xml:space="preserve">09:52</t>
  </si>
  <si>
    <t xml:space="preserve">NORT 30.08.2020 videos\Test 47.szv</t>
  </si>
  <si>
    <t xml:space="preserve">56</t>
  </si>
  <si>
    <t xml:space="preserve">NORT 30.08.2020 videos\Test 46.szv</t>
  </si>
  <si>
    <t xml:space="preserve">57</t>
  </si>
  <si>
    <t xml:space="preserve">09:53</t>
  </si>
  <si>
    <t xml:space="preserve">NORT 30.08.2020 videos\Test 48.szv</t>
  </si>
  <si>
    <t xml:space="preserve">58</t>
  </si>
  <si>
    <t xml:space="preserve">NORT 30.08.2020 videos\Test 49.szv</t>
  </si>
  <si>
    <t xml:space="preserve"> +/-</t>
  </si>
  <si>
    <t xml:space="preserve">59</t>
  </si>
  <si>
    <t xml:space="preserve">10:05</t>
  </si>
  <si>
    <t xml:space="preserve">NORT 30.08.2020 videos\Test 51.szv</t>
  </si>
  <si>
    <t xml:space="preserve">60</t>
  </si>
  <si>
    <t xml:space="preserve">NORT 30.08.2020 videos\Test 50.szv</t>
  </si>
  <si>
    <t xml:space="preserve">61</t>
  </si>
  <si>
    <t xml:space="preserve">NORT 30.08.2020 videos\Test 52.szv</t>
  </si>
  <si>
    <t xml:space="preserve">62</t>
  </si>
  <si>
    <t xml:space="preserve">10:06</t>
  </si>
  <si>
    <t xml:space="preserve">NORT 30.08.2020 videos\Test 53.szv</t>
  </si>
  <si>
    <t xml:space="preserve">63</t>
  </si>
  <si>
    <t xml:space="preserve">10:21</t>
  </si>
  <si>
    <t xml:space="preserve">NORT 30.08.2020 videos\Test 55.szv</t>
  </si>
  <si>
    <t xml:space="preserve">+/-</t>
  </si>
  <si>
    <t xml:space="preserve">fighting</t>
  </si>
  <si>
    <t xml:space="preserve">64</t>
  </si>
  <si>
    <t xml:space="preserve">NORT 30.08.2020 videos\Test 54.szv</t>
  </si>
  <si>
    <t xml:space="preserve">-/-</t>
  </si>
  <si>
    <t xml:space="preserve">65</t>
  </si>
  <si>
    <t xml:space="preserve">NORT 30.08.2020 videos\Test 56.szv</t>
  </si>
  <si>
    <t xml:space="preserve">66</t>
  </si>
  <si>
    <t xml:space="preserve">NORT 30.08.2020 videos\Test 57.szv</t>
  </si>
  <si>
    <t xml:space="preserve">67</t>
  </si>
  <si>
    <t xml:space="preserve">10:36</t>
  </si>
  <si>
    <t xml:space="preserve">NORT 30.08.2020 videos\Test 59.szv</t>
  </si>
  <si>
    <t xml:space="preserve"> +/+</t>
  </si>
  <si>
    <t xml:space="preserve">68</t>
  </si>
  <si>
    <t xml:space="preserve">NORT 30.08.2020 videos\Test 58.szv</t>
  </si>
  <si>
    <t xml:space="preserve">69</t>
  </si>
  <si>
    <t xml:space="preserve">10:37</t>
  </si>
  <si>
    <t xml:space="preserve">NORT 30.08.2020 videos\Test 60.szv</t>
  </si>
  <si>
    <t xml:space="preserve">70</t>
  </si>
  <si>
    <t xml:space="preserve">NORT 30.08.2020 videos\Test 61.szv</t>
  </si>
  <si>
    <t xml:space="preserve">71</t>
  </si>
  <si>
    <t xml:space="preserve">10:53</t>
  </si>
  <si>
    <t xml:space="preserve">NORT 30.08.2020 videos\Test 63.szv</t>
  </si>
  <si>
    <t xml:space="preserve">72</t>
  </si>
  <si>
    <t xml:space="preserve">NORT 30.08.2020 videos\Test 62.szv</t>
  </si>
  <si>
    <t xml:space="preserve">73</t>
  </si>
  <si>
    <t xml:space="preserve">NORT 30.08.2020 videos\Test 64.szv</t>
  </si>
  <si>
    <t xml:space="preserve">74</t>
  </si>
  <si>
    <t xml:space="preserve">10:54</t>
  </si>
  <si>
    <t xml:space="preserve">NORT 30.08.2020 videos\Test 65.szv</t>
  </si>
  <si>
    <t xml:space="preserve">75</t>
  </si>
  <si>
    <t xml:space="preserve">11:09</t>
  </si>
  <si>
    <t xml:space="preserve">NORT 30.08.2020 videos\Test 67.szv</t>
  </si>
  <si>
    <t xml:space="preserve">76</t>
  </si>
  <si>
    <t xml:space="preserve">NORT 30.08.2020 videos\Test 66.szv</t>
  </si>
  <si>
    <t xml:space="preserve">77</t>
  </si>
  <si>
    <t xml:space="preserve">11:10</t>
  </si>
  <si>
    <t xml:space="preserve">NORT 30.08.2020 videos\Test 68.szv</t>
  </si>
  <si>
    <t xml:space="preserve">78</t>
  </si>
  <si>
    <t xml:space="preserve">NORT 30.08.2020 videos\Test 69.szv</t>
  </si>
  <si>
    <t xml:space="preserve">79</t>
  </si>
  <si>
    <t xml:space="preserve">11:25</t>
  </si>
  <si>
    <t xml:space="preserve">NORT 30.08.2020 videos\Test 71.szv</t>
  </si>
  <si>
    <t xml:space="preserve">80</t>
  </si>
  <si>
    <t xml:space="preserve">NORT 30.08.2020 videos\Test 70.szv</t>
  </si>
  <si>
    <t xml:space="preserve">81</t>
  </si>
  <si>
    <t xml:space="preserve">NORT 30.08.2020 videos\Test 72.szv</t>
  </si>
  <si>
    <t xml:space="preserve">82</t>
  </si>
  <si>
    <t xml:space="preserve">11:26</t>
  </si>
  <si>
    <t xml:space="preserve">NORT 30.08.2020 videos\Test 73.szv</t>
  </si>
  <si>
    <t xml:space="preserve">83</t>
  </si>
  <si>
    <t xml:space="preserve">11:38</t>
  </si>
  <si>
    <t xml:space="preserve">NORT 30.08.2020 videos\Test 74.szv</t>
  </si>
  <si>
    <t xml:space="preserve">Test (novel object) T2</t>
  </si>
  <si>
    <t xml:space="preserve">14:30</t>
  </si>
  <si>
    <t xml:space="preserve">NORT 30.08.2020 videos\Test 76.szv</t>
  </si>
  <si>
    <t xml:space="preserve">NORT 30.08.2020 videos\Test 75.szv</t>
  </si>
  <si>
    <t xml:space="preserve">NORT 30.08.2020 videos\Test 77.szv</t>
  </si>
  <si>
    <t xml:space="preserve">NORT 30.08.2020 videos\Test 78.szv</t>
  </si>
  <si>
    <t xml:space="preserve">14:46</t>
  </si>
  <si>
    <t xml:space="preserve">NORT 30.08.2020 videos\Test 80.szv</t>
  </si>
  <si>
    <t xml:space="preserve">NORT 30.08.2020 videos\Test 79.szv</t>
  </si>
  <si>
    <t xml:space="preserve">NORT 30.08.2020 videos\Test 81.szv</t>
  </si>
  <si>
    <t xml:space="preserve">NORT 30.08.2020 videos\Test 82.szv</t>
  </si>
  <si>
    <t xml:space="preserve">14:59</t>
  </si>
  <si>
    <t xml:space="preserve">NORT 30.08.2020 videos\Test 84.szv</t>
  </si>
  <si>
    <t xml:space="preserve">NORT 30.08.2020 videos\Test 83.szv</t>
  </si>
  <si>
    <t xml:space="preserve">NORT 30.08.2020 videos\Test 85.szv</t>
  </si>
  <si>
    <t xml:space="preserve">NORT 30.08.2020 videos\Test 86.szv</t>
  </si>
  <si>
    <t xml:space="preserve">15:12</t>
  </si>
  <si>
    <t xml:space="preserve">NORT 30.08.2020 videos\Test 88.szv</t>
  </si>
  <si>
    <t xml:space="preserve">NORT 30.08.2020 videos\Test 87.szv</t>
  </si>
  <si>
    <t xml:space="preserve">NORT 30.08.2020 videos\Test 89.szv</t>
  </si>
  <si>
    <t xml:space="preserve">NORT 30.08.2020 videos\Test 90.szv</t>
  </si>
  <si>
    <t xml:space="preserve">15:26</t>
  </si>
  <si>
    <t xml:space="preserve">NORT 30.08.2020 videos\Test 92.szv</t>
  </si>
  <si>
    <t xml:space="preserve">NORT 30.08.2020 videos\Test 91.szv</t>
  </si>
  <si>
    <t xml:space="preserve">NORT 30.08.2020 videos\Test 93.szv</t>
  </si>
  <si>
    <t xml:space="preserve">15:27</t>
  </si>
  <si>
    <t xml:space="preserve">NORT 30.08.2020 videos\Test 94.szv</t>
  </si>
  <si>
    <t xml:space="preserve">15:40</t>
  </si>
  <si>
    <t xml:space="preserve">NORT 30.08.2020 videos\Test 96.szv</t>
  </si>
  <si>
    <t xml:space="preserve">NORT 30.08.2020 videos\Test 95.szv</t>
  </si>
  <si>
    <t xml:space="preserve">15:41</t>
  </si>
  <si>
    <t xml:space="preserve">NORT 30.08.2020 videos\Test 97.szv</t>
  </si>
  <si>
    <t xml:space="preserve">NORT 30.08.2020 videos\Test 98.szv</t>
  </si>
  <si>
    <t xml:space="preserve">15:56</t>
  </si>
  <si>
    <t xml:space="preserve">NORT 30.08.2020 videos\Test 100.szv</t>
  </si>
  <si>
    <t xml:space="preserve">NORT 30.08.2020 videos\Test 99.szv</t>
  </si>
  <si>
    <t xml:space="preserve">15:57</t>
  </si>
  <si>
    <t xml:space="preserve">NORT 30.08.2020 videos\Test 101.szv</t>
  </si>
  <si>
    <t xml:space="preserve">NORT 30.08.2020 videos\Test 102.szv</t>
  </si>
  <si>
    <t xml:space="preserve">16:10</t>
  </si>
  <si>
    <t xml:space="preserve">NORT 30.08.2020 videos\Test 104.szv</t>
  </si>
  <si>
    <t xml:space="preserve">NORT 30.08.2020 videos\Test 103.szv</t>
  </si>
  <si>
    <t xml:space="preserve">NORT 30.08.2020 videos\Test 105.szv</t>
  </si>
  <si>
    <t xml:space="preserve">NORT 30.08.2020 videos\Test 106.szv</t>
  </si>
  <si>
    <t xml:space="preserve">16:22</t>
  </si>
  <si>
    <t xml:space="preserve">NORT 30.08.2020 videos\Test 108.szv</t>
  </si>
  <si>
    <t xml:space="preserve">NORT 30.08.2020 videos\Test 107.szv</t>
  </si>
  <si>
    <t xml:space="preserve">16:23</t>
  </si>
  <si>
    <t xml:space="preserve">NORT 30.08.2020 videos\Test 109.szv</t>
  </si>
  <si>
    <t xml:space="preserve">NORT 30.08.2020 videos\Test 110.szv</t>
  </si>
  <si>
    <t xml:space="preserve">16:33</t>
  </si>
  <si>
    <t xml:space="preserve">NORT 30.08.2020 videos\Test 111.szv</t>
  </si>
  <si>
    <t xml:space="preserve">Habituation</t>
  </si>
  <si>
    <t xml:space="preserve">30.08.2020</t>
  </si>
  <si>
    <t xml:space="preserve">13:11</t>
  </si>
  <si>
    <t xml:space="preserve">NORT 30.08.2020 videos\Test 2.szv</t>
  </si>
  <si>
    <t xml:space="preserve">13:10</t>
  </si>
  <si>
    <t xml:space="preserve">NORT 30.08.2020 videos\Test 1.szv</t>
  </si>
  <si>
    <t xml:space="preserve">NORT 30.08.2020 videos\Test 3.szv</t>
  </si>
  <si>
    <t xml:space="preserve">NORT 30.08.2020 videos\Test 4.szv</t>
  </si>
  <si>
    <t xml:space="preserve">13:21</t>
  </si>
  <si>
    <t xml:space="preserve">NORT 30.08.2020 videos\Test 6.szv</t>
  </si>
  <si>
    <t xml:space="preserve">NORT 30.08.2020 videos\Test 5.szv</t>
  </si>
  <si>
    <t xml:space="preserve">13:22</t>
  </si>
  <si>
    <t xml:space="preserve">NORT 30.08.2020 videos\Test 7.szv</t>
  </si>
  <si>
    <t xml:space="preserve">NORT 30.08.2020 videos\Test 8.szv</t>
  </si>
  <si>
    <t xml:space="preserve">13:33</t>
  </si>
  <si>
    <t xml:space="preserve">NORT 30.08.2020 videos\Test 10.szv</t>
  </si>
  <si>
    <t xml:space="preserve">NORT 30.08.2020 videos\Test 9.szv</t>
  </si>
  <si>
    <t xml:space="preserve">13:34</t>
  </si>
  <si>
    <t xml:space="preserve">NORT 30.08.2020 videos\Test 11.szv</t>
  </si>
  <si>
    <t xml:space="preserve">NORT 30.08.2020 videos\Test 12.szv</t>
  </si>
  <si>
    <t xml:space="preserve">13:43</t>
  </si>
  <si>
    <t xml:space="preserve">NORT 30.08.2020 videos\Test 14.szv</t>
  </si>
  <si>
    <t xml:space="preserve">NORT 30.08.2020 videos\Test 13.szv</t>
  </si>
  <si>
    <t xml:space="preserve">13:44</t>
  </si>
  <si>
    <t xml:space="preserve">NORT 30.08.2020 videos\Test 15.szv</t>
  </si>
  <si>
    <t xml:space="preserve">NORT 30.08.2020 videos\Test 16.szv</t>
  </si>
  <si>
    <t xml:space="preserve">13:55</t>
  </si>
  <si>
    <t xml:space="preserve">NORT 30.08.2020 videos\Test 18.szv</t>
  </si>
  <si>
    <t xml:space="preserve">NORT 30.08.2020 videos\Test 17.szv</t>
  </si>
  <si>
    <t xml:space="preserve">NORT 30.08.2020 videos\Test 19.szv</t>
  </si>
  <si>
    <t xml:space="preserve">NORT 30.08.2020 videos\Test 20.szv</t>
  </si>
  <si>
    <t xml:space="preserve">14:07</t>
  </si>
  <si>
    <t xml:space="preserve">NORT 30.08.2020 videos\Test 22.szv</t>
  </si>
  <si>
    <t xml:space="preserve">NORT 30.08.2020 videos\Test 21.szv</t>
  </si>
  <si>
    <t xml:space="preserve">14:08</t>
  </si>
  <si>
    <t xml:space="preserve">NORT 30.08.2020 videos\Test 23.szv</t>
  </si>
  <si>
    <t xml:space="preserve">NORT 30.08.2020 videos\Test 24.szv</t>
  </si>
  <si>
    <t xml:space="preserve">14:21</t>
  </si>
  <si>
    <t xml:space="preserve">NORT 30.08.2020 videos\Test 26.szv</t>
  </si>
  <si>
    <t xml:space="preserve">NORT 30.08.2020 videos\Test 25.szv</t>
  </si>
  <si>
    <t xml:space="preserve">NORT 30.08.2020 videos\Test 27.szv</t>
  </si>
  <si>
    <t xml:space="preserve">14:22</t>
  </si>
  <si>
    <t xml:space="preserve">NORT 30.08.2020 videos\Test 28.szv</t>
  </si>
  <si>
    <t xml:space="preserve">14:36</t>
  </si>
  <si>
    <t xml:space="preserve">NORT 30.08.2020 videos\Test 30.szv</t>
  </si>
  <si>
    <t xml:space="preserve">NORT 30.08.2020 videos\Test 29.szv</t>
  </si>
  <si>
    <t xml:space="preserve">NORT 30.08.2020 videos\Test 31.szv</t>
  </si>
  <si>
    <t xml:space="preserve">14:37</t>
  </si>
  <si>
    <t xml:space="preserve">NORT 30.08.2020 videos\Test 32.szv</t>
  </si>
  <si>
    <t xml:space="preserve">14:47</t>
  </si>
  <si>
    <t xml:space="preserve">NORT 30.08.2020 videos\Test 34.szv</t>
  </si>
  <si>
    <t xml:space="preserve">NORT 30.08.2020 videos\Test 33.szv</t>
  </si>
  <si>
    <t xml:space="preserve">NORT 30.08.2020 videos\Test 35.szv</t>
  </si>
  <si>
    <t xml:space="preserve">14:48</t>
  </si>
  <si>
    <t xml:space="preserve">NORT 30.08.2020 videos\Test 36.szv</t>
  </si>
  <si>
    <t xml:space="preserve">15:01</t>
  </si>
  <si>
    <t xml:space="preserve">NORT 30.08.2020 videos\Test 37.szv</t>
  </si>
  <si>
    <t xml:space="preserve">5XFAD</t>
  </si>
  <si>
    <t xml:space="preserve">24.11.2020</t>
  </si>
  <si>
    <t xml:space="preserve">09:26</t>
  </si>
  <si>
    <t xml:space="preserve">NORT_23.11.2020 videos\Test 35.szv</t>
  </si>
  <si>
    <t xml:space="preserve">NORT_23.11.2020 videos\Test 36.szv</t>
  </si>
  <si>
    <t xml:space="preserve">09:27</t>
  </si>
  <si>
    <t xml:space="preserve">NORT_23.11.2020 videos\Test 38.szv</t>
  </si>
  <si>
    <t xml:space="preserve">NORT_23.11.2020 videos\Test 37.szv</t>
  </si>
  <si>
    <t xml:space="preserve">09:41</t>
  </si>
  <si>
    <t xml:space="preserve">NORT_23.11.2020 videos\Test 40.szv</t>
  </si>
  <si>
    <t xml:space="preserve">NORT_23.11.2020 videos\Test 39.szv</t>
  </si>
  <si>
    <t xml:space="preserve">NORT_23.11.2020 videos\Test 41.szv</t>
  </si>
  <si>
    <t xml:space="preserve">NORT_23.11.2020 videos\Test 42.szv</t>
  </si>
  <si>
    <t xml:space="preserve">09:55</t>
  </si>
  <si>
    <t xml:space="preserve">NORT_23.11.2020 videos\Test 44.szv</t>
  </si>
  <si>
    <t xml:space="preserve">NORT_23.11.2020 videos\Test 43.szv</t>
  </si>
  <si>
    <t xml:space="preserve">NORT_23.11.2020 videos\Test 46.szv</t>
  </si>
  <si>
    <t xml:space="preserve">NORT_23.11.2020 videos\Test 45.szv</t>
  </si>
  <si>
    <t xml:space="preserve">had to start again</t>
  </si>
  <si>
    <t xml:space="preserve">10:10</t>
  </si>
  <si>
    <t xml:space="preserve">NORT_23.11.2020 videos\Test 48.szv</t>
  </si>
  <si>
    <t xml:space="preserve">NORT_23.11.2020 videos\Test 47.szv</t>
  </si>
  <si>
    <t xml:space="preserve">10:11</t>
  </si>
  <si>
    <t xml:space="preserve">NORT_23.11.2020 videos\Test 50.szv</t>
  </si>
  <si>
    <t xml:space="preserve">NORT_23.11.2020 videos\Test 49.szv</t>
  </si>
  <si>
    <t xml:space="preserve">10:27</t>
  </si>
  <si>
    <t xml:space="preserve">NORT_23.11.2020 videos\Test 52.szv</t>
  </si>
  <si>
    <t xml:space="preserve">10:26</t>
  </si>
  <si>
    <t xml:space="preserve">NORT_23.11.2020 videos\Test 51.szv</t>
  </si>
  <si>
    <t xml:space="preserve">NORT_23.11.2020 videos\Test 53.szv</t>
  </si>
  <si>
    <t xml:space="preserve">NORT_23.11.2020 videos\Test 54.szv</t>
  </si>
  <si>
    <t xml:space="preserve">10:41</t>
  </si>
  <si>
    <t xml:space="preserve">NORT_23.11.2020 videos\Test 56.szv</t>
  </si>
  <si>
    <t xml:space="preserve">NORT_23.11.2020 videos\Test 55.szv</t>
  </si>
  <si>
    <t xml:space="preserve">10:42</t>
  </si>
  <si>
    <t xml:space="preserve">NORT_23.11.2020 videos\Test 57.szv</t>
  </si>
  <si>
    <t xml:space="preserve">NORT_23.11.2020 videos\Test 58.szv</t>
  </si>
  <si>
    <t xml:space="preserve">10:55</t>
  </si>
  <si>
    <t xml:space="preserve">NORT_23.11.2020 videos\Test 60.szv</t>
  </si>
  <si>
    <t xml:space="preserve">NORT_23.11.2020 videos\Test 59.szv</t>
  </si>
  <si>
    <t xml:space="preserve">10:56</t>
  </si>
  <si>
    <t xml:space="preserve">NORT_23.11.2020 videos\Test 61.szv</t>
  </si>
  <si>
    <t xml:space="preserve">NORT_23.11.2020 videos\Test 62.szv</t>
  </si>
  <si>
    <t xml:space="preserve">11:11</t>
  </si>
  <si>
    <t xml:space="preserve">NORT_23.11.2020 videos\Test 64.szv</t>
  </si>
  <si>
    <t xml:space="preserve">NORT_23.11.2020 videos\Test 63.szv</t>
  </si>
  <si>
    <t xml:space="preserve">NORT_23.11.2020 videos\Test 66.szv</t>
  </si>
  <si>
    <t xml:space="preserve">NORT_23.11.2020 videos\Test 65.szv</t>
  </si>
  <si>
    <t xml:space="preserve">11:24</t>
  </si>
  <si>
    <t xml:space="preserve">NORT_23.11.2020 videos\Test 68.szv</t>
  </si>
  <si>
    <t xml:space="preserve">NORT_23.11.2020 videos\Test 67.szv</t>
  </si>
  <si>
    <t xml:space="preserve">14:31</t>
  </si>
  <si>
    <t xml:space="preserve">NORT_23.11.2020 videos\Test 70.szv</t>
  </si>
  <si>
    <t xml:space="preserve">NORT_23.11.2020 videos\Test 69.szv</t>
  </si>
  <si>
    <t xml:space="preserve">NORT_23.11.2020 videos\Test 71.szv</t>
  </si>
  <si>
    <t xml:space="preserve">NORT_23.11.2020 videos\Test 72.szv</t>
  </si>
  <si>
    <t xml:space="preserve">14:45</t>
  </si>
  <si>
    <t xml:space="preserve">NORT_23.11.2020 videos\Test 74.szv</t>
  </si>
  <si>
    <t xml:space="preserve">NORT_23.11.2020 videos\Test 73.szv</t>
  </si>
  <si>
    <t xml:space="preserve">NORT_23.11.2020 videos\Test 75.szv</t>
  </si>
  <si>
    <t xml:space="preserve">NORT_23.11.2020 videos\Test 76.szv</t>
  </si>
  <si>
    <t xml:space="preserve">NORT_23.11.2020 videos\Test 78.szv</t>
  </si>
  <si>
    <t xml:space="preserve">NORT_23.11.2020 videos\Test 77.szv</t>
  </si>
  <si>
    <t xml:space="preserve">15:00</t>
  </si>
  <si>
    <t xml:space="preserve">NORT_23.11.2020 videos\Test 80.szv</t>
  </si>
  <si>
    <t xml:space="preserve">NORT_23.11.2020 videos\Test 79.szv</t>
  </si>
  <si>
    <t xml:space="preserve">15:15</t>
  </si>
  <si>
    <t xml:space="preserve">NORT_23.11.2020 videos\Test 82.szv</t>
  </si>
  <si>
    <t xml:space="preserve">NORT_23.11.2020 videos\Test 81.szv</t>
  </si>
  <si>
    <t xml:space="preserve">15:16</t>
  </si>
  <si>
    <t xml:space="preserve">NORT_23.11.2020 videos\Test 84.szv</t>
  </si>
  <si>
    <t xml:space="preserve">NORT_23.11.2020 videos\Test 83.szv</t>
  </si>
  <si>
    <t xml:space="preserve">15:31</t>
  </si>
  <si>
    <t xml:space="preserve">NORT_23.11.2020 videos\Test 86.szv</t>
  </si>
  <si>
    <t xml:space="preserve">NORT_23.11.2020 videos\Test 85.szv</t>
  </si>
  <si>
    <t xml:space="preserve">NORT_23.11.2020 videos\Test 87.szv</t>
  </si>
  <si>
    <t xml:space="preserve">NORT_23.11.2020 videos\Test 88.szv</t>
  </si>
  <si>
    <t xml:space="preserve">15:46</t>
  </si>
  <si>
    <t xml:space="preserve">NORT_23.11.2020 videos\Test 90.szv</t>
  </si>
  <si>
    <t xml:space="preserve">NORT_23.11.2020 videos\Test 89.szv</t>
  </si>
  <si>
    <t xml:space="preserve">NORT_23.11.2020 videos\Test 91.szv</t>
  </si>
  <si>
    <t xml:space="preserve">NORT_23.11.2020 videos\Test 92.szv</t>
  </si>
  <si>
    <t xml:space="preserve">16:00</t>
  </si>
  <si>
    <t xml:space="preserve">NORT_23.11.2020 videos\Test 94.szv</t>
  </si>
  <si>
    <t xml:space="preserve">NORT_23.11.2020 videos\Test 93.szv</t>
  </si>
  <si>
    <t xml:space="preserve">NORT_23.11.2020 videos\Test 95.szv</t>
  </si>
  <si>
    <t xml:space="preserve">NORT_23.11.2020 videos\Test 96.szv</t>
  </si>
  <si>
    <t xml:space="preserve">16:16</t>
  </si>
  <si>
    <t xml:space="preserve">NORT_23.11.2020 videos\Test 98.szv</t>
  </si>
  <si>
    <t xml:space="preserve">16:15</t>
  </si>
  <si>
    <t xml:space="preserve">NORT_23.11.2020 videos\Test 97.szv</t>
  </si>
  <si>
    <t xml:space="preserve">NORT_23.11.2020 videos\Test 100.szv</t>
  </si>
  <si>
    <t xml:space="preserve">NORT_23.11.2020 videos\Test 99.szv</t>
  </si>
  <si>
    <t xml:space="preserve">16:28</t>
  </si>
  <si>
    <t xml:space="preserve">NORT_23.11.2020 videos\Test 102.szv</t>
  </si>
  <si>
    <t xml:space="preserve">NORT_23.11.2020 videos\Test 101.szv</t>
  </si>
  <si>
    <t xml:space="preserve">23.11.2020</t>
  </si>
  <si>
    <t xml:space="preserve">12:59</t>
  </si>
  <si>
    <t xml:space="preserve">NORT_23.11.2020 videos\Test 2.szv</t>
  </si>
  <si>
    <t xml:space="preserve">NORT_23.11.2020 videos\Test 1.szv</t>
  </si>
  <si>
    <t xml:space="preserve">NORT_23.11.2020 videos\Test 3.szv</t>
  </si>
  <si>
    <t xml:space="preserve">NORT_23.11.2020 videos\Test 4.szv</t>
  </si>
  <si>
    <t xml:space="preserve">NORT_23.11.2020 videos\Test 6.szv</t>
  </si>
  <si>
    <t xml:space="preserve">NORT_23.11.2020 videos\Test 5.szv</t>
  </si>
  <si>
    <t xml:space="preserve">NORT_23.11.2020 videos\Test 7.szv</t>
  </si>
  <si>
    <t xml:space="preserve">NORT_23.11.2020 videos\Test 8.szv</t>
  </si>
  <si>
    <t xml:space="preserve">NORT_23.11.2020 videos\Test 11.szv</t>
  </si>
  <si>
    <t xml:space="preserve">NORT_23.11.2020 videos\Test 10.szv</t>
  </si>
  <si>
    <t xml:space="preserve">13:23</t>
  </si>
  <si>
    <t xml:space="preserve">NORT_23.11.2020 videos\Test 12.szv</t>
  </si>
  <si>
    <t xml:space="preserve">13:24</t>
  </si>
  <si>
    <t xml:space="preserve">NORT_23.11.2020 videos\Test 9.szv</t>
  </si>
  <si>
    <t xml:space="preserve">NORT_23.11.2020 videos\Test 14.szv</t>
  </si>
  <si>
    <t xml:space="preserve">NORT_23.11.2020 videos\Test 13.szv</t>
  </si>
  <si>
    <t xml:space="preserve">NORT_23.11.2020 videos\Test 15.szv</t>
  </si>
  <si>
    <t xml:space="preserve">13:35</t>
  </si>
  <si>
    <t xml:space="preserve">NORT_23.11.2020 videos\Test 16.szv</t>
  </si>
  <si>
    <t xml:space="preserve">13:46</t>
  </si>
  <si>
    <t xml:space="preserve">NORT_23.11.2020 videos\Test 18.szv</t>
  </si>
  <si>
    <t xml:space="preserve">13:45</t>
  </si>
  <si>
    <t xml:space="preserve">NORT_23.11.2020 videos\Test 17.szv</t>
  </si>
  <si>
    <t xml:space="preserve">NORT_23.11.2020 videos\Test 19.szv</t>
  </si>
  <si>
    <t xml:space="preserve">NORT_23.11.2020 videos\Test 20.szv</t>
  </si>
  <si>
    <t xml:space="preserve">13:57</t>
  </si>
  <si>
    <t xml:space="preserve">NORT_23.11.2020 videos\Test 22.szv</t>
  </si>
  <si>
    <t xml:space="preserve">NORT_23.11.2020 videos\Test 21.szv</t>
  </si>
  <si>
    <t xml:space="preserve">NORT_23.11.2020 videos\Test 23.szv</t>
  </si>
  <si>
    <t xml:space="preserve">NORT_23.11.2020 videos\Test 24.szv</t>
  </si>
  <si>
    <t xml:space="preserve">14:09</t>
  </si>
  <si>
    <t xml:space="preserve">NORT_23.11.2020 videos\Test 26.szv</t>
  </si>
  <si>
    <t xml:space="preserve">NORT_23.11.2020 videos\Test 25.szv</t>
  </si>
  <si>
    <t xml:space="preserve">NORT_23.11.2020 videos\Test 27.szv</t>
  </si>
  <si>
    <t xml:space="preserve">14:10</t>
  </si>
  <si>
    <t xml:space="preserve">NORT_23.11.2020 videos\Test 28.szv</t>
  </si>
  <si>
    <t xml:space="preserve">14:20</t>
  </si>
  <si>
    <t xml:space="preserve">NORT_23.11.2020 videos\Test 30.szv</t>
  </si>
  <si>
    <t xml:space="preserve">14:19</t>
  </si>
  <si>
    <t xml:space="preserve">NORT_23.11.2020 videos\Test 29.szv</t>
  </si>
  <si>
    <t xml:space="preserve">NORT_23.11.2020 videos\Test 32.szv</t>
  </si>
  <si>
    <t xml:space="preserve">NORT_23.11.2020 videos\Test 31.szv</t>
  </si>
  <si>
    <t xml:space="preserve">NORT_23.11.2020 videos\Test 34.szv</t>
  </si>
  <si>
    <t xml:space="preserve">NORT_23.11.2020 videos\Test 33.szv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</si>
</sst>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0"/>
    <numFmt numFmtId="168" formatCode="0%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2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2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3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rgb="FFAAAAAC"/>
          <bgColor rgb="FF181B28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BF103" headerRowCount="1" totalsRowCount="0" totalsRowShown="0">
  <autoFilter ref="A1:BF103"/>
  <tableColumns count="58">
    <tableColumn id="1" name="Test"/>
    <tableColumn id="2" name="Animal"/>
    <tableColumn id="3" name="Stage"/>
    <tableColumn id="4" name="Apparatus"/>
    <tableColumn id="5" name="Date"/>
    <tableColumn id="6" name="Time"/>
    <tableColumn id="7" name="Video_file_name"/>
    <tableColumn id="8" name="Duration"/>
    <tableColumn id="9" name="Distance"/>
    <tableColumn id="10" name="Mean_speed"/>
    <tableColumn id="11" name="Max_speed"/>
    <tableColumn id="12" name="Time_freezing"/>
    <tableColumn id="13" name="Object_A_._head_entries"/>
    <tableColumn id="14" name="Object_A_._head_time"/>
    <tableColumn id="15" name="Object_A_._distance"/>
    <tableColumn id="16" name="Object_A_._average_speed"/>
    <tableColumn id="17" name="Object_A_._max_speed"/>
    <tableColumn id="18" name="Object_A_._in_zone_oriented_to_centre"/>
    <tableColumn id="19" name="Object_A_._Absolute_head_turn_angle"/>
    <tableColumn id="20" name="Object_A_._time_freezing"/>
    <tableColumn id="21" name="Object_A_._time_head_in_._centre_out"/>
    <tableColumn id="22" name="Object_B_._head_entries"/>
    <tableColumn id="23" name="Object_B_._head_time"/>
    <tableColumn id="24" name="Object_B_._distance"/>
    <tableColumn id="25" name="Object_B_._average_speed"/>
    <tableColumn id="26" name="Object_B_._max_speed"/>
    <tableColumn id="27" name="Object_B_._in_zone_oriented_to_centre"/>
    <tableColumn id="28" name="Object_B_._Absolute_head_turn_angle"/>
    <tableColumn id="29" name="Object_B_._time_freezing"/>
    <tableColumn id="30" name="Object_B_._time_head_in_._centre_out"/>
    <tableColumn id="31" name="Inside_._entries"/>
    <tableColumn id="32" name="Inside_._time"/>
    <tableColumn id="33" name="Inside_._distance"/>
    <tableColumn id="34" name="Inside_._average_speed"/>
    <tableColumn id="35" name="Inside_._time_freezing"/>
    <tableColumn id="36" name="Outside_._entries"/>
    <tableColumn id="37" name="Outside_._time"/>
    <tableColumn id="38" name="Outside_._distance"/>
    <tableColumn id="39" name="Outside_._average_speed"/>
    <tableColumn id="40" name="Outside_._time_freezing"/>
    <tableColumn id="41" name="Relative time Inside"/>
    <tableColumn id="42" name="Relative time Outside"/>
    <tableColumn id="43" name="Relative distance Inside"/>
    <tableColumn id="44" name="Relative distance Outside"/>
    <tableColumn id="45" name="E1: total exploration time in first trial (E1 = A1 + B1)"/>
    <tableColumn id="46" name="E2: total exploration time in second trial E2 ( E2 = A2 + B2)"/>
    <tableColumn id="47" name="D1: Absolute discrimination measure (D1 = B2- A2)"/>
    <tableColumn id="48" name="D2: Discrimination index (D2 = D1/E2)"/>
    <tableColumn id="49" name="D3: Novelty preference (D3 = B2/E2*100)"/>
    <tableColumn id="50" name="Object bias score = (time exploring the object A/total time exploring both objects A1 and B1)*100"/>
    <tableColumn id="51" name="Sex"/>
    <tableColumn id="52" name="HCAR1"/>
    <tableColumn id="53" name="5XFAD"/>
    <tableColumn id="54" name="Age (days)"/>
    <tableColumn id="55" name="Age (months)"/>
    <tableColumn id="56" name="Treatment"/>
    <tableColumn id="57" name="Group"/>
    <tableColumn id="58" name="All comments"/>
  </tableColumns>
</table>
</file>

<file path=xl/tables/table2.xml><?xml version="1.0" encoding="utf-8"?>
<table xmlns="http://schemas.openxmlformats.org/spreadsheetml/2006/main" id="2" name="Table2" displayName="Table2" ref="A1:BF112" headerRowCount="1" totalsRowCount="0" totalsRowShown="0">
  <autoFilter ref="A1:BF112"/>
  <tableColumns count="58">
    <tableColumn id="1" name="Test"/>
    <tableColumn id="2" name="Animal"/>
    <tableColumn id="3" name="Stage"/>
    <tableColumn id="4" name="Apparatus"/>
    <tableColumn id="5" name="Date"/>
    <tableColumn id="6" name="Time"/>
    <tableColumn id="7" name="Video_file_name"/>
    <tableColumn id="8" name="Duration"/>
    <tableColumn id="9" name="Distance"/>
    <tableColumn id="10" name="Mean_speed"/>
    <tableColumn id="11" name="Max_speed"/>
    <tableColumn id="12" name="Time_freezing"/>
    <tableColumn id="13" name="Object_A_._head_entries"/>
    <tableColumn id="14" name="Object_A_._head_time"/>
    <tableColumn id="15" name="Object_A_._distance"/>
    <tableColumn id="16" name="Object_A_._average_speed"/>
    <tableColumn id="17" name="Object_A_._max_speed"/>
    <tableColumn id="18" name="Object_A_._in_zone_oriented_to_centre"/>
    <tableColumn id="19" name="Object_A_._Absolute_head_turn_angle"/>
    <tableColumn id="20" name="Object_A_._time_freezing"/>
    <tableColumn id="21" name="Object_A_._time_head_in_._centre_out"/>
    <tableColumn id="22" name="Object_B_._head_entries"/>
    <tableColumn id="23" name="Object_B_._head_time"/>
    <tableColumn id="24" name="Object_B_._distance"/>
    <tableColumn id="25" name="Object_B_._average_speed"/>
    <tableColumn id="26" name="Object_B_._max_speed"/>
    <tableColumn id="27" name="Object_B_._in_zone_oriented_to_centre"/>
    <tableColumn id="28" name="Object_B_._Absolute_head_turn_angle"/>
    <tableColumn id="29" name="Object_B_._time_freezing"/>
    <tableColumn id="30" name="Object_B_._time_head_in_._centre_out"/>
    <tableColumn id="31" name="Inside_._entries"/>
    <tableColumn id="32" name="Inside_._time"/>
    <tableColumn id="33" name="Inside_._distance"/>
    <tableColumn id="34" name="Inside_._average_speed"/>
    <tableColumn id="35" name="Inside_._time_freezing"/>
    <tableColumn id="36" name="Outside_._entries"/>
    <tableColumn id="37" name="Outside_._time"/>
    <tableColumn id="38" name="Outside_._distance"/>
    <tableColumn id="39" name="Outside_._average_speed"/>
    <tableColumn id="40" name="Outside_._time_freezing"/>
    <tableColumn id="41" name="Relative time Inside"/>
    <tableColumn id="42" name="Relative time Outside"/>
    <tableColumn id="43" name="Relative distance Inside"/>
    <tableColumn id="44" name="Relative distance Outside"/>
    <tableColumn id="45" name="E1: total exploration time in first trial (E1 = A1 + B1)"/>
    <tableColumn id="46" name="E2: total exploration time in second trial E2 ( E2 = A2 + B2)"/>
    <tableColumn id="47" name="D1: Absolute discrimination measure (D1 = B2- A2)"/>
    <tableColumn id="48" name="D2: Discrimination index (D2 = D1/E2)"/>
    <tableColumn id="49" name="D3: Novelty preference (D3 = B2/E2*100)"/>
    <tableColumn id="50" name="Object bias score = (time exploring the object A/total time exploring both objects A1 and B1)*100"/>
    <tableColumn id="51" name="Sex"/>
    <tableColumn id="52" name="HCAR1"/>
    <tableColumn id="53" name="VXFAD"/>
    <tableColumn id="54" name="Age (days)"/>
    <tableColumn id="55" name="Age (months)"/>
    <tableColumn id="56" name="Treatment"/>
    <tableColumn id="57" name="Group"/>
    <tableColumn id="58" name="All comment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12"/>
  <sheetViews>
    <sheetView showFormulas="false" showGridLines="true" showRowColHeaders="true" showZeros="true" rightToLeft="false" tabSelected="true" showOutlineSymbols="true" defaultGridColor="true" view="normal" topLeftCell="AT1" colorId="64" zoomScale="75" zoomScaleNormal="75" zoomScalePageLayoutView="100" workbookViewId="0">
      <selection pane="topLeft" activeCell="BA1" activeCellId="0" sqref="BA1"/>
    </sheetView>
  </sheetViews>
  <sheetFormatPr defaultColWidth="10.859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2" width="9.33"/>
    <col collapsed="false" customWidth="true" hidden="false" outlineLevel="0" max="3" min="3" style="2" width="32.83"/>
    <col collapsed="false" customWidth="true" hidden="false" outlineLevel="0" max="4" min="4" style="2" width="13.83"/>
    <col collapsed="false" customWidth="true" hidden="false" outlineLevel="0" max="5" min="5" style="2" width="11.84"/>
    <col collapsed="false" customWidth="true" hidden="false" outlineLevel="0" max="6" min="6" style="2" width="7.67"/>
    <col collapsed="false" customWidth="true" hidden="false" outlineLevel="0" max="7" min="7" style="2" width="36.84"/>
    <col collapsed="false" customWidth="true" hidden="false" outlineLevel="0" max="8" min="8" style="3" width="10.65"/>
    <col collapsed="false" customWidth="true" hidden="false" outlineLevel="0" max="9" min="9" style="4" width="10.65"/>
    <col collapsed="false" customWidth="true" hidden="false" outlineLevel="0" max="10" min="10" style="4" width="14.01"/>
    <col collapsed="false" customWidth="true" hidden="false" outlineLevel="0" max="11" min="11" style="4" width="13.02"/>
    <col collapsed="false" customWidth="true" hidden="false" outlineLevel="0" max="12" min="12" style="3" width="15.34"/>
    <col collapsed="false" customWidth="true" hidden="false" outlineLevel="0" max="13" min="13" style="1" width="24.83"/>
    <col collapsed="false" customWidth="true" hidden="false" outlineLevel="0" max="14" min="14" style="3" width="22.33"/>
    <col collapsed="false" customWidth="true" hidden="false" outlineLevel="0" max="15" min="15" style="4" width="20.83"/>
    <col collapsed="false" customWidth="true" hidden="false" outlineLevel="0" max="16" min="16" style="4" width="26"/>
    <col collapsed="false" customWidth="true" hidden="false" outlineLevel="0" max="17" min="17" style="4" width="23.01"/>
    <col collapsed="false" customWidth="true" hidden="false" outlineLevel="0" max="18" min="18" style="3" width="38.83"/>
    <col collapsed="false" customWidth="true" hidden="false" outlineLevel="0" max="19" min="19" style="1" width="36.84"/>
    <col collapsed="false" customWidth="true" hidden="false" outlineLevel="0" max="20" min="20" style="3" width="25.83"/>
    <col collapsed="false" customWidth="true" hidden="false" outlineLevel="0" max="21" min="21" style="3" width="37.83"/>
    <col collapsed="false" customWidth="true" hidden="false" outlineLevel="0" max="22" min="22" style="1" width="24.83"/>
    <col collapsed="false" customWidth="true" hidden="false" outlineLevel="0" max="23" min="23" style="3" width="22.33"/>
    <col collapsed="false" customWidth="true" hidden="false" outlineLevel="0" max="24" min="24" style="4" width="20.83"/>
    <col collapsed="false" customWidth="true" hidden="false" outlineLevel="0" max="25" min="25" style="4" width="26"/>
    <col collapsed="false" customWidth="true" hidden="false" outlineLevel="0" max="26" min="26" style="4" width="23.01"/>
    <col collapsed="false" customWidth="true" hidden="false" outlineLevel="0" max="27" min="27" style="3" width="38.83"/>
    <col collapsed="false" customWidth="true" hidden="false" outlineLevel="0" max="28" min="28" style="1" width="36.84"/>
    <col collapsed="false" customWidth="true" hidden="false" outlineLevel="0" max="29" min="29" style="3" width="25.83"/>
    <col collapsed="false" customWidth="true" hidden="false" outlineLevel="0" max="30" min="30" style="3" width="37.83"/>
    <col collapsed="false" customWidth="true" hidden="false" outlineLevel="0" max="31" min="31" style="1" width="17.83"/>
    <col collapsed="false" customWidth="true" hidden="false" outlineLevel="0" max="32" min="32" style="3" width="14.83"/>
    <col collapsed="false" customWidth="true" hidden="false" outlineLevel="0" max="33" min="33" style="4" width="18.85"/>
    <col collapsed="false" customWidth="true" hidden="false" outlineLevel="0" max="34" min="34" style="4" width="23.83"/>
    <col collapsed="false" customWidth="true" hidden="false" outlineLevel="0" max="35" min="35" style="3" width="23.83"/>
    <col collapsed="false" customWidth="true" hidden="false" outlineLevel="0" max="36" min="36" style="1" width="18.85"/>
    <col collapsed="false" customWidth="true" hidden="false" outlineLevel="0" max="37" min="37" style="3" width="16.15"/>
    <col collapsed="false" customWidth="true" hidden="false" outlineLevel="0" max="38" min="38" style="4" width="19.84"/>
    <col collapsed="false" customWidth="true" hidden="false" outlineLevel="0" max="39" min="39" style="4" width="24.83"/>
    <col collapsed="false" customWidth="true" hidden="false" outlineLevel="0" max="40" min="40" style="3" width="24.83"/>
    <col collapsed="false" customWidth="true" hidden="false" outlineLevel="0" max="44" min="41" style="5" width="24.83"/>
    <col collapsed="false" customWidth="true" hidden="false" outlineLevel="0" max="45" min="45" style="6" width="42.16"/>
    <col collapsed="false" customWidth="true" hidden="false" outlineLevel="0" max="46" min="46" style="6" width="47.17"/>
    <col collapsed="false" customWidth="true" hidden="false" outlineLevel="0" max="47" min="47" style="6" width="42"/>
    <col collapsed="false" customWidth="true" hidden="false" outlineLevel="0" max="48" min="48" style="6" width="32.34"/>
    <col collapsed="false" customWidth="true" hidden="false" outlineLevel="0" max="49" min="49" style="6" width="35"/>
    <col collapsed="false" customWidth="true" hidden="false" outlineLevel="0" max="50" min="50" style="7" width="78.16"/>
    <col collapsed="false" customWidth="false" hidden="false" outlineLevel="0" max="53" min="51" style="6" width="10.84"/>
    <col collapsed="false" customWidth="true" hidden="false" outlineLevel="0" max="54" min="54" style="6" width="11.16"/>
    <col collapsed="false" customWidth="true" hidden="false" outlineLevel="0" max="55" min="55" style="6" width="13.66"/>
    <col collapsed="false" customWidth="true" hidden="false" outlineLevel="0" max="56" min="56" style="6" width="11.65"/>
    <col collapsed="false" customWidth="false" hidden="false" outlineLevel="0" max="57" min="57" style="6" width="10.84"/>
    <col collapsed="false" customWidth="true" hidden="false" outlineLevel="0" max="58" min="58" style="6" width="16.83"/>
    <col collapsed="false" customWidth="true" hidden="false" outlineLevel="0" max="59" min="59" style="8" width="9.16"/>
    <col collapsed="false" customWidth="true" hidden="false" outlineLevel="0" max="60" min="60" style="8" width="9.33"/>
    <col collapsed="false" customWidth="true" hidden="false" outlineLevel="0" max="61" min="61" style="8" width="9.16"/>
    <col collapsed="false" customWidth="true" hidden="false" outlineLevel="0" max="62" min="62" style="8" width="12.66"/>
    <col collapsed="false" customWidth="true" hidden="false" outlineLevel="0" max="63" min="63" style="8" width="15.49"/>
    <col collapsed="false" customWidth="true" hidden="false" outlineLevel="0" max="64" min="64" style="8" width="12.66"/>
    <col collapsed="false" customWidth="true" hidden="false" outlineLevel="0" max="65" min="65" style="8" width="9.16"/>
    <col collapsed="false" customWidth="true" hidden="false" outlineLevel="0" max="66" min="66" style="8" width="16.83"/>
    <col collapsed="false" customWidth="false" hidden="false" outlineLevel="0" max="1024" min="67" style="6" width="10.84"/>
  </cols>
  <sheetData>
    <row r="1" s="2" customFormat="true" ht="12" hidden="false" customHeight="true" outlineLevel="0" collapsed="false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4" t="s">
        <v>12</v>
      </c>
      <c r="N1" s="12" t="s">
        <v>13</v>
      </c>
      <c r="O1" s="13" t="s">
        <v>14</v>
      </c>
      <c r="P1" s="13" t="s">
        <v>15</v>
      </c>
      <c r="Q1" s="13" t="s">
        <v>16</v>
      </c>
      <c r="R1" s="12" t="s">
        <v>17</v>
      </c>
      <c r="S1" s="14" t="s">
        <v>18</v>
      </c>
      <c r="T1" s="12" t="s">
        <v>19</v>
      </c>
      <c r="U1" s="12" t="s">
        <v>20</v>
      </c>
      <c r="V1" s="14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2" t="s">
        <v>26</v>
      </c>
      <c r="AB1" s="14" t="s">
        <v>27</v>
      </c>
      <c r="AC1" s="12" t="s">
        <v>28</v>
      </c>
      <c r="AD1" s="12" t="s">
        <v>29</v>
      </c>
      <c r="AE1" s="14" t="s">
        <v>30</v>
      </c>
      <c r="AF1" s="12" t="s">
        <v>31</v>
      </c>
      <c r="AG1" s="13" t="s">
        <v>32</v>
      </c>
      <c r="AH1" s="13" t="s">
        <v>33</v>
      </c>
      <c r="AI1" s="12" t="s">
        <v>34</v>
      </c>
      <c r="AJ1" s="14" t="s">
        <v>35</v>
      </c>
      <c r="AK1" s="12" t="s">
        <v>36</v>
      </c>
      <c r="AL1" s="13" t="s">
        <v>37</v>
      </c>
      <c r="AM1" s="13" t="s">
        <v>38</v>
      </c>
      <c r="AN1" s="12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15" t="s">
        <v>44</v>
      </c>
      <c r="AT1" s="15" t="s">
        <v>45</v>
      </c>
      <c r="AU1" s="16" t="s">
        <v>46</v>
      </c>
      <c r="AV1" s="16" t="s">
        <v>47</v>
      </c>
      <c r="AW1" s="16" t="s">
        <v>48</v>
      </c>
      <c r="AX1" s="17" t="s">
        <v>49</v>
      </c>
      <c r="AY1" s="16" t="s">
        <v>50</v>
      </c>
      <c r="AZ1" s="16" t="s">
        <v>51</v>
      </c>
      <c r="BA1" s="16" t="s">
        <v>52</v>
      </c>
      <c r="BB1" s="15" t="s">
        <v>53</v>
      </c>
      <c r="BC1" s="18" t="s">
        <v>54</v>
      </c>
      <c r="BD1" s="16" t="s">
        <v>55</v>
      </c>
      <c r="BE1" s="16" t="s">
        <v>56</v>
      </c>
      <c r="BF1" s="19" t="s">
        <v>57</v>
      </c>
      <c r="BG1" s="20"/>
      <c r="BH1" s="20"/>
      <c r="BI1" s="20"/>
      <c r="BJ1" s="20"/>
      <c r="BK1" s="20"/>
      <c r="BL1" s="20"/>
      <c r="BM1" s="20"/>
      <c r="BN1" s="20"/>
    </row>
    <row r="2" customFormat="false" ht="12" hidden="false" customHeight="true" outlineLevel="0" collapsed="false">
      <c r="A2" s="21" t="n">
        <v>39</v>
      </c>
      <c r="B2" s="22" t="s">
        <v>58</v>
      </c>
      <c r="C2" s="22" t="s">
        <v>59</v>
      </c>
      <c r="D2" s="22" t="s">
        <v>60</v>
      </c>
      <c r="E2" s="22" t="s">
        <v>61</v>
      </c>
      <c r="F2" s="22" t="s">
        <v>62</v>
      </c>
      <c r="G2" s="22" t="s">
        <v>63</v>
      </c>
      <c r="H2" s="23" t="n">
        <v>360</v>
      </c>
      <c r="I2" s="24" t="n">
        <v>18.301</v>
      </c>
      <c r="J2" s="24" t="n">
        <v>0.051</v>
      </c>
      <c r="K2" s="24" t="n">
        <v>0.292</v>
      </c>
      <c r="L2" s="23" t="n">
        <v>15.7</v>
      </c>
      <c r="M2" s="25" t="n">
        <v>38</v>
      </c>
      <c r="N2" s="23" t="n">
        <v>33.8</v>
      </c>
      <c r="O2" s="24" t="n">
        <v>1.694</v>
      </c>
      <c r="P2" s="24" t="n">
        <v>0.05</v>
      </c>
      <c r="Q2" s="24" t="n">
        <v>0.249</v>
      </c>
      <c r="R2" s="23" t="n">
        <v>18.1</v>
      </c>
      <c r="S2" s="25" t="n">
        <v>2805</v>
      </c>
      <c r="T2" s="23" t="n">
        <v>0</v>
      </c>
      <c r="U2" s="23" t="n">
        <v>23.2</v>
      </c>
      <c r="V2" s="25" t="n">
        <v>23</v>
      </c>
      <c r="W2" s="23" t="n">
        <v>26.7</v>
      </c>
      <c r="X2" s="24" t="n">
        <v>0.776</v>
      </c>
      <c r="Y2" s="24" t="n">
        <v>0.029</v>
      </c>
      <c r="Z2" s="24" t="n">
        <v>0.262</v>
      </c>
      <c r="AA2" s="23" t="n">
        <v>12.1</v>
      </c>
      <c r="AB2" s="25" t="n">
        <v>1730</v>
      </c>
      <c r="AC2" s="23" t="n">
        <v>0</v>
      </c>
      <c r="AD2" s="23" t="n">
        <v>21.8</v>
      </c>
      <c r="AE2" s="25" t="n">
        <v>19</v>
      </c>
      <c r="AF2" s="23" t="n">
        <v>40.6</v>
      </c>
      <c r="AG2" s="24" t="n">
        <v>3.355</v>
      </c>
      <c r="AH2" s="24" t="n">
        <v>0.083</v>
      </c>
      <c r="AI2" s="23" t="n">
        <v>0</v>
      </c>
      <c r="AJ2" s="25" t="n">
        <v>20</v>
      </c>
      <c r="AK2" s="23" t="n">
        <v>319.4</v>
      </c>
      <c r="AL2" s="24" t="n">
        <v>14.945</v>
      </c>
      <c r="AM2" s="24" t="n">
        <v>0.047</v>
      </c>
      <c r="AN2" s="23" t="n">
        <v>15.7</v>
      </c>
      <c r="AO2" s="26"/>
      <c r="AP2" s="26"/>
      <c r="AQ2" s="26"/>
      <c r="AR2" s="26"/>
      <c r="AS2" s="27" t="n">
        <f aca="false">Table2[[#This Row],[Object_A_._head_time]]+Table2[[#This Row],[Object_B_._head_time]]</f>
        <v>60.5</v>
      </c>
      <c r="AT2" s="28"/>
      <c r="AU2" s="28"/>
      <c r="AV2" s="29"/>
      <c r="AW2" s="28"/>
      <c r="AX2" s="26" t="n">
        <f aca="false">(Table2[[#This Row],[Object_A_._head_time]]/(Table2[[#This Row],[Object_A_._head_time]]+Table2[[#This Row],[Object_B_._head_time]]))</f>
        <v>0.558677685950413</v>
      </c>
      <c r="AY2" s="30" t="s">
        <v>64</v>
      </c>
      <c r="AZ2" s="30" t="s">
        <v>65</v>
      </c>
      <c r="BA2" s="30" t="s">
        <v>66</v>
      </c>
      <c r="BB2" s="31" t="n">
        <v>110</v>
      </c>
      <c r="BC2" s="32" t="n">
        <v>3.66666666666667</v>
      </c>
      <c r="BD2" s="33" t="s">
        <v>67</v>
      </c>
      <c r="BE2" s="30" t="n">
        <v>2</v>
      </c>
      <c r="BF2" s="34" t="s">
        <v>68</v>
      </c>
    </row>
    <row r="3" s="44" customFormat="true" ht="12" hidden="false" customHeight="true" outlineLevel="0" collapsed="false">
      <c r="A3" s="35" t="n">
        <v>38</v>
      </c>
      <c r="B3" s="36" t="s">
        <v>69</v>
      </c>
      <c r="C3" s="36" t="s">
        <v>59</v>
      </c>
      <c r="D3" s="36" t="s">
        <v>70</v>
      </c>
      <c r="E3" s="36" t="s">
        <v>61</v>
      </c>
      <c r="F3" s="36" t="s">
        <v>62</v>
      </c>
      <c r="G3" s="36" t="s">
        <v>71</v>
      </c>
      <c r="H3" s="37" t="n">
        <v>360</v>
      </c>
      <c r="I3" s="38" t="n">
        <v>11.194</v>
      </c>
      <c r="J3" s="38" t="n">
        <v>0.031</v>
      </c>
      <c r="K3" s="38" t="n">
        <v>0.3</v>
      </c>
      <c r="L3" s="37" t="n">
        <v>59.5</v>
      </c>
      <c r="M3" s="39" t="n">
        <v>16</v>
      </c>
      <c r="N3" s="37" t="n">
        <v>22.6</v>
      </c>
      <c r="O3" s="38" t="n">
        <v>0.633</v>
      </c>
      <c r="P3" s="38" t="n">
        <v>0.028</v>
      </c>
      <c r="Q3" s="38" t="n">
        <v>0.235</v>
      </c>
      <c r="R3" s="37" t="n">
        <v>13.7</v>
      </c>
      <c r="S3" s="39" t="n">
        <v>1616</v>
      </c>
      <c r="T3" s="37" t="n">
        <v>0</v>
      </c>
      <c r="U3" s="37" t="n">
        <v>11.6</v>
      </c>
      <c r="V3" s="39" t="n">
        <v>15</v>
      </c>
      <c r="W3" s="37" t="n">
        <v>23.5</v>
      </c>
      <c r="X3" s="38" t="n">
        <v>0.469</v>
      </c>
      <c r="Y3" s="38" t="n">
        <v>0.02</v>
      </c>
      <c r="Z3" s="38" t="n">
        <v>0.179</v>
      </c>
      <c r="AA3" s="37" t="n">
        <v>9.1</v>
      </c>
      <c r="AB3" s="39" t="n">
        <v>904</v>
      </c>
      <c r="AC3" s="37" t="n">
        <v>0</v>
      </c>
      <c r="AD3" s="37" t="n">
        <v>7.9</v>
      </c>
      <c r="AE3" s="39" t="n">
        <v>11</v>
      </c>
      <c r="AF3" s="37" t="n">
        <v>22.8</v>
      </c>
      <c r="AG3" s="38" t="n">
        <v>1.676</v>
      </c>
      <c r="AH3" s="38" t="n">
        <v>0.074</v>
      </c>
      <c r="AI3" s="37" t="n">
        <v>0</v>
      </c>
      <c r="AJ3" s="39" t="n">
        <v>12</v>
      </c>
      <c r="AK3" s="37" t="n">
        <v>337.2</v>
      </c>
      <c r="AL3" s="38" t="n">
        <v>9.519</v>
      </c>
      <c r="AM3" s="38" t="n">
        <v>0.028</v>
      </c>
      <c r="AN3" s="37" t="n">
        <v>59.5</v>
      </c>
      <c r="AO3" s="40"/>
      <c r="AP3" s="40"/>
      <c r="AQ3" s="40"/>
      <c r="AR3" s="40"/>
      <c r="AS3" s="39" t="n">
        <f aca="false">Table2[[#This Row],[Object_A_._head_time]]+Table2[[#This Row],[Object_B_._head_time]]</f>
        <v>46.1</v>
      </c>
      <c r="AT3" s="39"/>
      <c r="AU3" s="39"/>
      <c r="AV3" s="37"/>
      <c r="AW3" s="39"/>
      <c r="AX3" s="40" t="n">
        <f aca="false">(Table2[[#This Row],[Object_A_._head_time]]/(Table2[[#This Row],[Object_A_._head_time]]+Table2[[#This Row],[Object_B_._head_time]]))</f>
        <v>0.490238611713666</v>
      </c>
      <c r="AY3" s="36" t="s">
        <v>64</v>
      </c>
      <c r="AZ3" s="41" t="s">
        <v>65</v>
      </c>
      <c r="BA3" s="36" t="s">
        <v>66</v>
      </c>
      <c r="BB3" s="41" t="n">
        <v>110</v>
      </c>
      <c r="BC3" s="42" t="n">
        <v>3.66666666666667</v>
      </c>
      <c r="BD3" s="36"/>
      <c r="BE3" s="36"/>
      <c r="BF3" s="43"/>
    </row>
    <row r="4" customFormat="false" ht="12" hidden="false" customHeight="true" outlineLevel="0" collapsed="false">
      <c r="A4" s="21" t="n">
        <v>40</v>
      </c>
      <c r="B4" s="22" t="s">
        <v>72</v>
      </c>
      <c r="C4" s="22" t="s">
        <v>59</v>
      </c>
      <c r="D4" s="22" t="s">
        <v>73</v>
      </c>
      <c r="E4" s="22" t="s">
        <v>61</v>
      </c>
      <c r="F4" s="22" t="s">
        <v>62</v>
      </c>
      <c r="G4" s="22" t="s">
        <v>74</v>
      </c>
      <c r="H4" s="23" t="n">
        <v>360</v>
      </c>
      <c r="I4" s="24" t="n">
        <v>7.05</v>
      </c>
      <c r="J4" s="24" t="n">
        <v>0.02</v>
      </c>
      <c r="K4" s="24" t="n">
        <v>0.28</v>
      </c>
      <c r="L4" s="23" t="n">
        <v>116.2</v>
      </c>
      <c r="M4" s="25" t="n">
        <v>11</v>
      </c>
      <c r="N4" s="23" t="n">
        <v>8.1</v>
      </c>
      <c r="O4" s="24" t="n">
        <v>0.278</v>
      </c>
      <c r="P4" s="24" t="n">
        <v>0.034</v>
      </c>
      <c r="Q4" s="24" t="n">
        <v>0.236</v>
      </c>
      <c r="R4" s="23" t="n">
        <v>7</v>
      </c>
      <c r="S4" s="25" t="n">
        <v>446</v>
      </c>
      <c r="T4" s="23" t="n">
        <v>0</v>
      </c>
      <c r="U4" s="23" t="n">
        <v>8.1</v>
      </c>
      <c r="V4" s="25" t="n">
        <v>33</v>
      </c>
      <c r="W4" s="23" t="n">
        <v>45</v>
      </c>
      <c r="X4" s="24" t="n">
        <v>0.321</v>
      </c>
      <c r="Y4" s="24" t="n">
        <v>0.007</v>
      </c>
      <c r="Z4" s="24" t="n">
        <v>0.224</v>
      </c>
      <c r="AA4" s="23" t="n">
        <v>38.9</v>
      </c>
      <c r="AB4" s="25" t="n">
        <v>2255</v>
      </c>
      <c r="AC4" s="23" t="n">
        <v>21.4</v>
      </c>
      <c r="AD4" s="23" t="n">
        <v>42.5</v>
      </c>
      <c r="AE4" s="25" t="n">
        <v>3</v>
      </c>
      <c r="AF4" s="23" t="n">
        <v>3</v>
      </c>
      <c r="AG4" s="24" t="n">
        <v>0.233</v>
      </c>
      <c r="AH4" s="24" t="n">
        <v>0.078</v>
      </c>
      <c r="AI4" s="23" t="n">
        <v>0</v>
      </c>
      <c r="AJ4" s="25" t="n">
        <v>3</v>
      </c>
      <c r="AK4" s="23" t="n">
        <v>357</v>
      </c>
      <c r="AL4" s="24" t="n">
        <v>6.818</v>
      </c>
      <c r="AM4" s="24" t="n">
        <v>0.019</v>
      </c>
      <c r="AN4" s="23" t="n">
        <v>116.2</v>
      </c>
      <c r="AO4" s="26"/>
      <c r="AP4" s="26"/>
      <c r="AQ4" s="26"/>
      <c r="AR4" s="26"/>
      <c r="AS4" s="28" t="n">
        <f aca="false">Table2[[#This Row],[Object_A_._head_time]]+Table2[[#This Row],[Object_B_._head_time]]</f>
        <v>53.1</v>
      </c>
      <c r="AT4" s="28"/>
      <c r="AU4" s="28"/>
      <c r="AV4" s="29"/>
      <c r="AW4" s="28"/>
      <c r="AX4" s="40" t="n">
        <f aca="false">(Table2[[#This Row],[Object_A_._head_time]]/(Table2[[#This Row],[Object_A_._head_time]]+Table2[[#This Row],[Object_B_._head_time]]))</f>
        <v>0.152542372881356</v>
      </c>
      <c r="AY4" s="30" t="s">
        <v>64</v>
      </c>
      <c r="AZ4" s="30" t="s">
        <v>65</v>
      </c>
      <c r="BA4" s="30" t="s">
        <v>66</v>
      </c>
      <c r="BB4" s="31" t="n">
        <v>110</v>
      </c>
      <c r="BC4" s="32" t="n">
        <v>3.66666666666667</v>
      </c>
      <c r="BD4" s="33" t="s">
        <v>67</v>
      </c>
      <c r="BE4" s="30" t="n">
        <v>2</v>
      </c>
      <c r="BF4" s="34" t="s">
        <v>75</v>
      </c>
    </row>
    <row r="5" customFormat="false" ht="12" hidden="false" customHeight="true" outlineLevel="0" collapsed="false">
      <c r="A5" s="21" t="n">
        <v>41</v>
      </c>
      <c r="B5" s="22" t="s">
        <v>76</v>
      </c>
      <c r="C5" s="22" t="s">
        <v>59</v>
      </c>
      <c r="D5" s="22" t="s">
        <v>77</v>
      </c>
      <c r="E5" s="22" t="s">
        <v>61</v>
      </c>
      <c r="F5" s="22" t="s">
        <v>62</v>
      </c>
      <c r="G5" s="22" t="s">
        <v>78</v>
      </c>
      <c r="H5" s="23" t="n">
        <v>360</v>
      </c>
      <c r="I5" s="24" t="n">
        <v>44.599</v>
      </c>
      <c r="J5" s="24" t="n">
        <v>0.124</v>
      </c>
      <c r="K5" s="24" t="n">
        <v>0.371</v>
      </c>
      <c r="L5" s="23" t="n">
        <v>1.7</v>
      </c>
      <c r="M5" s="25" t="n">
        <v>71</v>
      </c>
      <c r="N5" s="23" t="n">
        <v>52.3</v>
      </c>
      <c r="O5" s="24" t="n">
        <v>3.292</v>
      </c>
      <c r="P5" s="24" t="n">
        <v>0.063</v>
      </c>
      <c r="Q5" s="24" t="n">
        <v>0.371</v>
      </c>
      <c r="R5" s="23" t="n">
        <v>26.6</v>
      </c>
      <c r="S5" s="25" t="n">
        <v>5578</v>
      </c>
      <c r="T5" s="23" t="n">
        <v>0</v>
      </c>
      <c r="U5" s="23" t="n">
        <v>28.6</v>
      </c>
      <c r="V5" s="25" t="n">
        <v>71</v>
      </c>
      <c r="W5" s="23" t="n">
        <v>45</v>
      </c>
      <c r="X5" s="24" t="n">
        <v>2.996</v>
      </c>
      <c r="Y5" s="24" t="n">
        <v>0.067</v>
      </c>
      <c r="Z5" s="24" t="n">
        <v>0.332</v>
      </c>
      <c r="AA5" s="23" t="n">
        <v>27.6</v>
      </c>
      <c r="AB5" s="25" t="n">
        <v>5825</v>
      </c>
      <c r="AC5" s="23" t="n">
        <v>0</v>
      </c>
      <c r="AD5" s="23" t="n">
        <v>17.9</v>
      </c>
      <c r="AE5" s="25" t="n">
        <v>41</v>
      </c>
      <c r="AF5" s="23" t="n">
        <v>59.6</v>
      </c>
      <c r="AG5" s="24" t="n">
        <v>6.833</v>
      </c>
      <c r="AH5" s="24" t="n">
        <v>0.115</v>
      </c>
      <c r="AI5" s="23" t="n">
        <v>0</v>
      </c>
      <c r="AJ5" s="25" t="n">
        <v>40</v>
      </c>
      <c r="AK5" s="23" t="n">
        <v>300.4</v>
      </c>
      <c r="AL5" s="24" t="n">
        <v>37.765</v>
      </c>
      <c r="AM5" s="24" t="n">
        <v>0.126</v>
      </c>
      <c r="AN5" s="23" t="n">
        <v>1.7</v>
      </c>
      <c r="AO5" s="26"/>
      <c r="AP5" s="26"/>
      <c r="AQ5" s="26"/>
      <c r="AR5" s="26"/>
      <c r="AS5" s="28" t="n">
        <f aca="false">Table2[[#This Row],[Object_A_._head_time]]+Table2[[#This Row],[Object_B_._head_time]]</f>
        <v>97.3</v>
      </c>
      <c r="AT5" s="28"/>
      <c r="AU5" s="28"/>
      <c r="AV5" s="29"/>
      <c r="AW5" s="28"/>
      <c r="AX5" s="45" t="n">
        <f aca="false">(Table2[[#This Row],[Object_A_._head_time]]/(Table2[[#This Row],[Object_A_._head_time]]+Table2[[#This Row],[Object_B_._head_time]]))</f>
        <v>0.537512846865365</v>
      </c>
      <c r="AY5" s="30" t="s">
        <v>79</v>
      </c>
      <c r="AZ5" s="30" t="s">
        <v>65</v>
      </c>
      <c r="BA5" s="30" t="s">
        <v>66</v>
      </c>
      <c r="BB5" s="31" t="n">
        <v>110</v>
      </c>
      <c r="BC5" s="32" t="n">
        <v>3.66666666666667</v>
      </c>
      <c r="BD5" s="33" t="s">
        <v>80</v>
      </c>
      <c r="BE5" s="30" t="n">
        <v>1</v>
      </c>
      <c r="BF5" s="34" t="s">
        <v>81</v>
      </c>
    </row>
    <row r="6" customFormat="false" ht="12" hidden="false" customHeight="true" outlineLevel="0" collapsed="false">
      <c r="A6" s="21" t="n">
        <v>43</v>
      </c>
      <c r="B6" s="22" t="s">
        <v>82</v>
      </c>
      <c r="C6" s="22" t="s">
        <v>59</v>
      </c>
      <c r="D6" s="22" t="s">
        <v>60</v>
      </c>
      <c r="E6" s="22" t="s">
        <v>61</v>
      </c>
      <c r="F6" s="22" t="s">
        <v>83</v>
      </c>
      <c r="G6" s="22" t="s">
        <v>84</v>
      </c>
      <c r="H6" s="23" t="n">
        <v>360</v>
      </c>
      <c r="I6" s="24" t="n">
        <v>33.45</v>
      </c>
      <c r="J6" s="24" t="n">
        <v>0.093</v>
      </c>
      <c r="K6" s="24" t="n">
        <v>0.425</v>
      </c>
      <c r="L6" s="23" t="n">
        <v>3.4</v>
      </c>
      <c r="M6" s="25" t="n">
        <v>50</v>
      </c>
      <c r="N6" s="23" t="n">
        <v>39</v>
      </c>
      <c r="O6" s="24" t="n">
        <v>2.42</v>
      </c>
      <c r="P6" s="24" t="n">
        <v>0.062</v>
      </c>
      <c r="Q6" s="24" t="n">
        <v>0.376</v>
      </c>
      <c r="R6" s="23" t="n">
        <v>21.6</v>
      </c>
      <c r="S6" s="25" t="n">
        <v>3640</v>
      </c>
      <c r="T6" s="23" t="n">
        <v>0</v>
      </c>
      <c r="U6" s="23" t="n">
        <v>22.7</v>
      </c>
      <c r="V6" s="25" t="n">
        <v>30</v>
      </c>
      <c r="W6" s="23" t="n">
        <v>37.3</v>
      </c>
      <c r="X6" s="24" t="n">
        <v>1.703</v>
      </c>
      <c r="Y6" s="24" t="n">
        <v>0.046</v>
      </c>
      <c r="Z6" s="24" t="n">
        <v>0.373</v>
      </c>
      <c r="AA6" s="23" t="n">
        <v>17.4</v>
      </c>
      <c r="AB6" s="25" t="n">
        <v>3537</v>
      </c>
      <c r="AC6" s="23" t="n">
        <v>0</v>
      </c>
      <c r="AD6" s="23" t="n">
        <v>13.1</v>
      </c>
      <c r="AE6" s="25" t="n">
        <v>23</v>
      </c>
      <c r="AF6" s="23" t="n">
        <v>20.4</v>
      </c>
      <c r="AG6" s="24" t="n">
        <v>2.883</v>
      </c>
      <c r="AH6" s="24" t="n">
        <v>0.141</v>
      </c>
      <c r="AI6" s="23" t="n">
        <v>0</v>
      </c>
      <c r="AJ6" s="25" t="n">
        <v>24</v>
      </c>
      <c r="AK6" s="23" t="n">
        <v>339.6</v>
      </c>
      <c r="AL6" s="24" t="n">
        <v>30.568</v>
      </c>
      <c r="AM6" s="24" t="n">
        <v>0.09</v>
      </c>
      <c r="AN6" s="23" t="n">
        <v>3.4</v>
      </c>
      <c r="AO6" s="26"/>
      <c r="AP6" s="26"/>
      <c r="AQ6" s="26"/>
      <c r="AR6" s="26"/>
      <c r="AS6" s="28" t="n">
        <f aca="false">Table2[[#This Row],[Object_A_._head_time]]+Table2[[#This Row],[Object_B_._head_time]]</f>
        <v>76.3</v>
      </c>
      <c r="AT6" s="28"/>
      <c r="AU6" s="28"/>
      <c r="AV6" s="29"/>
      <c r="AW6" s="28"/>
      <c r="AX6" s="45" t="n">
        <f aca="false">(Table2[[#This Row],[Object_A_._head_time]]/(Table2[[#This Row],[Object_A_._head_time]]+Table2[[#This Row],[Object_B_._head_time]]))</f>
        <v>0.511140235910878</v>
      </c>
      <c r="AY6" s="30" t="s">
        <v>79</v>
      </c>
      <c r="AZ6" s="30" t="s">
        <v>65</v>
      </c>
      <c r="BA6" s="30" t="s">
        <v>66</v>
      </c>
      <c r="BB6" s="31" t="n">
        <v>110</v>
      </c>
      <c r="BC6" s="32" t="n">
        <v>3.66666666666667</v>
      </c>
      <c r="BD6" s="33" t="s">
        <v>67</v>
      </c>
      <c r="BE6" s="30" t="n">
        <v>2</v>
      </c>
      <c r="BF6" s="34" t="s">
        <v>85</v>
      </c>
    </row>
    <row r="7" customFormat="false" ht="12" hidden="false" customHeight="true" outlineLevel="0" collapsed="false">
      <c r="A7" s="21" t="n">
        <v>42</v>
      </c>
      <c r="B7" s="22" t="s">
        <v>86</v>
      </c>
      <c r="C7" s="22" t="s">
        <v>59</v>
      </c>
      <c r="D7" s="22" t="s">
        <v>70</v>
      </c>
      <c r="E7" s="22" t="s">
        <v>61</v>
      </c>
      <c r="F7" s="22" t="s">
        <v>87</v>
      </c>
      <c r="G7" s="22" t="s">
        <v>88</v>
      </c>
      <c r="H7" s="23" t="n">
        <v>360</v>
      </c>
      <c r="I7" s="24" t="n">
        <v>12.621</v>
      </c>
      <c r="J7" s="24" t="n">
        <v>0.035</v>
      </c>
      <c r="K7" s="24" t="n">
        <v>0.29</v>
      </c>
      <c r="L7" s="23" t="n">
        <v>58.4</v>
      </c>
      <c r="M7" s="25" t="n">
        <v>32</v>
      </c>
      <c r="N7" s="23" t="n">
        <v>63.9</v>
      </c>
      <c r="O7" s="24" t="n">
        <v>2.016</v>
      </c>
      <c r="P7" s="24" t="n">
        <v>0.032</v>
      </c>
      <c r="Q7" s="24" t="n">
        <v>0.279</v>
      </c>
      <c r="R7" s="23" t="n">
        <v>22.5</v>
      </c>
      <c r="S7" s="25" t="n">
        <v>5767</v>
      </c>
      <c r="T7" s="23" t="n">
        <v>4.9</v>
      </c>
      <c r="U7" s="23" t="n">
        <v>10.6</v>
      </c>
      <c r="V7" s="25" t="n">
        <v>29</v>
      </c>
      <c r="W7" s="23" t="n">
        <v>51.8</v>
      </c>
      <c r="X7" s="24" t="n">
        <v>1.993</v>
      </c>
      <c r="Y7" s="24" t="n">
        <v>0.038</v>
      </c>
      <c r="Z7" s="24" t="n">
        <v>0.219</v>
      </c>
      <c r="AA7" s="23" t="n">
        <v>13.3</v>
      </c>
      <c r="AB7" s="25" t="n">
        <v>4275</v>
      </c>
      <c r="AC7" s="23" t="n">
        <v>2.5</v>
      </c>
      <c r="AD7" s="23" t="n">
        <v>10.1</v>
      </c>
      <c r="AE7" s="25" t="n">
        <v>34</v>
      </c>
      <c r="AF7" s="23" t="n">
        <v>60.5</v>
      </c>
      <c r="AG7" s="24" t="n">
        <v>2.763</v>
      </c>
      <c r="AH7" s="24" t="n">
        <v>0.046</v>
      </c>
      <c r="AI7" s="23" t="n">
        <v>13.1</v>
      </c>
      <c r="AJ7" s="25" t="n">
        <v>33</v>
      </c>
      <c r="AK7" s="23" t="n">
        <v>299.5</v>
      </c>
      <c r="AL7" s="24" t="n">
        <v>9.858</v>
      </c>
      <c r="AM7" s="24" t="n">
        <v>0.033</v>
      </c>
      <c r="AN7" s="23" t="n">
        <v>45.3</v>
      </c>
      <c r="AO7" s="26"/>
      <c r="AP7" s="26"/>
      <c r="AQ7" s="26"/>
      <c r="AR7" s="26"/>
      <c r="AS7" s="28" t="n">
        <f aca="false">Table2[[#This Row],[Object_A_._head_time]]+Table2[[#This Row],[Object_B_._head_time]]</f>
        <v>115.7</v>
      </c>
      <c r="AT7" s="28"/>
      <c r="AU7" s="28"/>
      <c r="AV7" s="29"/>
      <c r="AW7" s="28"/>
      <c r="AX7" s="45" t="n">
        <f aca="false">(Table2[[#This Row],[Object_A_._head_time]]/(Table2[[#This Row],[Object_A_._head_time]]+Table2[[#This Row],[Object_B_._head_time]]))</f>
        <v>0.552290406222991</v>
      </c>
      <c r="AY7" s="30" t="s">
        <v>64</v>
      </c>
      <c r="AZ7" s="30" t="s">
        <v>65</v>
      </c>
      <c r="BA7" s="30" t="s">
        <v>66</v>
      </c>
      <c r="BB7" s="31" t="n">
        <v>100</v>
      </c>
      <c r="BC7" s="32" t="n">
        <v>3.33333333333333</v>
      </c>
      <c r="BD7" s="33" t="s">
        <v>80</v>
      </c>
      <c r="BE7" s="30" t="n">
        <v>1</v>
      </c>
      <c r="BF7" s="34"/>
    </row>
    <row r="8" customFormat="false" ht="12" hidden="false" customHeight="true" outlineLevel="0" collapsed="false">
      <c r="A8" s="21" t="n">
        <v>44</v>
      </c>
      <c r="B8" s="22" t="s">
        <v>89</v>
      </c>
      <c r="C8" s="22" t="s">
        <v>59</v>
      </c>
      <c r="D8" s="22" t="s">
        <v>73</v>
      </c>
      <c r="E8" s="22" t="s">
        <v>61</v>
      </c>
      <c r="F8" s="22" t="s">
        <v>83</v>
      </c>
      <c r="G8" s="22" t="s">
        <v>90</v>
      </c>
      <c r="H8" s="23" t="n">
        <v>360</v>
      </c>
      <c r="I8" s="24" t="n">
        <v>29.124</v>
      </c>
      <c r="J8" s="24" t="n">
        <v>0.081</v>
      </c>
      <c r="K8" s="24" t="n">
        <v>0.353</v>
      </c>
      <c r="L8" s="23" t="n">
        <v>1.5</v>
      </c>
      <c r="M8" s="25" t="n">
        <v>84</v>
      </c>
      <c r="N8" s="23" t="n">
        <v>87.9</v>
      </c>
      <c r="O8" s="24" t="n">
        <v>6.432</v>
      </c>
      <c r="P8" s="24" t="n">
        <v>0.073</v>
      </c>
      <c r="Q8" s="24" t="n">
        <v>0.35</v>
      </c>
      <c r="R8" s="23" t="n">
        <v>18.9</v>
      </c>
      <c r="S8" s="25" t="n">
        <v>8900</v>
      </c>
      <c r="T8" s="23" t="n">
        <v>0</v>
      </c>
      <c r="U8" s="23" t="n">
        <v>21</v>
      </c>
      <c r="V8" s="25" t="n">
        <v>51</v>
      </c>
      <c r="W8" s="23" t="n">
        <v>62.6</v>
      </c>
      <c r="X8" s="24" t="n">
        <v>3.965</v>
      </c>
      <c r="Y8" s="24" t="n">
        <v>0.063</v>
      </c>
      <c r="Z8" s="24" t="n">
        <v>0.312</v>
      </c>
      <c r="AA8" s="23" t="n">
        <v>21.2</v>
      </c>
      <c r="AB8" s="25" t="n">
        <v>6018</v>
      </c>
      <c r="AC8" s="23" t="n">
        <v>0</v>
      </c>
      <c r="AD8" s="23" t="n">
        <v>19.8</v>
      </c>
      <c r="AE8" s="25" t="n">
        <v>66</v>
      </c>
      <c r="AF8" s="23" t="n">
        <v>93.5</v>
      </c>
      <c r="AG8" s="24" t="n">
        <v>8.889</v>
      </c>
      <c r="AH8" s="24" t="n">
        <v>0.095</v>
      </c>
      <c r="AI8" s="23" t="n">
        <v>0</v>
      </c>
      <c r="AJ8" s="25" t="n">
        <v>66</v>
      </c>
      <c r="AK8" s="23" t="n">
        <v>266.5</v>
      </c>
      <c r="AL8" s="24" t="n">
        <v>20.236</v>
      </c>
      <c r="AM8" s="24" t="n">
        <v>0.076</v>
      </c>
      <c r="AN8" s="23" t="n">
        <v>1.5</v>
      </c>
      <c r="AO8" s="26"/>
      <c r="AP8" s="26"/>
      <c r="AQ8" s="26"/>
      <c r="AR8" s="26"/>
      <c r="AS8" s="28" t="n">
        <f aca="false">Table2[[#This Row],[Object_A_._head_time]]+Table2[[#This Row],[Object_B_._head_time]]</f>
        <v>150.5</v>
      </c>
      <c r="AT8" s="28"/>
      <c r="AU8" s="28"/>
      <c r="AV8" s="29"/>
      <c r="AW8" s="28"/>
      <c r="AX8" s="45" t="n">
        <f aca="false">(Table2[[#This Row],[Object_A_._head_time]]/(Table2[[#This Row],[Object_A_._head_time]]+Table2[[#This Row],[Object_B_._head_time]]))</f>
        <v>0.58405315614618</v>
      </c>
      <c r="AY8" s="30" t="s">
        <v>64</v>
      </c>
      <c r="AZ8" s="30" t="s">
        <v>65</v>
      </c>
      <c r="BA8" s="30" t="s">
        <v>66</v>
      </c>
      <c r="BB8" s="31" t="n">
        <v>100</v>
      </c>
      <c r="BC8" s="32" t="n">
        <v>3.33333333333333</v>
      </c>
      <c r="BD8" s="33" t="s">
        <v>67</v>
      </c>
      <c r="BE8" s="30" t="n">
        <v>2</v>
      </c>
      <c r="BF8" s="34"/>
    </row>
    <row r="9" customFormat="false" ht="12" hidden="false" customHeight="true" outlineLevel="0" collapsed="false">
      <c r="A9" s="21" t="n">
        <v>45</v>
      </c>
      <c r="B9" s="22" t="s">
        <v>91</v>
      </c>
      <c r="C9" s="22" t="s">
        <v>59</v>
      </c>
      <c r="D9" s="22" t="s">
        <v>77</v>
      </c>
      <c r="E9" s="22" t="s">
        <v>61</v>
      </c>
      <c r="F9" s="22" t="s">
        <v>83</v>
      </c>
      <c r="G9" s="22" t="s">
        <v>92</v>
      </c>
      <c r="H9" s="23" t="n">
        <v>360</v>
      </c>
      <c r="I9" s="24" t="n">
        <v>12.982</v>
      </c>
      <c r="J9" s="24" t="n">
        <v>0.036</v>
      </c>
      <c r="K9" s="24" t="n">
        <v>0.346</v>
      </c>
      <c r="L9" s="23" t="n">
        <v>107.8</v>
      </c>
      <c r="M9" s="25" t="n">
        <v>66</v>
      </c>
      <c r="N9" s="23" t="n">
        <v>49.7</v>
      </c>
      <c r="O9" s="24" t="n">
        <v>1.465</v>
      </c>
      <c r="P9" s="24" t="n">
        <v>0.03</v>
      </c>
      <c r="Q9" s="24" t="n">
        <v>0.346</v>
      </c>
      <c r="R9" s="23" t="n">
        <v>22.9</v>
      </c>
      <c r="S9" s="25" t="n">
        <v>4734</v>
      </c>
      <c r="T9" s="23" t="n">
        <v>13.5</v>
      </c>
      <c r="U9" s="23" t="n">
        <v>36.1</v>
      </c>
      <c r="V9" s="25" t="n">
        <v>15</v>
      </c>
      <c r="W9" s="23" t="n">
        <v>12.7</v>
      </c>
      <c r="X9" s="24" t="n">
        <v>0.47</v>
      </c>
      <c r="Y9" s="24" t="n">
        <v>0.037</v>
      </c>
      <c r="Z9" s="24" t="n">
        <v>0.204</v>
      </c>
      <c r="AA9" s="23" t="n">
        <v>7.1</v>
      </c>
      <c r="AB9" s="25" t="n">
        <v>976</v>
      </c>
      <c r="AC9" s="23" t="n">
        <v>0</v>
      </c>
      <c r="AD9" s="23" t="n">
        <v>7.5</v>
      </c>
      <c r="AE9" s="25" t="n">
        <v>14</v>
      </c>
      <c r="AF9" s="23" t="n">
        <v>17.5</v>
      </c>
      <c r="AG9" s="24" t="n">
        <v>1.408</v>
      </c>
      <c r="AH9" s="24" t="n">
        <v>0.08</v>
      </c>
      <c r="AI9" s="23" t="n">
        <v>0</v>
      </c>
      <c r="AJ9" s="25" t="n">
        <v>14</v>
      </c>
      <c r="AK9" s="23" t="n">
        <v>342.5</v>
      </c>
      <c r="AL9" s="24" t="n">
        <v>11.574</v>
      </c>
      <c r="AM9" s="24" t="n">
        <v>0.034</v>
      </c>
      <c r="AN9" s="23" t="n">
        <v>107.8</v>
      </c>
      <c r="AO9" s="26"/>
      <c r="AP9" s="26"/>
      <c r="AQ9" s="26"/>
      <c r="AR9" s="26"/>
      <c r="AS9" s="28" t="n">
        <f aca="false">Table2[[#This Row],[Object_A_._head_time]]+Table2[[#This Row],[Object_B_._head_time]]</f>
        <v>62.4</v>
      </c>
      <c r="AT9" s="28"/>
      <c r="AU9" s="28"/>
      <c r="AV9" s="29"/>
      <c r="AW9" s="28"/>
      <c r="AX9" s="40" t="n">
        <f aca="false">(Table2[[#This Row],[Object_A_._head_time]]/(Table2[[#This Row],[Object_A_._head_time]]+Table2[[#This Row],[Object_B_._head_time]]))</f>
        <v>0.796474358974359</v>
      </c>
      <c r="AY9" s="30" t="s">
        <v>64</v>
      </c>
      <c r="AZ9" s="30" t="s">
        <v>65</v>
      </c>
      <c r="BA9" s="30" t="s">
        <v>93</v>
      </c>
      <c r="BB9" s="31" t="n">
        <v>100</v>
      </c>
      <c r="BC9" s="32" t="n">
        <v>3.33333333333333</v>
      </c>
      <c r="BD9" s="33" t="s">
        <v>67</v>
      </c>
      <c r="BE9" s="30" t="n">
        <v>4</v>
      </c>
      <c r="BF9" s="34" t="s">
        <v>94</v>
      </c>
    </row>
    <row r="10" customFormat="false" ht="12" hidden="false" customHeight="true" outlineLevel="0" collapsed="false">
      <c r="A10" s="21" t="n">
        <v>47</v>
      </c>
      <c r="B10" s="22" t="s">
        <v>95</v>
      </c>
      <c r="C10" s="22" t="s">
        <v>59</v>
      </c>
      <c r="D10" s="22" t="s">
        <v>60</v>
      </c>
      <c r="E10" s="22" t="s">
        <v>61</v>
      </c>
      <c r="F10" s="22" t="s">
        <v>96</v>
      </c>
      <c r="G10" s="22" t="s">
        <v>97</v>
      </c>
      <c r="H10" s="23" t="n">
        <v>360</v>
      </c>
      <c r="I10" s="24" t="n">
        <v>24.922</v>
      </c>
      <c r="J10" s="24" t="n">
        <v>0.069</v>
      </c>
      <c r="K10" s="24" t="n">
        <v>0.326</v>
      </c>
      <c r="L10" s="23" t="n">
        <v>13.7</v>
      </c>
      <c r="M10" s="25" t="n">
        <v>34</v>
      </c>
      <c r="N10" s="23" t="n">
        <v>38.3</v>
      </c>
      <c r="O10" s="24" t="n">
        <v>2.255</v>
      </c>
      <c r="P10" s="24" t="n">
        <v>0.059</v>
      </c>
      <c r="Q10" s="24" t="n">
        <v>0.283</v>
      </c>
      <c r="R10" s="23" t="n">
        <v>10.8</v>
      </c>
      <c r="S10" s="25" t="n">
        <v>3675</v>
      </c>
      <c r="T10" s="23" t="n">
        <v>1.2</v>
      </c>
      <c r="U10" s="23" t="n">
        <v>6.7</v>
      </c>
      <c r="V10" s="25" t="n">
        <v>44</v>
      </c>
      <c r="W10" s="23" t="n">
        <v>64.1</v>
      </c>
      <c r="X10" s="24" t="n">
        <v>3.286</v>
      </c>
      <c r="Y10" s="24" t="n">
        <v>0.051</v>
      </c>
      <c r="Z10" s="24" t="n">
        <v>0.277</v>
      </c>
      <c r="AA10" s="23" t="n">
        <v>21.5</v>
      </c>
      <c r="AB10" s="25" t="n">
        <v>6209</v>
      </c>
      <c r="AC10" s="23" t="n">
        <v>2.6</v>
      </c>
      <c r="AD10" s="23" t="n">
        <v>16</v>
      </c>
      <c r="AE10" s="25" t="n">
        <v>36</v>
      </c>
      <c r="AF10" s="23" t="n">
        <v>60</v>
      </c>
      <c r="AG10" s="24" t="n">
        <v>4.336</v>
      </c>
      <c r="AH10" s="24" t="n">
        <v>0.072</v>
      </c>
      <c r="AI10" s="23" t="n">
        <v>1.2</v>
      </c>
      <c r="AJ10" s="25" t="n">
        <v>37</v>
      </c>
      <c r="AK10" s="23" t="n">
        <v>300</v>
      </c>
      <c r="AL10" s="24" t="n">
        <v>20.587</v>
      </c>
      <c r="AM10" s="24" t="n">
        <v>0.069</v>
      </c>
      <c r="AN10" s="23" t="n">
        <v>12.6</v>
      </c>
      <c r="AO10" s="26"/>
      <c r="AP10" s="26"/>
      <c r="AQ10" s="26"/>
      <c r="AR10" s="26"/>
      <c r="AS10" s="28" t="n">
        <f aca="false">Table2[[#This Row],[Object_A_._head_time]]+Table2[[#This Row],[Object_B_._head_time]]</f>
        <v>102.4</v>
      </c>
      <c r="AT10" s="28"/>
      <c r="AU10" s="28"/>
      <c r="AV10" s="29"/>
      <c r="AW10" s="28"/>
      <c r="AX10" s="45" t="n">
        <f aca="false">(Table2[[#This Row],[Object_A_._head_time]]/(Table2[[#This Row],[Object_A_._head_time]]+Table2[[#This Row],[Object_B_._head_time]]))</f>
        <v>0.3740234375</v>
      </c>
      <c r="AY10" s="30" t="s">
        <v>79</v>
      </c>
      <c r="AZ10" s="30" t="s">
        <v>65</v>
      </c>
      <c r="BA10" s="30" t="s">
        <v>93</v>
      </c>
      <c r="BB10" s="31" t="n">
        <v>100</v>
      </c>
      <c r="BC10" s="32" t="n">
        <v>3.33333333333333</v>
      </c>
      <c r="BD10" s="33" t="s">
        <v>67</v>
      </c>
      <c r="BE10" s="30" t="n">
        <v>4</v>
      </c>
      <c r="BF10" s="34"/>
    </row>
    <row r="11" customFormat="false" ht="12" hidden="false" customHeight="true" outlineLevel="0" collapsed="false">
      <c r="A11" s="21" t="n">
        <v>46</v>
      </c>
      <c r="B11" s="22" t="s">
        <v>98</v>
      </c>
      <c r="C11" s="22" t="s">
        <v>59</v>
      </c>
      <c r="D11" s="22" t="s">
        <v>70</v>
      </c>
      <c r="E11" s="22" t="s">
        <v>61</v>
      </c>
      <c r="F11" s="22" t="s">
        <v>96</v>
      </c>
      <c r="G11" s="22" t="s">
        <v>99</v>
      </c>
      <c r="H11" s="23" t="n">
        <v>360</v>
      </c>
      <c r="I11" s="24" t="n">
        <v>9.31</v>
      </c>
      <c r="J11" s="24" t="n">
        <v>0.026</v>
      </c>
      <c r="K11" s="24" t="n">
        <v>0.321</v>
      </c>
      <c r="L11" s="23" t="n">
        <v>143.1</v>
      </c>
      <c r="M11" s="25" t="n">
        <v>18</v>
      </c>
      <c r="N11" s="23" t="n">
        <v>11.7</v>
      </c>
      <c r="O11" s="24" t="n">
        <v>0.3</v>
      </c>
      <c r="P11" s="24" t="n">
        <v>0.026</v>
      </c>
      <c r="Q11" s="24" t="n">
        <v>0.215</v>
      </c>
      <c r="R11" s="23" t="n">
        <v>8.7</v>
      </c>
      <c r="S11" s="25" t="n">
        <v>991</v>
      </c>
      <c r="T11" s="23" t="n">
        <v>0.2</v>
      </c>
      <c r="U11" s="23" t="n">
        <v>10.3</v>
      </c>
      <c r="V11" s="25" t="n">
        <v>6</v>
      </c>
      <c r="W11" s="23" t="n">
        <v>5.5</v>
      </c>
      <c r="X11" s="24" t="n">
        <v>0.153</v>
      </c>
      <c r="Y11" s="24" t="n">
        <v>0.028</v>
      </c>
      <c r="Z11" s="24" t="n">
        <v>0.181</v>
      </c>
      <c r="AA11" s="23" t="n">
        <v>3.5</v>
      </c>
      <c r="AB11" s="25" t="n">
        <v>437</v>
      </c>
      <c r="AC11" s="23" t="n">
        <v>0</v>
      </c>
      <c r="AD11" s="23" t="n">
        <v>2.8</v>
      </c>
      <c r="AE11" s="25" t="n">
        <v>4</v>
      </c>
      <c r="AF11" s="23" t="n">
        <v>17.4</v>
      </c>
      <c r="AG11" s="24" t="n">
        <v>0.664</v>
      </c>
      <c r="AH11" s="24" t="n">
        <v>0.038</v>
      </c>
      <c r="AI11" s="23" t="n">
        <v>2.1</v>
      </c>
      <c r="AJ11" s="25" t="n">
        <v>4</v>
      </c>
      <c r="AK11" s="23" t="n">
        <v>342.6</v>
      </c>
      <c r="AL11" s="24" t="n">
        <v>8.646</v>
      </c>
      <c r="AM11" s="24" t="n">
        <v>0.025</v>
      </c>
      <c r="AN11" s="23" t="n">
        <v>141</v>
      </c>
      <c r="AO11" s="26"/>
      <c r="AP11" s="26"/>
      <c r="AQ11" s="26"/>
      <c r="AR11" s="26"/>
      <c r="AS11" s="28" t="n">
        <f aca="false">Table2[[#This Row],[Object_A_._head_time]]+Table2[[#This Row],[Object_B_._head_time]]</f>
        <v>17.2</v>
      </c>
      <c r="AT11" s="28"/>
      <c r="AU11" s="28"/>
      <c r="AV11" s="29"/>
      <c r="AW11" s="28"/>
      <c r="AX11" s="45" t="n">
        <f aca="false">(Table2[[#This Row],[Object_A_._head_time]]/(Table2[[#This Row],[Object_A_._head_time]]+Table2[[#This Row],[Object_B_._head_time]]))</f>
        <v>0.680232558139535</v>
      </c>
      <c r="AY11" s="30" t="s">
        <v>79</v>
      </c>
      <c r="AZ11" s="30" t="s">
        <v>65</v>
      </c>
      <c r="BA11" s="30" t="s">
        <v>66</v>
      </c>
      <c r="BB11" s="31" t="n">
        <v>95</v>
      </c>
      <c r="BC11" s="32" t="n">
        <v>3.16666666666667</v>
      </c>
      <c r="BD11" s="33" t="s">
        <v>80</v>
      </c>
      <c r="BE11" s="30" t="n">
        <v>1</v>
      </c>
      <c r="BF11" s="34"/>
    </row>
    <row r="12" customFormat="false" ht="12" hidden="false" customHeight="true" outlineLevel="0" collapsed="false">
      <c r="A12" s="21" t="n">
        <v>48</v>
      </c>
      <c r="B12" s="22" t="s">
        <v>100</v>
      </c>
      <c r="C12" s="22" t="s">
        <v>59</v>
      </c>
      <c r="D12" s="22" t="s">
        <v>73</v>
      </c>
      <c r="E12" s="22" t="s">
        <v>61</v>
      </c>
      <c r="F12" s="22" t="s">
        <v>101</v>
      </c>
      <c r="G12" s="22" t="s">
        <v>102</v>
      </c>
      <c r="H12" s="23" t="n">
        <v>360</v>
      </c>
      <c r="I12" s="24" t="n">
        <v>13.125</v>
      </c>
      <c r="J12" s="24" t="n">
        <v>0.036</v>
      </c>
      <c r="K12" s="24" t="n">
        <v>0.297</v>
      </c>
      <c r="L12" s="23" t="n">
        <v>77.8</v>
      </c>
      <c r="M12" s="25" t="n">
        <v>29</v>
      </c>
      <c r="N12" s="23" t="n">
        <v>30.2</v>
      </c>
      <c r="O12" s="24" t="n">
        <v>1.076</v>
      </c>
      <c r="P12" s="24" t="n">
        <v>0.036</v>
      </c>
      <c r="Q12" s="24" t="n">
        <v>0.236</v>
      </c>
      <c r="R12" s="23" t="n">
        <v>16.5</v>
      </c>
      <c r="S12" s="25" t="n">
        <v>2783</v>
      </c>
      <c r="T12" s="23" t="n">
        <v>0</v>
      </c>
      <c r="U12" s="23" t="n">
        <v>15</v>
      </c>
      <c r="V12" s="25" t="n">
        <v>42</v>
      </c>
      <c r="W12" s="23" t="n">
        <v>44</v>
      </c>
      <c r="X12" s="24" t="n">
        <v>1.503</v>
      </c>
      <c r="Y12" s="24" t="n">
        <v>0.034</v>
      </c>
      <c r="Z12" s="24" t="n">
        <v>0.265</v>
      </c>
      <c r="AA12" s="23" t="n">
        <v>16.5</v>
      </c>
      <c r="AB12" s="25" t="n">
        <v>4198</v>
      </c>
      <c r="AC12" s="23" t="n">
        <v>0</v>
      </c>
      <c r="AD12" s="23" t="n">
        <v>17</v>
      </c>
      <c r="AE12" s="25" t="n">
        <v>15</v>
      </c>
      <c r="AF12" s="23" t="n">
        <v>30.5</v>
      </c>
      <c r="AG12" s="24" t="n">
        <v>2.483</v>
      </c>
      <c r="AH12" s="24" t="n">
        <v>0.082</v>
      </c>
      <c r="AI12" s="23" t="n">
        <v>0</v>
      </c>
      <c r="AJ12" s="25" t="n">
        <v>15</v>
      </c>
      <c r="AK12" s="23" t="n">
        <v>329.5</v>
      </c>
      <c r="AL12" s="24" t="n">
        <v>10.642</v>
      </c>
      <c r="AM12" s="24" t="n">
        <v>0.032</v>
      </c>
      <c r="AN12" s="23" t="n">
        <v>77.8</v>
      </c>
      <c r="AO12" s="26"/>
      <c r="AP12" s="26"/>
      <c r="AQ12" s="26"/>
      <c r="AR12" s="26"/>
      <c r="AS12" s="28" t="n">
        <f aca="false">Table2[[#This Row],[Object_A_._head_time]]+Table2[[#This Row],[Object_B_._head_time]]</f>
        <v>74.2</v>
      </c>
      <c r="AT12" s="28"/>
      <c r="AU12" s="28"/>
      <c r="AV12" s="29"/>
      <c r="AW12" s="28"/>
      <c r="AX12" s="45" t="n">
        <f aca="false">(Table2[[#This Row],[Object_A_._head_time]]/(Table2[[#This Row],[Object_A_._head_time]]+Table2[[#This Row],[Object_B_._head_time]]))</f>
        <v>0.407008086253369</v>
      </c>
      <c r="AY12" s="30" t="s">
        <v>64</v>
      </c>
      <c r="AZ12" s="30" t="s">
        <v>65</v>
      </c>
      <c r="BA12" s="30" t="s">
        <v>93</v>
      </c>
      <c r="BB12" s="31" t="n">
        <v>95</v>
      </c>
      <c r="BC12" s="32" t="n">
        <v>3.16666666666667</v>
      </c>
      <c r="BD12" s="33" t="s">
        <v>80</v>
      </c>
      <c r="BE12" s="30" t="n">
        <v>3</v>
      </c>
      <c r="BF12" s="34"/>
    </row>
    <row r="13" customFormat="false" ht="12" hidden="false" customHeight="true" outlineLevel="0" collapsed="false">
      <c r="A13" s="21" t="n">
        <v>49</v>
      </c>
      <c r="B13" s="22" t="s">
        <v>103</v>
      </c>
      <c r="C13" s="22" t="s">
        <v>59</v>
      </c>
      <c r="D13" s="22" t="s">
        <v>77</v>
      </c>
      <c r="E13" s="22" t="s">
        <v>61</v>
      </c>
      <c r="F13" s="22" t="s">
        <v>101</v>
      </c>
      <c r="G13" s="22" t="s">
        <v>104</v>
      </c>
      <c r="H13" s="23" t="n">
        <v>360</v>
      </c>
      <c r="I13" s="24" t="n">
        <v>7.456</v>
      </c>
      <c r="J13" s="24" t="n">
        <v>0.021</v>
      </c>
      <c r="K13" s="24" t="n">
        <v>0.283</v>
      </c>
      <c r="L13" s="23" t="n">
        <v>201.5</v>
      </c>
      <c r="M13" s="25" t="n">
        <v>10</v>
      </c>
      <c r="N13" s="23" t="n">
        <v>9.3</v>
      </c>
      <c r="O13" s="24" t="n">
        <v>0.31</v>
      </c>
      <c r="P13" s="24" t="n">
        <v>0.033</v>
      </c>
      <c r="Q13" s="24" t="n">
        <v>0.213</v>
      </c>
      <c r="R13" s="23" t="n">
        <v>5.4</v>
      </c>
      <c r="S13" s="25" t="n">
        <v>1035</v>
      </c>
      <c r="T13" s="23" t="n">
        <v>0</v>
      </c>
      <c r="U13" s="23" t="n">
        <v>4.7</v>
      </c>
      <c r="V13" s="25" t="n">
        <v>54</v>
      </c>
      <c r="W13" s="23" t="n">
        <v>125.2</v>
      </c>
      <c r="X13" s="24" t="n">
        <v>0.745</v>
      </c>
      <c r="Y13" s="24" t="n">
        <v>0.006</v>
      </c>
      <c r="Z13" s="24" t="n">
        <v>0.273</v>
      </c>
      <c r="AA13" s="23" t="n">
        <v>112.5</v>
      </c>
      <c r="AB13" s="25" t="n">
        <v>3516</v>
      </c>
      <c r="AC13" s="23" t="n">
        <v>91.4</v>
      </c>
      <c r="AD13" s="23" t="n">
        <v>109.3</v>
      </c>
      <c r="AE13" s="25" t="n">
        <v>5</v>
      </c>
      <c r="AF13" s="23" t="n">
        <v>5.6</v>
      </c>
      <c r="AG13" s="24" t="n">
        <v>0.499</v>
      </c>
      <c r="AH13" s="24" t="n">
        <v>0.09</v>
      </c>
      <c r="AI13" s="23" t="n">
        <v>0</v>
      </c>
      <c r="AJ13" s="25" t="n">
        <v>6</v>
      </c>
      <c r="AK13" s="23" t="n">
        <v>354.4</v>
      </c>
      <c r="AL13" s="24" t="n">
        <v>6.957</v>
      </c>
      <c r="AM13" s="24" t="n">
        <v>0.02</v>
      </c>
      <c r="AN13" s="23" t="n">
        <v>201.5</v>
      </c>
      <c r="AO13" s="26"/>
      <c r="AP13" s="26"/>
      <c r="AQ13" s="26"/>
      <c r="AR13" s="26"/>
      <c r="AS13" s="28" t="n">
        <f aca="false">Table2[[#This Row],[Object_A_._head_time]]+Table2[[#This Row],[Object_B_._head_time]]</f>
        <v>134.5</v>
      </c>
      <c r="AT13" s="28"/>
      <c r="AU13" s="28"/>
      <c r="AV13" s="29"/>
      <c r="AW13" s="28"/>
      <c r="AX13" s="40" t="n">
        <f aca="false">(Table2[[#This Row],[Object_A_._head_time]]/(Table2[[#This Row],[Object_A_._head_time]]+Table2[[#This Row],[Object_B_._head_time]]))</f>
        <v>0.0691449814126394</v>
      </c>
      <c r="AY13" s="30" t="s">
        <v>64</v>
      </c>
      <c r="AZ13" s="30" t="s">
        <v>105</v>
      </c>
      <c r="BA13" s="30" t="s">
        <v>66</v>
      </c>
      <c r="BB13" s="31" t="n">
        <v>95</v>
      </c>
      <c r="BC13" s="32" t="n">
        <v>3.16666666666667</v>
      </c>
      <c r="BD13" s="33" t="s">
        <v>67</v>
      </c>
      <c r="BE13" s="30" t="n">
        <v>6</v>
      </c>
      <c r="BF13" s="34"/>
    </row>
    <row r="14" customFormat="false" ht="12" hidden="false" customHeight="true" outlineLevel="0" collapsed="false">
      <c r="A14" s="21" t="n">
        <v>51</v>
      </c>
      <c r="B14" s="22" t="s">
        <v>106</v>
      </c>
      <c r="C14" s="22" t="s">
        <v>59</v>
      </c>
      <c r="D14" s="22" t="s">
        <v>60</v>
      </c>
      <c r="E14" s="22" t="s">
        <v>61</v>
      </c>
      <c r="F14" s="22" t="s">
        <v>107</v>
      </c>
      <c r="G14" s="22" t="s">
        <v>108</v>
      </c>
      <c r="H14" s="23" t="n">
        <v>360</v>
      </c>
      <c r="I14" s="24" t="n">
        <v>19.348</v>
      </c>
      <c r="J14" s="24" t="n">
        <v>0.054</v>
      </c>
      <c r="K14" s="24" t="n">
        <v>0.359</v>
      </c>
      <c r="L14" s="23" t="n">
        <v>88</v>
      </c>
      <c r="M14" s="25" t="n">
        <v>27</v>
      </c>
      <c r="N14" s="23" t="n">
        <v>41.4</v>
      </c>
      <c r="O14" s="24" t="n">
        <v>2.253</v>
      </c>
      <c r="P14" s="24" t="n">
        <v>0.054</v>
      </c>
      <c r="Q14" s="24" t="n">
        <v>0.28</v>
      </c>
      <c r="R14" s="23" t="n">
        <v>14.6</v>
      </c>
      <c r="S14" s="25" t="n">
        <v>3739</v>
      </c>
      <c r="T14" s="23" t="n">
        <v>2.3</v>
      </c>
      <c r="U14" s="23" t="n">
        <v>19.3</v>
      </c>
      <c r="V14" s="25" t="n">
        <v>30</v>
      </c>
      <c r="W14" s="23" t="n">
        <v>41.4</v>
      </c>
      <c r="X14" s="24" t="n">
        <v>2.037</v>
      </c>
      <c r="Y14" s="24" t="n">
        <v>0.049</v>
      </c>
      <c r="Z14" s="24" t="n">
        <v>0.316</v>
      </c>
      <c r="AA14" s="23" t="n">
        <v>7.4</v>
      </c>
      <c r="AB14" s="25" t="n">
        <v>4087</v>
      </c>
      <c r="AC14" s="23" t="n">
        <v>0</v>
      </c>
      <c r="AD14" s="23" t="n">
        <v>8.8</v>
      </c>
      <c r="AE14" s="25" t="n">
        <v>22</v>
      </c>
      <c r="AF14" s="23" t="n">
        <v>22.8</v>
      </c>
      <c r="AG14" s="24" t="n">
        <v>2.745</v>
      </c>
      <c r="AH14" s="24" t="n">
        <v>0.12</v>
      </c>
      <c r="AI14" s="23" t="n">
        <v>0</v>
      </c>
      <c r="AJ14" s="25" t="n">
        <v>22</v>
      </c>
      <c r="AK14" s="23" t="n">
        <v>337.2</v>
      </c>
      <c r="AL14" s="24" t="n">
        <v>16.603</v>
      </c>
      <c r="AM14" s="24" t="n">
        <v>0.049</v>
      </c>
      <c r="AN14" s="23" t="n">
        <v>88</v>
      </c>
      <c r="AO14" s="26"/>
      <c r="AP14" s="26"/>
      <c r="AQ14" s="26"/>
      <c r="AR14" s="26"/>
      <c r="AS14" s="28" t="n">
        <f aca="false">Table2[[#This Row],[Object_A_._head_time]]+Table2[[#This Row],[Object_B_._head_time]]</f>
        <v>82.8</v>
      </c>
      <c r="AT14" s="28"/>
      <c r="AU14" s="28"/>
      <c r="AV14" s="29"/>
      <c r="AW14" s="28"/>
      <c r="AX14" s="45" t="n">
        <f aca="false">(Table2[[#This Row],[Object_A_._head_time]]/(Table2[[#This Row],[Object_A_._head_time]]+Table2[[#This Row],[Object_B_._head_time]]))</f>
        <v>0.5</v>
      </c>
      <c r="AY14" s="30" t="s">
        <v>79</v>
      </c>
      <c r="AZ14" s="30" t="s">
        <v>65</v>
      </c>
      <c r="BA14" s="30" t="s">
        <v>93</v>
      </c>
      <c r="BB14" s="31" t="n">
        <v>85</v>
      </c>
      <c r="BC14" s="32" t="n">
        <v>2.83333333333333</v>
      </c>
      <c r="BD14" s="33" t="s">
        <v>80</v>
      </c>
      <c r="BE14" s="30" t="n">
        <v>3</v>
      </c>
      <c r="BF14" s="34"/>
    </row>
    <row r="15" customFormat="false" ht="12" hidden="false" customHeight="true" outlineLevel="0" collapsed="false">
      <c r="A15" s="21" t="n">
        <v>50</v>
      </c>
      <c r="B15" s="22" t="s">
        <v>109</v>
      </c>
      <c r="C15" s="22" t="s">
        <v>59</v>
      </c>
      <c r="D15" s="22" t="s">
        <v>70</v>
      </c>
      <c r="E15" s="22" t="s">
        <v>61</v>
      </c>
      <c r="F15" s="22" t="s">
        <v>107</v>
      </c>
      <c r="G15" s="22" t="s">
        <v>110</v>
      </c>
      <c r="H15" s="23" t="n">
        <v>360</v>
      </c>
      <c r="I15" s="24" t="n">
        <v>7.973</v>
      </c>
      <c r="J15" s="24" t="n">
        <v>0.022</v>
      </c>
      <c r="K15" s="24" t="n">
        <v>0.242</v>
      </c>
      <c r="L15" s="23" t="n">
        <v>163</v>
      </c>
      <c r="M15" s="25" t="n">
        <v>32</v>
      </c>
      <c r="N15" s="23" t="n">
        <v>127.9</v>
      </c>
      <c r="O15" s="24" t="n">
        <v>1.652</v>
      </c>
      <c r="P15" s="24" t="n">
        <v>0.013</v>
      </c>
      <c r="Q15" s="24" t="n">
        <v>0.208</v>
      </c>
      <c r="R15" s="23" t="n">
        <v>29.9</v>
      </c>
      <c r="S15" s="25" t="n">
        <v>8318</v>
      </c>
      <c r="T15" s="23" t="n">
        <v>68</v>
      </c>
      <c r="U15" s="23" t="n">
        <v>52.4</v>
      </c>
      <c r="V15" s="25" t="n">
        <v>14</v>
      </c>
      <c r="W15" s="23" t="n">
        <v>28.2</v>
      </c>
      <c r="X15" s="24" t="n">
        <v>1.264</v>
      </c>
      <c r="Y15" s="24" t="n">
        <v>0.045</v>
      </c>
      <c r="Z15" s="24" t="n">
        <v>0.235</v>
      </c>
      <c r="AA15" s="23" t="n">
        <v>8.9</v>
      </c>
      <c r="AB15" s="25" t="n">
        <v>2274</v>
      </c>
      <c r="AC15" s="23" t="n">
        <v>1.4</v>
      </c>
      <c r="AD15" s="23" t="n">
        <v>4.8</v>
      </c>
      <c r="AE15" s="25" t="n">
        <v>15</v>
      </c>
      <c r="AF15" s="23" t="n">
        <v>33.9</v>
      </c>
      <c r="AG15" s="24" t="n">
        <v>2.053</v>
      </c>
      <c r="AH15" s="24" t="n">
        <v>0.061</v>
      </c>
      <c r="AI15" s="23" t="n">
        <v>2.4</v>
      </c>
      <c r="AJ15" s="25" t="n">
        <v>15</v>
      </c>
      <c r="AK15" s="23" t="n">
        <v>326.1</v>
      </c>
      <c r="AL15" s="24" t="n">
        <v>5.92</v>
      </c>
      <c r="AM15" s="24" t="n">
        <v>0.018</v>
      </c>
      <c r="AN15" s="23" t="n">
        <v>160.7</v>
      </c>
      <c r="AO15" s="26"/>
      <c r="AP15" s="26"/>
      <c r="AQ15" s="26"/>
      <c r="AR15" s="26"/>
      <c r="AS15" s="28" t="n">
        <f aca="false">Table2[[#This Row],[Object_A_._head_time]]+Table2[[#This Row],[Object_B_._head_time]]</f>
        <v>156.1</v>
      </c>
      <c r="AT15" s="28"/>
      <c r="AU15" s="28"/>
      <c r="AV15" s="29"/>
      <c r="AW15" s="28"/>
      <c r="AX15" s="40" t="n">
        <f aca="false">(Table2[[#This Row],[Object_A_._head_time]]/(Table2[[#This Row],[Object_A_._head_time]]+Table2[[#This Row],[Object_B_._head_time]]))</f>
        <v>0.819346572709801</v>
      </c>
      <c r="AY15" s="30" t="s">
        <v>79</v>
      </c>
      <c r="AZ15" s="30" t="s">
        <v>65</v>
      </c>
      <c r="BA15" s="30" t="s">
        <v>66</v>
      </c>
      <c r="BB15" s="31" t="n">
        <v>85</v>
      </c>
      <c r="BC15" s="32" t="n">
        <v>2.83333333333333</v>
      </c>
      <c r="BD15" s="33" t="s">
        <v>67</v>
      </c>
      <c r="BE15" s="30" t="n">
        <v>2</v>
      </c>
      <c r="BF15" s="34"/>
    </row>
    <row r="16" customFormat="false" ht="12" hidden="false" customHeight="true" outlineLevel="0" collapsed="false">
      <c r="A16" s="21" t="n">
        <v>52</v>
      </c>
      <c r="B16" s="22" t="s">
        <v>111</v>
      </c>
      <c r="C16" s="22" t="s">
        <v>59</v>
      </c>
      <c r="D16" s="22" t="s">
        <v>73</v>
      </c>
      <c r="E16" s="22" t="s">
        <v>61</v>
      </c>
      <c r="F16" s="22" t="s">
        <v>107</v>
      </c>
      <c r="G16" s="22" t="s">
        <v>112</v>
      </c>
      <c r="H16" s="23" t="n">
        <v>360</v>
      </c>
      <c r="I16" s="24" t="n">
        <v>8.71</v>
      </c>
      <c r="J16" s="24" t="n">
        <v>0.024</v>
      </c>
      <c r="K16" s="24" t="n">
        <v>0.291</v>
      </c>
      <c r="L16" s="23" t="n">
        <v>128.1</v>
      </c>
      <c r="M16" s="25" t="n">
        <v>14</v>
      </c>
      <c r="N16" s="23" t="n">
        <v>14.2</v>
      </c>
      <c r="O16" s="24" t="n">
        <v>0.43</v>
      </c>
      <c r="P16" s="24" t="n">
        <v>0.03</v>
      </c>
      <c r="Q16" s="24" t="n">
        <v>0.206</v>
      </c>
      <c r="R16" s="23" t="n">
        <v>8.3</v>
      </c>
      <c r="S16" s="25" t="n">
        <v>1333</v>
      </c>
      <c r="T16" s="23" t="n">
        <v>0</v>
      </c>
      <c r="U16" s="23" t="n">
        <v>7.9</v>
      </c>
      <c r="V16" s="25" t="n">
        <v>15</v>
      </c>
      <c r="W16" s="23" t="n">
        <v>14.7</v>
      </c>
      <c r="X16" s="24" t="n">
        <v>0.491</v>
      </c>
      <c r="Y16" s="24" t="n">
        <v>0.033</v>
      </c>
      <c r="Z16" s="24" t="n">
        <v>0.194</v>
      </c>
      <c r="AA16" s="23" t="n">
        <v>11.1</v>
      </c>
      <c r="AB16" s="25" t="n">
        <v>1046</v>
      </c>
      <c r="AC16" s="23" t="n">
        <v>0</v>
      </c>
      <c r="AD16" s="23" t="n">
        <v>10.2</v>
      </c>
      <c r="AE16" s="25" t="n">
        <v>7</v>
      </c>
      <c r="AF16" s="23" t="n">
        <v>22.7</v>
      </c>
      <c r="AG16" s="24" t="n">
        <v>1.33</v>
      </c>
      <c r="AH16" s="24" t="n">
        <v>0.059</v>
      </c>
      <c r="AI16" s="23" t="n">
        <v>0</v>
      </c>
      <c r="AJ16" s="25" t="n">
        <v>7</v>
      </c>
      <c r="AK16" s="23" t="n">
        <v>337.3</v>
      </c>
      <c r="AL16" s="24" t="n">
        <v>7.38</v>
      </c>
      <c r="AM16" s="24" t="n">
        <v>0.022</v>
      </c>
      <c r="AN16" s="23" t="n">
        <v>128.1</v>
      </c>
      <c r="AO16" s="26"/>
      <c r="AP16" s="26"/>
      <c r="AQ16" s="26"/>
      <c r="AR16" s="26"/>
      <c r="AS16" s="28" t="n">
        <f aca="false">Table2[[#This Row],[Object_A_._head_time]]+Table2[[#This Row],[Object_B_._head_time]]</f>
        <v>28.9</v>
      </c>
      <c r="AT16" s="28"/>
      <c r="AU16" s="28"/>
      <c r="AV16" s="29"/>
      <c r="AW16" s="28"/>
      <c r="AX16" s="45" t="n">
        <f aca="false">(Table2[[#This Row],[Object_A_._head_time]]/(Table2[[#This Row],[Object_A_._head_time]]+Table2[[#This Row],[Object_B_._head_time]]))</f>
        <v>0.491349480968858</v>
      </c>
      <c r="AY16" s="30" t="s">
        <v>79</v>
      </c>
      <c r="AZ16" s="30" t="s">
        <v>65</v>
      </c>
      <c r="BA16" s="30" t="s">
        <v>93</v>
      </c>
      <c r="BB16" s="31" t="n">
        <v>85</v>
      </c>
      <c r="BC16" s="32" t="n">
        <v>2.83333333333333</v>
      </c>
      <c r="BD16" s="33" t="s">
        <v>67</v>
      </c>
      <c r="BE16" s="30" t="n">
        <v>4</v>
      </c>
      <c r="BF16" s="34"/>
    </row>
    <row r="17" customFormat="false" ht="12" hidden="false" customHeight="true" outlineLevel="0" collapsed="false">
      <c r="A17" s="21" t="n">
        <v>53</v>
      </c>
      <c r="B17" s="22" t="s">
        <v>113</v>
      </c>
      <c r="C17" s="22" t="s">
        <v>59</v>
      </c>
      <c r="D17" s="22" t="s">
        <v>77</v>
      </c>
      <c r="E17" s="22" t="s">
        <v>61</v>
      </c>
      <c r="F17" s="22" t="s">
        <v>114</v>
      </c>
      <c r="G17" s="22" t="s">
        <v>115</v>
      </c>
      <c r="H17" s="23" t="n">
        <v>360</v>
      </c>
      <c r="I17" s="24" t="n">
        <v>10.44</v>
      </c>
      <c r="J17" s="24" t="n">
        <v>0.029</v>
      </c>
      <c r="K17" s="24" t="n">
        <v>0.315</v>
      </c>
      <c r="L17" s="23" t="n">
        <v>180.5</v>
      </c>
      <c r="M17" s="25" t="n">
        <v>7</v>
      </c>
      <c r="N17" s="23" t="n">
        <v>7.8</v>
      </c>
      <c r="O17" s="24" t="n">
        <v>0.474</v>
      </c>
      <c r="P17" s="24" t="n">
        <v>0.061</v>
      </c>
      <c r="Q17" s="24" t="n">
        <v>0.265</v>
      </c>
      <c r="R17" s="23" t="n">
        <v>5.2</v>
      </c>
      <c r="S17" s="25" t="n">
        <v>633</v>
      </c>
      <c r="T17" s="23" t="n">
        <v>0</v>
      </c>
      <c r="U17" s="23" t="n">
        <v>4</v>
      </c>
      <c r="V17" s="25" t="n">
        <v>27</v>
      </c>
      <c r="W17" s="23" t="n">
        <v>20.4</v>
      </c>
      <c r="X17" s="24" t="n">
        <v>0.804</v>
      </c>
      <c r="Y17" s="24" t="n">
        <v>0.039</v>
      </c>
      <c r="Z17" s="24" t="n">
        <v>0.271</v>
      </c>
      <c r="AA17" s="23" t="n">
        <v>13.2</v>
      </c>
      <c r="AB17" s="25" t="n">
        <v>1753</v>
      </c>
      <c r="AC17" s="23" t="n">
        <v>3.5</v>
      </c>
      <c r="AD17" s="23" t="n">
        <v>17.1</v>
      </c>
      <c r="AE17" s="25" t="n">
        <v>4</v>
      </c>
      <c r="AF17" s="23" t="n">
        <v>6.2</v>
      </c>
      <c r="AG17" s="24" t="n">
        <v>0.443</v>
      </c>
      <c r="AH17" s="24" t="n">
        <v>0.071</v>
      </c>
      <c r="AI17" s="23" t="n">
        <v>0</v>
      </c>
      <c r="AJ17" s="25" t="n">
        <v>5</v>
      </c>
      <c r="AK17" s="23" t="n">
        <v>353.8</v>
      </c>
      <c r="AL17" s="24" t="n">
        <v>9.997</v>
      </c>
      <c r="AM17" s="24" t="n">
        <v>0.028</v>
      </c>
      <c r="AN17" s="23" t="n">
        <v>180.5</v>
      </c>
      <c r="AO17" s="26"/>
      <c r="AP17" s="26"/>
      <c r="AQ17" s="26"/>
      <c r="AR17" s="26"/>
      <c r="AS17" s="28" t="n">
        <f aca="false">Table2[[#This Row],[Object_A_._head_time]]+Table2[[#This Row],[Object_B_._head_time]]</f>
        <v>28.2</v>
      </c>
      <c r="AT17" s="28"/>
      <c r="AU17" s="28"/>
      <c r="AV17" s="29"/>
      <c r="AW17" s="28"/>
      <c r="AX17" s="45" t="n">
        <f aca="false">(Table2[[#This Row],[Object_A_._head_time]]/(Table2[[#This Row],[Object_A_._head_time]]+Table2[[#This Row],[Object_B_._head_time]]))</f>
        <v>0.276595744680851</v>
      </c>
      <c r="AY17" s="30" t="s">
        <v>79</v>
      </c>
      <c r="AZ17" s="30" t="s">
        <v>65</v>
      </c>
      <c r="BA17" s="30" t="s">
        <v>93</v>
      </c>
      <c r="BB17" s="31" t="n">
        <v>85</v>
      </c>
      <c r="BC17" s="32" t="n">
        <v>2.83333333333333</v>
      </c>
      <c r="BD17" s="33" t="s">
        <v>80</v>
      </c>
      <c r="BE17" s="30" t="n">
        <v>3</v>
      </c>
      <c r="BF17" s="34"/>
    </row>
    <row r="18" customFormat="false" ht="12" hidden="false" customHeight="true" outlineLevel="0" collapsed="false">
      <c r="A18" s="21" t="n">
        <v>55</v>
      </c>
      <c r="B18" s="22" t="s">
        <v>116</v>
      </c>
      <c r="C18" s="22" t="s">
        <v>59</v>
      </c>
      <c r="D18" s="22" t="s">
        <v>60</v>
      </c>
      <c r="E18" s="22" t="s">
        <v>61</v>
      </c>
      <c r="F18" s="22" t="s">
        <v>117</v>
      </c>
      <c r="G18" s="22" t="s">
        <v>118</v>
      </c>
      <c r="H18" s="23" t="n">
        <v>360</v>
      </c>
      <c r="I18" s="24" t="n">
        <v>19.789</v>
      </c>
      <c r="J18" s="24" t="n">
        <v>0.055</v>
      </c>
      <c r="K18" s="24" t="n">
        <v>0.341</v>
      </c>
      <c r="L18" s="23" t="n">
        <v>10.2</v>
      </c>
      <c r="M18" s="25" t="n">
        <v>24</v>
      </c>
      <c r="N18" s="23" t="n">
        <v>18.3</v>
      </c>
      <c r="O18" s="24" t="n">
        <v>0.487</v>
      </c>
      <c r="P18" s="24" t="n">
        <v>0.027</v>
      </c>
      <c r="Q18" s="24" t="n">
        <v>0.269</v>
      </c>
      <c r="R18" s="23" t="n">
        <v>16</v>
      </c>
      <c r="S18" s="25" t="n">
        <v>1203</v>
      </c>
      <c r="T18" s="23" t="n">
        <v>0</v>
      </c>
      <c r="U18" s="23" t="n">
        <v>16.8</v>
      </c>
      <c r="V18" s="25" t="n">
        <v>23</v>
      </c>
      <c r="W18" s="23" t="n">
        <v>23.2</v>
      </c>
      <c r="X18" s="24" t="n">
        <v>0.678</v>
      </c>
      <c r="Y18" s="24" t="n">
        <v>0.029</v>
      </c>
      <c r="Z18" s="24" t="n">
        <v>0.23</v>
      </c>
      <c r="AA18" s="23" t="n">
        <v>17.2</v>
      </c>
      <c r="AB18" s="25" t="n">
        <v>1402</v>
      </c>
      <c r="AC18" s="23" t="n">
        <v>0</v>
      </c>
      <c r="AD18" s="23" t="n">
        <v>22.4</v>
      </c>
      <c r="AE18" s="25" t="n">
        <v>4</v>
      </c>
      <c r="AF18" s="23" t="n">
        <v>8.7</v>
      </c>
      <c r="AG18" s="24" t="n">
        <v>0.735</v>
      </c>
      <c r="AH18" s="24" t="n">
        <v>0.085</v>
      </c>
      <c r="AI18" s="23" t="n">
        <v>0</v>
      </c>
      <c r="AJ18" s="25" t="n">
        <v>5</v>
      </c>
      <c r="AK18" s="23" t="n">
        <v>351.3</v>
      </c>
      <c r="AL18" s="24" t="n">
        <v>19.054</v>
      </c>
      <c r="AM18" s="24" t="n">
        <v>0.054</v>
      </c>
      <c r="AN18" s="23" t="n">
        <v>10.2</v>
      </c>
      <c r="AO18" s="26"/>
      <c r="AP18" s="26"/>
      <c r="AQ18" s="26"/>
      <c r="AR18" s="26"/>
      <c r="AS18" s="28" t="n">
        <f aca="false">Table2[[#This Row],[Object_A_._head_time]]+Table2[[#This Row],[Object_B_._head_time]]</f>
        <v>41.5</v>
      </c>
      <c r="AT18" s="28"/>
      <c r="AU18" s="28"/>
      <c r="AV18" s="29"/>
      <c r="AW18" s="28"/>
      <c r="AX18" s="45" t="n">
        <f aca="false">(Table2[[#This Row],[Object_A_._head_time]]/(Table2[[#This Row],[Object_A_._head_time]]+Table2[[#This Row],[Object_B_._head_time]]))</f>
        <v>0.440963855421687</v>
      </c>
      <c r="AY18" s="30" t="s">
        <v>79</v>
      </c>
      <c r="AZ18" s="30" t="s">
        <v>119</v>
      </c>
      <c r="BA18" s="30" t="s">
        <v>66</v>
      </c>
      <c r="BB18" s="31" t="n">
        <v>78</v>
      </c>
      <c r="BC18" s="32" t="n">
        <v>2.6</v>
      </c>
      <c r="BD18" s="33" t="s">
        <v>67</v>
      </c>
      <c r="BE18" s="30" t="n">
        <v>6</v>
      </c>
      <c r="BF18" s="34" t="s">
        <v>120</v>
      </c>
    </row>
    <row r="19" customFormat="false" ht="12" hidden="false" customHeight="true" outlineLevel="0" collapsed="false">
      <c r="A19" s="21" t="n">
        <v>54</v>
      </c>
      <c r="B19" s="22" t="s">
        <v>121</v>
      </c>
      <c r="C19" s="22" t="s">
        <v>59</v>
      </c>
      <c r="D19" s="22" t="s">
        <v>70</v>
      </c>
      <c r="E19" s="22" t="s">
        <v>61</v>
      </c>
      <c r="F19" s="22" t="s">
        <v>117</v>
      </c>
      <c r="G19" s="22" t="s">
        <v>122</v>
      </c>
      <c r="H19" s="23" t="n">
        <v>360</v>
      </c>
      <c r="I19" s="24" t="n">
        <v>13.966</v>
      </c>
      <c r="J19" s="24" t="n">
        <v>0.039</v>
      </c>
      <c r="K19" s="24" t="n">
        <v>0.251</v>
      </c>
      <c r="L19" s="23" t="n">
        <v>43.5</v>
      </c>
      <c r="M19" s="25" t="n">
        <v>18</v>
      </c>
      <c r="N19" s="23" t="n">
        <v>22</v>
      </c>
      <c r="O19" s="24" t="n">
        <v>1.006</v>
      </c>
      <c r="P19" s="24" t="n">
        <v>0.046</v>
      </c>
      <c r="Q19" s="24" t="n">
        <v>0.251</v>
      </c>
      <c r="R19" s="23" t="n">
        <v>17.5</v>
      </c>
      <c r="S19" s="25" t="n">
        <v>917</v>
      </c>
      <c r="T19" s="23" t="n">
        <v>0</v>
      </c>
      <c r="U19" s="23" t="n">
        <v>18.6</v>
      </c>
      <c r="V19" s="25" t="n">
        <v>11</v>
      </c>
      <c r="W19" s="23" t="n">
        <v>8.4</v>
      </c>
      <c r="X19" s="24" t="n">
        <v>0.358</v>
      </c>
      <c r="Y19" s="24" t="n">
        <v>0.043</v>
      </c>
      <c r="Z19" s="24" t="n">
        <v>0.122</v>
      </c>
      <c r="AA19" s="23" t="n">
        <v>5.5</v>
      </c>
      <c r="AB19" s="25" t="n">
        <v>525</v>
      </c>
      <c r="AC19" s="23" t="n">
        <v>0</v>
      </c>
      <c r="AD19" s="23" t="n">
        <v>6.5</v>
      </c>
      <c r="AE19" s="25" t="n">
        <v>9</v>
      </c>
      <c r="AF19" s="23" t="n">
        <v>12.1</v>
      </c>
      <c r="AG19" s="24" t="n">
        <v>1.289</v>
      </c>
      <c r="AH19" s="24" t="n">
        <v>0.107</v>
      </c>
      <c r="AI19" s="23" t="n">
        <v>0</v>
      </c>
      <c r="AJ19" s="25" t="n">
        <v>10</v>
      </c>
      <c r="AK19" s="23" t="n">
        <v>347.9</v>
      </c>
      <c r="AL19" s="24" t="n">
        <v>12.677</v>
      </c>
      <c r="AM19" s="24" t="n">
        <v>0.036</v>
      </c>
      <c r="AN19" s="23" t="n">
        <v>43.5</v>
      </c>
      <c r="AO19" s="26"/>
      <c r="AP19" s="26"/>
      <c r="AQ19" s="26"/>
      <c r="AR19" s="26"/>
      <c r="AS19" s="28" t="n">
        <f aca="false">Table2[[#This Row],[Object_A_._head_time]]+Table2[[#This Row],[Object_B_._head_time]]</f>
        <v>30.4</v>
      </c>
      <c r="AT19" s="28"/>
      <c r="AU19" s="28"/>
      <c r="AV19" s="29"/>
      <c r="AW19" s="28"/>
      <c r="AX19" s="45" t="n">
        <f aca="false">(Table2[[#This Row],[Object_A_._head_time]]/(Table2[[#This Row],[Object_A_._head_time]]+Table2[[#This Row],[Object_B_._head_time]]))</f>
        <v>0.723684210526316</v>
      </c>
      <c r="AY19" s="30" t="s">
        <v>79</v>
      </c>
      <c r="AZ19" s="30" t="s">
        <v>123</v>
      </c>
      <c r="BA19" s="30" t="s">
        <v>93</v>
      </c>
      <c r="BB19" s="31" t="n">
        <v>78</v>
      </c>
      <c r="BC19" s="32" t="n">
        <v>2.6</v>
      </c>
      <c r="BD19" s="30" t="s">
        <v>67</v>
      </c>
      <c r="BE19" s="30" t="n">
        <v>4</v>
      </c>
      <c r="BF19" s="34" t="s">
        <v>120</v>
      </c>
    </row>
    <row r="20" customFormat="false" ht="12" hidden="false" customHeight="true" outlineLevel="0" collapsed="false">
      <c r="A20" s="21" t="n">
        <v>56</v>
      </c>
      <c r="B20" s="22" t="s">
        <v>124</v>
      </c>
      <c r="C20" s="22" t="s">
        <v>59</v>
      </c>
      <c r="D20" s="22" t="s">
        <v>73</v>
      </c>
      <c r="E20" s="22" t="s">
        <v>61</v>
      </c>
      <c r="F20" s="22" t="s">
        <v>117</v>
      </c>
      <c r="G20" s="22" t="s">
        <v>125</v>
      </c>
      <c r="H20" s="23" t="n">
        <v>360</v>
      </c>
      <c r="I20" s="24" t="n">
        <v>20.165</v>
      </c>
      <c r="J20" s="24" t="n">
        <v>0.056</v>
      </c>
      <c r="K20" s="24" t="n">
        <v>0.342</v>
      </c>
      <c r="L20" s="23" t="n">
        <v>76.3</v>
      </c>
      <c r="M20" s="25" t="n">
        <v>23</v>
      </c>
      <c r="N20" s="23" t="n">
        <v>15.9</v>
      </c>
      <c r="O20" s="24" t="n">
        <v>0.537</v>
      </c>
      <c r="P20" s="24" t="n">
        <v>0.034</v>
      </c>
      <c r="Q20" s="24" t="n">
        <v>0.279</v>
      </c>
      <c r="R20" s="23" t="n">
        <v>8.3</v>
      </c>
      <c r="S20" s="25" t="n">
        <v>1118</v>
      </c>
      <c r="T20" s="23" t="n">
        <v>0</v>
      </c>
      <c r="U20" s="23" t="n">
        <v>13.1</v>
      </c>
      <c r="V20" s="25" t="n">
        <v>26</v>
      </c>
      <c r="W20" s="23" t="n">
        <v>13.8</v>
      </c>
      <c r="X20" s="24" t="n">
        <v>0.881</v>
      </c>
      <c r="Y20" s="24" t="n">
        <v>0.064</v>
      </c>
      <c r="Z20" s="24" t="n">
        <v>0.273</v>
      </c>
      <c r="AA20" s="23" t="n">
        <v>6.1</v>
      </c>
      <c r="AB20" s="25" t="n">
        <v>978</v>
      </c>
      <c r="AC20" s="23" t="n">
        <v>0</v>
      </c>
      <c r="AD20" s="23" t="n">
        <v>9.8</v>
      </c>
      <c r="AE20" s="25" t="n">
        <v>11</v>
      </c>
      <c r="AF20" s="23" t="n">
        <v>11.9</v>
      </c>
      <c r="AG20" s="24" t="n">
        <v>1.448</v>
      </c>
      <c r="AH20" s="24" t="n">
        <v>0.122</v>
      </c>
      <c r="AI20" s="23" t="n">
        <v>0</v>
      </c>
      <c r="AJ20" s="25" t="n">
        <v>12</v>
      </c>
      <c r="AK20" s="23" t="n">
        <v>348.1</v>
      </c>
      <c r="AL20" s="24" t="n">
        <v>18.717</v>
      </c>
      <c r="AM20" s="24" t="n">
        <v>0.054</v>
      </c>
      <c r="AN20" s="23" t="n">
        <v>76.3</v>
      </c>
      <c r="AO20" s="26"/>
      <c r="AP20" s="26"/>
      <c r="AQ20" s="26"/>
      <c r="AR20" s="26"/>
      <c r="AS20" s="28" t="n">
        <f aca="false">Table2[[#This Row],[Object_A_._head_time]]+Table2[[#This Row],[Object_B_._head_time]]</f>
        <v>29.7</v>
      </c>
      <c r="AT20" s="28"/>
      <c r="AU20" s="28"/>
      <c r="AV20" s="29"/>
      <c r="AW20" s="28"/>
      <c r="AX20" s="45" t="n">
        <f aca="false">(Table2[[#This Row],[Object_A_._head_time]]/(Table2[[#This Row],[Object_A_._head_time]]+Table2[[#This Row],[Object_B_._head_time]]))</f>
        <v>0.535353535353535</v>
      </c>
      <c r="AY20" s="30" t="s">
        <v>64</v>
      </c>
      <c r="AZ20" s="30" t="s">
        <v>105</v>
      </c>
      <c r="BA20" s="30" t="s">
        <v>66</v>
      </c>
      <c r="BB20" s="31" t="n">
        <v>60</v>
      </c>
      <c r="BC20" s="32" t="n">
        <v>2</v>
      </c>
      <c r="BD20" s="33" t="s">
        <v>80</v>
      </c>
      <c r="BE20" s="30" t="n">
        <v>5</v>
      </c>
      <c r="BF20" s="34"/>
    </row>
    <row r="21" customFormat="false" ht="12" hidden="false" customHeight="true" outlineLevel="0" collapsed="false">
      <c r="A21" s="21" t="n">
        <v>57</v>
      </c>
      <c r="B21" s="22" t="s">
        <v>126</v>
      </c>
      <c r="C21" s="22" t="s">
        <v>59</v>
      </c>
      <c r="D21" s="22" t="s">
        <v>77</v>
      </c>
      <c r="E21" s="22" t="s">
        <v>61</v>
      </c>
      <c r="F21" s="22" t="s">
        <v>117</v>
      </c>
      <c r="G21" s="22" t="s">
        <v>127</v>
      </c>
      <c r="H21" s="23" t="n">
        <v>360</v>
      </c>
      <c r="I21" s="24" t="n">
        <v>4.185</v>
      </c>
      <c r="J21" s="24" t="n">
        <v>0.012</v>
      </c>
      <c r="K21" s="24" t="n">
        <v>0.276</v>
      </c>
      <c r="L21" s="23" t="n">
        <v>140</v>
      </c>
      <c r="M21" s="25" t="n">
        <v>7</v>
      </c>
      <c r="N21" s="23" t="n">
        <v>4.5</v>
      </c>
      <c r="O21" s="24" t="n">
        <v>0.121</v>
      </c>
      <c r="P21" s="24" t="n">
        <v>0.027</v>
      </c>
      <c r="Q21" s="24" t="n">
        <v>0.185</v>
      </c>
      <c r="R21" s="23" t="n">
        <v>3.1</v>
      </c>
      <c r="S21" s="25" t="n">
        <v>350</v>
      </c>
      <c r="T21" s="23" t="n">
        <v>0</v>
      </c>
      <c r="U21" s="23" t="n">
        <v>3</v>
      </c>
      <c r="V21" s="25" t="n">
        <v>10</v>
      </c>
      <c r="W21" s="23" t="n">
        <v>3.5</v>
      </c>
      <c r="X21" s="24" t="n">
        <v>0.059</v>
      </c>
      <c r="Y21" s="24" t="n">
        <v>0.017</v>
      </c>
      <c r="Z21" s="24" t="n">
        <v>0.069</v>
      </c>
      <c r="AA21" s="23" t="n">
        <v>2.8</v>
      </c>
      <c r="AB21" s="25" t="n">
        <v>252</v>
      </c>
      <c r="AC21" s="23" t="n">
        <v>0.1</v>
      </c>
      <c r="AD21" s="23" t="n">
        <v>3</v>
      </c>
      <c r="AE21" s="25" t="n">
        <v>1</v>
      </c>
      <c r="AF21" s="23" t="n">
        <v>2.5</v>
      </c>
      <c r="AG21" s="24" t="n">
        <v>0.085</v>
      </c>
      <c r="AH21" s="24" t="n">
        <v>0.034</v>
      </c>
      <c r="AI21" s="23" t="n">
        <v>0</v>
      </c>
      <c r="AJ21" s="25" t="n">
        <v>2</v>
      </c>
      <c r="AK21" s="23" t="n">
        <v>357.5</v>
      </c>
      <c r="AL21" s="24" t="n">
        <v>4.1</v>
      </c>
      <c r="AM21" s="24" t="n">
        <v>0.011</v>
      </c>
      <c r="AN21" s="23" t="n">
        <v>140</v>
      </c>
      <c r="AO21" s="26"/>
      <c r="AP21" s="26"/>
      <c r="AQ21" s="26"/>
      <c r="AR21" s="26"/>
      <c r="AS21" s="28" t="n">
        <f aca="false">Table2[[#This Row],[Object_A_._head_time]]+Table2[[#This Row],[Object_B_._head_time]]</f>
        <v>8</v>
      </c>
      <c r="AT21" s="28"/>
      <c r="AU21" s="28"/>
      <c r="AV21" s="29"/>
      <c r="AW21" s="28"/>
      <c r="AX21" s="45" t="n">
        <f aca="false">(Table2[[#This Row],[Object_A_._head_time]]/(Table2[[#This Row],[Object_A_._head_time]]+Table2[[#This Row],[Object_B_._head_time]]))</f>
        <v>0.5625</v>
      </c>
      <c r="AY21" s="30" t="s">
        <v>64</v>
      </c>
      <c r="AZ21" s="30" t="s">
        <v>105</v>
      </c>
      <c r="BA21" s="30" t="s">
        <v>66</v>
      </c>
      <c r="BB21" s="31" t="n">
        <v>58</v>
      </c>
      <c r="BC21" s="32" t="n">
        <v>1.93333333333333</v>
      </c>
      <c r="BD21" s="33" t="s">
        <v>67</v>
      </c>
      <c r="BE21" s="30" t="n">
        <v>6</v>
      </c>
      <c r="BF21" s="34" t="s">
        <v>94</v>
      </c>
    </row>
    <row r="22" customFormat="false" ht="12" hidden="false" customHeight="true" outlineLevel="0" collapsed="false">
      <c r="A22" s="21" t="n">
        <v>59</v>
      </c>
      <c r="B22" s="22" t="s">
        <v>128</v>
      </c>
      <c r="C22" s="22" t="s">
        <v>59</v>
      </c>
      <c r="D22" s="22" t="s">
        <v>60</v>
      </c>
      <c r="E22" s="22" t="s">
        <v>61</v>
      </c>
      <c r="F22" s="22" t="s">
        <v>129</v>
      </c>
      <c r="G22" s="22" t="s">
        <v>130</v>
      </c>
      <c r="H22" s="23" t="n">
        <v>360</v>
      </c>
      <c r="I22" s="24" t="n">
        <v>9.718</v>
      </c>
      <c r="J22" s="24" t="n">
        <v>0.027</v>
      </c>
      <c r="K22" s="24" t="n">
        <v>0.331</v>
      </c>
      <c r="L22" s="23" t="n">
        <v>159.2</v>
      </c>
      <c r="M22" s="25" t="n">
        <v>17</v>
      </c>
      <c r="N22" s="23" t="n">
        <v>9.4</v>
      </c>
      <c r="O22" s="24" t="n">
        <v>0.259</v>
      </c>
      <c r="P22" s="24" t="n">
        <v>0.027</v>
      </c>
      <c r="Q22" s="24" t="n">
        <v>0.147</v>
      </c>
      <c r="R22" s="23" t="n">
        <v>4.5</v>
      </c>
      <c r="S22" s="25" t="n">
        <v>822</v>
      </c>
      <c r="T22" s="23" t="n">
        <v>0</v>
      </c>
      <c r="U22" s="23" t="n">
        <v>6.7</v>
      </c>
      <c r="V22" s="25" t="n">
        <v>8</v>
      </c>
      <c r="W22" s="23" t="n">
        <v>2.8</v>
      </c>
      <c r="X22" s="24" t="n">
        <v>0</v>
      </c>
      <c r="Y22" s="24" t="n">
        <v>0</v>
      </c>
      <c r="Z22" s="24" t="n">
        <v>0.237</v>
      </c>
      <c r="AA22" s="23" t="n">
        <v>2.5</v>
      </c>
      <c r="AB22" s="25" t="n">
        <v>234</v>
      </c>
      <c r="AC22" s="23" t="n">
        <v>0</v>
      </c>
      <c r="AD22" s="23" t="n">
        <v>2.8</v>
      </c>
      <c r="AE22" s="25" t="n">
        <v>2</v>
      </c>
      <c r="AF22" s="23" t="n">
        <v>2.6</v>
      </c>
      <c r="AG22" s="24" t="n">
        <v>0.235</v>
      </c>
      <c r="AH22" s="24" t="n">
        <v>0.092</v>
      </c>
      <c r="AI22" s="23" t="n">
        <v>0</v>
      </c>
      <c r="AJ22" s="25" t="n">
        <v>3</v>
      </c>
      <c r="AK22" s="23" t="n">
        <v>357.4</v>
      </c>
      <c r="AL22" s="24" t="n">
        <v>9.483</v>
      </c>
      <c r="AM22" s="24" t="n">
        <v>0.027</v>
      </c>
      <c r="AN22" s="23" t="n">
        <v>159.2</v>
      </c>
      <c r="AO22" s="26"/>
      <c r="AP22" s="26"/>
      <c r="AQ22" s="26"/>
      <c r="AR22" s="26"/>
      <c r="AS22" s="28" t="n">
        <f aca="false">Table2[[#This Row],[Object_A_._head_time]]+Table2[[#This Row],[Object_B_._head_time]]</f>
        <v>12.2</v>
      </c>
      <c r="AT22" s="28"/>
      <c r="AU22" s="28"/>
      <c r="AV22" s="29"/>
      <c r="AW22" s="28"/>
      <c r="AX22" s="45" t="n">
        <f aca="false">(Table2[[#This Row],[Object_A_._head_time]]/(Table2[[#This Row],[Object_A_._head_time]]+Table2[[#This Row],[Object_B_._head_time]]))</f>
        <v>0.770491803278689</v>
      </c>
      <c r="AY22" s="30" t="s">
        <v>64</v>
      </c>
      <c r="AZ22" s="30" t="s">
        <v>131</v>
      </c>
      <c r="BA22" s="30" t="s">
        <v>93</v>
      </c>
      <c r="BB22" s="31" t="n">
        <v>55</v>
      </c>
      <c r="BC22" s="32" t="n">
        <v>1.83333333333333</v>
      </c>
      <c r="BD22" s="33" t="s">
        <v>67</v>
      </c>
      <c r="BE22" s="30" t="n">
        <v>8</v>
      </c>
      <c r="BF22" s="34"/>
    </row>
    <row r="23" customFormat="false" ht="12" hidden="false" customHeight="true" outlineLevel="0" collapsed="false">
      <c r="A23" s="21" t="n">
        <v>58</v>
      </c>
      <c r="B23" s="22" t="s">
        <v>132</v>
      </c>
      <c r="C23" s="22" t="s">
        <v>59</v>
      </c>
      <c r="D23" s="22" t="s">
        <v>70</v>
      </c>
      <c r="E23" s="22" t="s">
        <v>61</v>
      </c>
      <c r="F23" s="22" t="s">
        <v>129</v>
      </c>
      <c r="G23" s="22" t="s">
        <v>133</v>
      </c>
      <c r="H23" s="23" t="n">
        <v>360</v>
      </c>
      <c r="I23" s="24" t="n">
        <v>12.63</v>
      </c>
      <c r="J23" s="24" t="n">
        <v>0.035</v>
      </c>
      <c r="K23" s="24" t="n">
        <v>0.264</v>
      </c>
      <c r="L23" s="23" t="n">
        <v>114.8</v>
      </c>
      <c r="M23" s="25" t="n">
        <v>24</v>
      </c>
      <c r="N23" s="23" t="n">
        <v>24.8</v>
      </c>
      <c r="O23" s="24" t="n">
        <v>0.895</v>
      </c>
      <c r="P23" s="24" t="n">
        <v>0.036</v>
      </c>
      <c r="Q23" s="24" t="n">
        <v>0.249</v>
      </c>
      <c r="R23" s="23" t="n">
        <v>12.4</v>
      </c>
      <c r="S23" s="25" t="n">
        <v>2434</v>
      </c>
      <c r="T23" s="23" t="n">
        <v>0</v>
      </c>
      <c r="U23" s="23" t="n">
        <v>9.3</v>
      </c>
      <c r="V23" s="25" t="n">
        <v>27</v>
      </c>
      <c r="W23" s="23" t="n">
        <v>32.5</v>
      </c>
      <c r="X23" s="24" t="n">
        <v>1.246</v>
      </c>
      <c r="Y23" s="24" t="n">
        <v>0.038</v>
      </c>
      <c r="Z23" s="24" t="n">
        <v>0.243</v>
      </c>
      <c r="AA23" s="23" t="n">
        <v>16.9</v>
      </c>
      <c r="AB23" s="25" t="n">
        <v>3112</v>
      </c>
      <c r="AC23" s="23" t="n">
        <v>0</v>
      </c>
      <c r="AD23" s="23" t="n">
        <v>13.1</v>
      </c>
      <c r="AE23" s="25" t="n">
        <v>11</v>
      </c>
      <c r="AF23" s="23" t="n">
        <v>20.8</v>
      </c>
      <c r="AG23" s="24" t="n">
        <v>1.741</v>
      </c>
      <c r="AH23" s="24" t="n">
        <v>0.084</v>
      </c>
      <c r="AI23" s="23" t="n">
        <v>0</v>
      </c>
      <c r="AJ23" s="25" t="n">
        <v>12</v>
      </c>
      <c r="AK23" s="23" t="n">
        <v>339.2</v>
      </c>
      <c r="AL23" s="24" t="n">
        <v>10.889</v>
      </c>
      <c r="AM23" s="24" t="n">
        <v>0.032</v>
      </c>
      <c r="AN23" s="23" t="n">
        <v>114.8</v>
      </c>
      <c r="AO23" s="26"/>
      <c r="AP23" s="26"/>
      <c r="AQ23" s="26"/>
      <c r="AR23" s="26"/>
      <c r="AS23" s="28" t="n">
        <f aca="false">Table2[[#This Row],[Object_A_._head_time]]+Table2[[#This Row],[Object_B_._head_time]]</f>
        <v>57.3</v>
      </c>
      <c r="AT23" s="28"/>
      <c r="AU23" s="28"/>
      <c r="AV23" s="29"/>
      <c r="AW23" s="28"/>
      <c r="AX23" s="45" t="n">
        <f aca="false">(Table2[[#This Row],[Object_A_._head_time]]/(Table2[[#This Row],[Object_A_._head_time]]+Table2[[#This Row],[Object_B_._head_time]]))</f>
        <v>0.432809773123909</v>
      </c>
      <c r="AY23" s="30" t="s">
        <v>64</v>
      </c>
      <c r="AZ23" s="30" t="s">
        <v>131</v>
      </c>
      <c r="BA23" s="30" t="s">
        <v>93</v>
      </c>
      <c r="BB23" s="31" t="n">
        <v>55</v>
      </c>
      <c r="BC23" s="32" t="n">
        <v>1.83333333333333</v>
      </c>
      <c r="BD23" s="33" t="s">
        <v>80</v>
      </c>
      <c r="BE23" s="30" t="n">
        <v>7</v>
      </c>
      <c r="BF23" s="34"/>
    </row>
    <row r="24" customFormat="false" ht="12" hidden="false" customHeight="true" outlineLevel="0" collapsed="false">
      <c r="A24" s="21" t="n">
        <v>60</v>
      </c>
      <c r="B24" s="22" t="s">
        <v>134</v>
      </c>
      <c r="C24" s="22" t="s">
        <v>59</v>
      </c>
      <c r="D24" s="22" t="s">
        <v>73</v>
      </c>
      <c r="E24" s="22" t="s">
        <v>61</v>
      </c>
      <c r="F24" s="22" t="s">
        <v>135</v>
      </c>
      <c r="G24" s="22" t="s">
        <v>136</v>
      </c>
      <c r="H24" s="23" t="n">
        <v>360</v>
      </c>
      <c r="I24" s="24" t="n">
        <v>7.329</v>
      </c>
      <c r="J24" s="24" t="n">
        <v>0.02</v>
      </c>
      <c r="K24" s="24" t="n">
        <v>0.335</v>
      </c>
      <c r="L24" s="23" t="n">
        <v>217.6</v>
      </c>
      <c r="M24" s="25" t="n">
        <v>12</v>
      </c>
      <c r="N24" s="23" t="n">
        <v>11.7</v>
      </c>
      <c r="O24" s="24" t="n">
        <v>0.319</v>
      </c>
      <c r="P24" s="24" t="n">
        <v>0.027</v>
      </c>
      <c r="Q24" s="24" t="n">
        <v>0.223</v>
      </c>
      <c r="R24" s="23" t="n">
        <v>8.1</v>
      </c>
      <c r="S24" s="25" t="n">
        <v>933</v>
      </c>
      <c r="T24" s="23" t="n">
        <v>0</v>
      </c>
      <c r="U24" s="23" t="n">
        <v>9</v>
      </c>
      <c r="V24" s="25" t="n">
        <v>6</v>
      </c>
      <c r="W24" s="23" t="n">
        <v>6.7</v>
      </c>
      <c r="X24" s="24" t="n">
        <v>0.146</v>
      </c>
      <c r="Y24" s="24" t="n">
        <v>0.022</v>
      </c>
      <c r="Z24" s="24" t="n">
        <v>0.203</v>
      </c>
      <c r="AA24" s="23" t="n">
        <v>5.2</v>
      </c>
      <c r="AB24" s="25" t="n">
        <v>607</v>
      </c>
      <c r="AC24" s="23" t="n">
        <v>0</v>
      </c>
      <c r="AD24" s="23" t="n">
        <v>4.3</v>
      </c>
      <c r="AE24" s="25" t="n">
        <v>3</v>
      </c>
      <c r="AF24" s="23" t="n">
        <v>9.8</v>
      </c>
      <c r="AG24" s="24" t="n">
        <v>0.453</v>
      </c>
      <c r="AH24" s="24" t="n">
        <v>0.046</v>
      </c>
      <c r="AI24" s="23" t="n">
        <v>0</v>
      </c>
      <c r="AJ24" s="25" t="n">
        <v>3</v>
      </c>
      <c r="AK24" s="23" t="n">
        <v>350.2</v>
      </c>
      <c r="AL24" s="24" t="n">
        <v>6.876</v>
      </c>
      <c r="AM24" s="24" t="n">
        <v>0.02</v>
      </c>
      <c r="AN24" s="23" t="n">
        <v>217.6</v>
      </c>
      <c r="AO24" s="26"/>
      <c r="AP24" s="26"/>
      <c r="AQ24" s="26"/>
      <c r="AR24" s="26"/>
      <c r="AS24" s="28" t="n">
        <f aca="false">Table2[[#This Row],[Object_A_._head_time]]+Table2[[#This Row],[Object_B_._head_time]]</f>
        <v>18.4</v>
      </c>
      <c r="AT24" s="28"/>
      <c r="AU24" s="28"/>
      <c r="AV24" s="29"/>
      <c r="AW24" s="28"/>
      <c r="AX24" s="45" t="n">
        <f aca="false">(Table2[[#This Row],[Object_A_._head_time]]/(Table2[[#This Row],[Object_A_._head_time]]+Table2[[#This Row],[Object_B_._head_time]]))</f>
        <v>0.635869565217391</v>
      </c>
      <c r="AY24" s="30" t="s">
        <v>64</v>
      </c>
      <c r="AZ24" s="30" t="s">
        <v>131</v>
      </c>
      <c r="BA24" s="30" t="s">
        <v>93</v>
      </c>
      <c r="BB24" s="31" t="n">
        <v>55</v>
      </c>
      <c r="BC24" s="32" t="n">
        <v>1.83333333333333</v>
      </c>
      <c r="BD24" s="33" t="s">
        <v>67</v>
      </c>
      <c r="BE24" s="30" t="n">
        <v>8</v>
      </c>
      <c r="BF24" s="34"/>
    </row>
    <row r="25" customFormat="false" ht="12" hidden="false" customHeight="true" outlineLevel="0" collapsed="false">
      <c r="A25" s="21" t="n">
        <v>61</v>
      </c>
      <c r="B25" s="22" t="s">
        <v>137</v>
      </c>
      <c r="C25" s="22" t="s">
        <v>59</v>
      </c>
      <c r="D25" s="22" t="s">
        <v>77</v>
      </c>
      <c r="E25" s="22" t="s">
        <v>61</v>
      </c>
      <c r="F25" s="22" t="s">
        <v>135</v>
      </c>
      <c r="G25" s="22" t="s">
        <v>138</v>
      </c>
      <c r="H25" s="23" t="n">
        <v>360</v>
      </c>
      <c r="I25" s="24" t="n">
        <v>18.027</v>
      </c>
      <c r="J25" s="24" t="n">
        <v>0.05</v>
      </c>
      <c r="K25" s="24" t="n">
        <v>0.342</v>
      </c>
      <c r="L25" s="23" t="n">
        <v>55.8</v>
      </c>
      <c r="M25" s="25" t="n">
        <v>41</v>
      </c>
      <c r="N25" s="23" t="n">
        <v>43.4</v>
      </c>
      <c r="O25" s="24" t="n">
        <v>1.938</v>
      </c>
      <c r="P25" s="24" t="n">
        <v>0.045</v>
      </c>
      <c r="Q25" s="24" t="n">
        <v>0.314</v>
      </c>
      <c r="R25" s="23" t="n">
        <v>18.4</v>
      </c>
      <c r="S25" s="25" t="n">
        <v>4412</v>
      </c>
      <c r="T25" s="23" t="n">
        <v>6</v>
      </c>
      <c r="U25" s="23" t="n">
        <v>22.5</v>
      </c>
      <c r="V25" s="25" t="n">
        <v>10</v>
      </c>
      <c r="W25" s="23" t="n">
        <v>9.6</v>
      </c>
      <c r="X25" s="24" t="n">
        <v>0.447</v>
      </c>
      <c r="Y25" s="24" t="n">
        <v>0.047</v>
      </c>
      <c r="Z25" s="24" t="n">
        <v>0.281</v>
      </c>
      <c r="AA25" s="23" t="n">
        <v>4.9</v>
      </c>
      <c r="AB25" s="25" t="n">
        <v>892</v>
      </c>
      <c r="AC25" s="23" t="n">
        <v>0</v>
      </c>
      <c r="AD25" s="23" t="n">
        <v>3.3</v>
      </c>
      <c r="AE25" s="25" t="n">
        <v>16</v>
      </c>
      <c r="AF25" s="23" t="n">
        <v>37</v>
      </c>
      <c r="AG25" s="24" t="n">
        <v>2.442</v>
      </c>
      <c r="AH25" s="24" t="n">
        <v>0.066</v>
      </c>
      <c r="AI25" s="23" t="n">
        <v>0</v>
      </c>
      <c r="AJ25" s="25" t="n">
        <v>17</v>
      </c>
      <c r="AK25" s="23" t="n">
        <v>323</v>
      </c>
      <c r="AL25" s="24" t="n">
        <v>15.585</v>
      </c>
      <c r="AM25" s="24" t="n">
        <v>0.048</v>
      </c>
      <c r="AN25" s="23" t="n">
        <v>55.8</v>
      </c>
      <c r="AO25" s="26"/>
      <c r="AP25" s="26"/>
      <c r="AQ25" s="26"/>
      <c r="AR25" s="26"/>
      <c r="AS25" s="28" t="n">
        <f aca="false">Table2[[#This Row],[Object_A_._head_time]]+Table2[[#This Row],[Object_B_._head_time]]</f>
        <v>53</v>
      </c>
      <c r="AT25" s="28"/>
      <c r="AU25" s="28"/>
      <c r="AV25" s="29"/>
      <c r="AW25" s="28"/>
      <c r="AX25" s="40" t="n">
        <f aca="false">(Table2[[#This Row],[Object_A_._head_time]]/(Table2[[#This Row],[Object_A_._head_time]]+Table2[[#This Row],[Object_B_._head_time]]))</f>
        <v>0.818867924528302</v>
      </c>
      <c r="AY25" s="30" t="s">
        <v>79</v>
      </c>
      <c r="AZ25" s="30" t="s">
        <v>131</v>
      </c>
      <c r="BA25" s="30" t="s">
        <v>93</v>
      </c>
      <c r="BB25" s="31" t="n">
        <v>55</v>
      </c>
      <c r="BC25" s="32" t="n">
        <v>1.83333333333333</v>
      </c>
      <c r="BD25" s="33" t="s">
        <v>67</v>
      </c>
      <c r="BE25" s="30" t="n">
        <v>8</v>
      </c>
      <c r="BF25" s="34"/>
    </row>
    <row r="26" customFormat="false" ht="12" hidden="false" customHeight="true" outlineLevel="0" collapsed="false">
      <c r="A26" s="21" t="n">
        <v>63</v>
      </c>
      <c r="B26" s="22" t="s">
        <v>139</v>
      </c>
      <c r="C26" s="22" t="s">
        <v>59</v>
      </c>
      <c r="D26" s="22" t="s">
        <v>60</v>
      </c>
      <c r="E26" s="22" t="s">
        <v>61</v>
      </c>
      <c r="F26" s="22" t="s">
        <v>140</v>
      </c>
      <c r="G26" s="22" t="s">
        <v>141</v>
      </c>
      <c r="H26" s="23" t="n">
        <v>360</v>
      </c>
      <c r="I26" s="24" t="n">
        <v>17.917</v>
      </c>
      <c r="J26" s="24" t="n">
        <v>0.05</v>
      </c>
      <c r="K26" s="24" t="n">
        <v>0.359</v>
      </c>
      <c r="L26" s="23" t="n">
        <v>42</v>
      </c>
      <c r="M26" s="25" t="n">
        <v>29</v>
      </c>
      <c r="N26" s="23" t="n">
        <v>49.5</v>
      </c>
      <c r="O26" s="24" t="n">
        <v>2.122</v>
      </c>
      <c r="P26" s="24" t="n">
        <v>0.043</v>
      </c>
      <c r="Q26" s="24" t="n">
        <v>0.309</v>
      </c>
      <c r="R26" s="23" t="n">
        <v>14.9</v>
      </c>
      <c r="S26" s="25" t="n">
        <v>4672</v>
      </c>
      <c r="T26" s="23" t="n">
        <v>3.3</v>
      </c>
      <c r="U26" s="23" t="n">
        <v>16</v>
      </c>
      <c r="V26" s="25" t="n">
        <v>24</v>
      </c>
      <c r="W26" s="23" t="n">
        <v>67.4</v>
      </c>
      <c r="X26" s="24" t="n">
        <v>2.098</v>
      </c>
      <c r="Y26" s="24" t="n">
        <v>0.031</v>
      </c>
      <c r="Z26" s="24" t="n">
        <v>0.314</v>
      </c>
      <c r="AA26" s="23" t="n">
        <v>15.6</v>
      </c>
      <c r="AB26" s="25" t="n">
        <v>6006</v>
      </c>
      <c r="AC26" s="23" t="n">
        <v>7.1</v>
      </c>
      <c r="AD26" s="23" t="n">
        <v>11.4</v>
      </c>
      <c r="AE26" s="25" t="n">
        <v>31</v>
      </c>
      <c r="AF26" s="23" t="n">
        <v>47.1</v>
      </c>
      <c r="AG26" s="24" t="n">
        <v>3.435</v>
      </c>
      <c r="AH26" s="24" t="n">
        <v>0.073</v>
      </c>
      <c r="AI26" s="23" t="n">
        <v>5.2</v>
      </c>
      <c r="AJ26" s="25" t="n">
        <v>32</v>
      </c>
      <c r="AK26" s="23" t="n">
        <v>312.9</v>
      </c>
      <c r="AL26" s="24" t="n">
        <v>14.481</v>
      </c>
      <c r="AM26" s="24" t="n">
        <v>0.046</v>
      </c>
      <c r="AN26" s="23" t="n">
        <v>36.8</v>
      </c>
      <c r="AO26" s="26"/>
      <c r="AP26" s="26"/>
      <c r="AQ26" s="26"/>
      <c r="AR26" s="26"/>
      <c r="AS26" s="28" t="n">
        <f aca="false">Table2[[#This Row],[Object_A_._head_time]]+Table2[[#This Row],[Object_B_._head_time]]</f>
        <v>116.9</v>
      </c>
      <c r="AT26" s="28"/>
      <c r="AU26" s="28"/>
      <c r="AV26" s="29"/>
      <c r="AW26" s="28"/>
      <c r="AX26" s="45" t="n">
        <f aca="false">(Table2[[#This Row],[Object_A_._head_time]]/(Table2[[#This Row],[Object_A_._head_time]]+Table2[[#This Row],[Object_B_._head_time]]))</f>
        <v>0.423438836612489</v>
      </c>
      <c r="AY26" s="30" t="s">
        <v>79</v>
      </c>
      <c r="AZ26" s="30" t="s">
        <v>119</v>
      </c>
      <c r="BA26" s="30" t="s">
        <v>66</v>
      </c>
      <c r="BB26" s="31" t="n">
        <v>55</v>
      </c>
      <c r="BC26" s="32" t="n">
        <v>1.83333333333333</v>
      </c>
      <c r="BD26" s="33" t="s">
        <v>80</v>
      </c>
      <c r="BE26" s="30" t="n">
        <v>5</v>
      </c>
      <c r="BF26" s="34"/>
    </row>
    <row r="27" customFormat="false" ht="12" hidden="false" customHeight="true" outlineLevel="0" collapsed="false">
      <c r="A27" s="21" t="n">
        <v>62</v>
      </c>
      <c r="B27" s="22" t="s">
        <v>142</v>
      </c>
      <c r="C27" s="22" t="s">
        <v>59</v>
      </c>
      <c r="D27" s="22" t="s">
        <v>70</v>
      </c>
      <c r="E27" s="22" t="s">
        <v>61</v>
      </c>
      <c r="F27" s="22" t="s">
        <v>140</v>
      </c>
      <c r="G27" s="22" t="s">
        <v>143</v>
      </c>
      <c r="H27" s="23" t="n">
        <v>360</v>
      </c>
      <c r="I27" s="24" t="n">
        <v>23.369</v>
      </c>
      <c r="J27" s="24" t="n">
        <v>0.065</v>
      </c>
      <c r="K27" s="24" t="n">
        <v>0.381</v>
      </c>
      <c r="L27" s="23" t="n">
        <v>25.4</v>
      </c>
      <c r="M27" s="25" t="n">
        <v>32</v>
      </c>
      <c r="N27" s="23" t="n">
        <v>36.2</v>
      </c>
      <c r="O27" s="24" t="n">
        <v>2.543</v>
      </c>
      <c r="P27" s="24" t="n">
        <v>0.07</v>
      </c>
      <c r="Q27" s="24" t="n">
        <v>0.333</v>
      </c>
      <c r="R27" s="23" t="n">
        <v>8.7</v>
      </c>
      <c r="S27" s="25" t="n">
        <v>4467</v>
      </c>
      <c r="T27" s="23" t="n">
        <v>0</v>
      </c>
      <c r="U27" s="23" t="n">
        <v>6.4</v>
      </c>
      <c r="V27" s="25" t="n">
        <v>64</v>
      </c>
      <c r="W27" s="23" t="n">
        <v>67.7</v>
      </c>
      <c r="X27" s="24" t="n">
        <v>4.215</v>
      </c>
      <c r="Y27" s="24" t="n">
        <v>0.062</v>
      </c>
      <c r="Z27" s="24" t="n">
        <v>0.381</v>
      </c>
      <c r="AA27" s="23" t="n">
        <v>13.2</v>
      </c>
      <c r="AB27" s="25" t="n">
        <v>8215</v>
      </c>
      <c r="AC27" s="23" t="n">
        <v>0</v>
      </c>
      <c r="AD27" s="23" t="n">
        <v>9.3</v>
      </c>
      <c r="AE27" s="25" t="n">
        <v>27</v>
      </c>
      <c r="AF27" s="23" t="n">
        <v>33.5</v>
      </c>
      <c r="AG27" s="24" t="n">
        <v>3.354</v>
      </c>
      <c r="AH27" s="24" t="n">
        <v>0.1</v>
      </c>
      <c r="AI27" s="23" t="n">
        <v>0</v>
      </c>
      <c r="AJ27" s="25" t="n">
        <v>29</v>
      </c>
      <c r="AK27" s="23" t="n">
        <v>326.4</v>
      </c>
      <c r="AL27" s="24" t="n">
        <v>20.015</v>
      </c>
      <c r="AM27" s="24" t="n">
        <v>0.061</v>
      </c>
      <c r="AN27" s="23" t="n">
        <v>25.4</v>
      </c>
      <c r="AO27" s="26"/>
      <c r="AP27" s="26"/>
      <c r="AQ27" s="26"/>
      <c r="AR27" s="26"/>
      <c r="AS27" s="28" t="n">
        <f aca="false">Table2[[#This Row],[Object_A_._head_time]]+Table2[[#This Row],[Object_B_._head_time]]</f>
        <v>103.9</v>
      </c>
      <c r="AT27" s="28"/>
      <c r="AU27" s="28"/>
      <c r="AV27" s="29"/>
      <c r="AW27" s="28"/>
      <c r="AX27" s="45" t="n">
        <f aca="false">(Table2[[#This Row],[Object_A_._head_time]]/(Table2[[#This Row],[Object_A_._head_time]]+Table2[[#This Row],[Object_B_._head_time]]))</f>
        <v>0.348411934552454</v>
      </c>
      <c r="AY27" s="30" t="s">
        <v>79</v>
      </c>
      <c r="AZ27" s="30" t="s">
        <v>131</v>
      </c>
      <c r="BA27" s="30" t="s">
        <v>93</v>
      </c>
      <c r="BB27" s="31" t="n">
        <v>55</v>
      </c>
      <c r="BC27" s="32" t="n">
        <v>1.83333333333333</v>
      </c>
      <c r="BD27" s="33" t="s">
        <v>80</v>
      </c>
      <c r="BE27" s="30" t="n">
        <v>7</v>
      </c>
      <c r="BF27" s="34"/>
    </row>
    <row r="28" customFormat="false" ht="12" hidden="false" customHeight="true" outlineLevel="0" collapsed="false">
      <c r="A28" s="21" t="n">
        <v>64</v>
      </c>
      <c r="B28" s="22" t="s">
        <v>144</v>
      </c>
      <c r="C28" s="22" t="s">
        <v>59</v>
      </c>
      <c r="D28" s="22" t="s">
        <v>73</v>
      </c>
      <c r="E28" s="22" t="s">
        <v>61</v>
      </c>
      <c r="F28" s="22" t="s">
        <v>140</v>
      </c>
      <c r="G28" s="22" t="s">
        <v>145</v>
      </c>
      <c r="H28" s="23" t="n">
        <v>360</v>
      </c>
      <c r="I28" s="24" t="n">
        <v>29.98</v>
      </c>
      <c r="J28" s="24" t="n">
        <v>0.083</v>
      </c>
      <c r="K28" s="24" t="n">
        <v>0.457</v>
      </c>
      <c r="L28" s="23" t="n">
        <v>10</v>
      </c>
      <c r="M28" s="25" t="n">
        <v>40</v>
      </c>
      <c r="N28" s="23" t="n">
        <v>36.6</v>
      </c>
      <c r="O28" s="24" t="n">
        <v>2.557</v>
      </c>
      <c r="P28" s="24" t="n">
        <v>0.07</v>
      </c>
      <c r="Q28" s="24" t="n">
        <v>0.383</v>
      </c>
      <c r="R28" s="23" t="n">
        <v>11.2</v>
      </c>
      <c r="S28" s="25" t="n">
        <v>4881</v>
      </c>
      <c r="T28" s="23" t="n">
        <v>3.7</v>
      </c>
      <c r="U28" s="23" t="n">
        <v>6.2</v>
      </c>
      <c r="V28" s="25" t="n">
        <v>46</v>
      </c>
      <c r="W28" s="23" t="n">
        <v>46.5</v>
      </c>
      <c r="X28" s="24" t="n">
        <v>3.934</v>
      </c>
      <c r="Y28" s="24" t="n">
        <v>0.085</v>
      </c>
      <c r="Z28" s="24" t="n">
        <v>0.403</v>
      </c>
      <c r="AA28" s="23" t="n">
        <v>13.3</v>
      </c>
      <c r="AB28" s="25" t="n">
        <v>4742</v>
      </c>
      <c r="AC28" s="23" t="n">
        <v>0</v>
      </c>
      <c r="AD28" s="23" t="n">
        <v>8.4</v>
      </c>
      <c r="AE28" s="25" t="n">
        <v>37</v>
      </c>
      <c r="AF28" s="23" t="n">
        <v>32.1</v>
      </c>
      <c r="AG28" s="24" t="n">
        <v>4.353</v>
      </c>
      <c r="AH28" s="24" t="n">
        <v>0.136</v>
      </c>
      <c r="AI28" s="23" t="n">
        <v>0</v>
      </c>
      <c r="AJ28" s="25" t="n">
        <v>37</v>
      </c>
      <c r="AK28" s="23" t="n">
        <v>327.9</v>
      </c>
      <c r="AL28" s="24" t="n">
        <v>25.627</v>
      </c>
      <c r="AM28" s="24" t="n">
        <v>0.078</v>
      </c>
      <c r="AN28" s="23" t="n">
        <v>10</v>
      </c>
      <c r="AO28" s="26"/>
      <c r="AP28" s="26"/>
      <c r="AQ28" s="26"/>
      <c r="AR28" s="26"/>
      <c r="AS28" s="28" t="n">
        <f aca="false">Table2[[#This Row],[Object_A_._head_time]]+Table2[[#This Row],[Object_B_._head_time]]</f>
        <v>83.1</v>
      </c>
      <c r="AT28" s="28"/>
      <c r="AU28" s="28"/>
      <c r="AV28" s="29"/>
      <c r="AW28" s="28"/>
      <c r="AX28" s="45" t="n">
        <f aca="false">(Table2[[#This Row],[Object_A_._head_time]]/(Table2[[#This Row],[Object_A_._head_time]]+Table2[[#This Row],[Object_B_._head_time]]))</f>
        <v>0.44043321299639</v>
      </c>
      <c r="AY28" s="30" t="s">
        <v>79</v>
      </c>
      <c r="AZ28" s="30" t="s">
        <v>105</v>
      </c>
      <c r="BA28" s="30" t="s">
        <v>66</v>
      </c>
      <c r="BB28" s="31" t="n">
        <v>55</v>
      </c>
      <c r="BC28" s="32" t="n">
        <v>1.83333333333333</v>
      </c>
      <c r="BD28" s="33" t="s">
        <v>67</v>
      </c>
      <c r="BE28" s="30" t="n">
        <v>6</v>
      </c>
      <c r="BF28" s="34"/>
    </row>
    <row r="29" s="44" customFormat="true" ht="12" hidden="false" customHeight="true" outlineLevel="0" collapsed="false">
      <c r="A29" s="35" t="n">
        <v>65</v>
      </c>
      <c r="B29" s="36" t="s">
        <v>146</v>
      </c>
      <c r="C29" s="36" t="s">
        <v>59</v>
      </c>
      <c r="D29" s="36" t="s">
        <v>77</v>
      </c>
      <c r="E29" s="36" t="s">
        <v>61</v>
      </c>
      <c r="F29" s="36" t="s">
        <v>147</v>
      </c>
      <c r="G29" s="36" t="s">
        <v>148</v>
      </c>
      <c r="H29" s="37" t="n">
        <v>360</v>
      </c>
      <c r="I29" s="38" t="n">
        <v>11.409</v>
      </c>
      <c r="J29" s="38" t="n">
        <v>0.032</v>
      </c>
      <c r="K29" s="38" t="n">
        <v>0.283</v>
      </c>
      <c r="L29" s="37" t="n">
        <v>124.1</v>
      </c>
      <c r="M29" s="39" t="n">
        <v>11</v>
      </c>
      <c r="N29" s="37" t="n">
        <v>13.5</v>
      </c>
      <c r="O29" s="38" t="n">
        <v>0.56</v>
      </c>
      <c r="P29" s="38" t="n">
        <v>0.042</v>
      </c>
      <c r="Q29" s="38" t="n">
        <v>0.274</v>
      </c>
      <c r="R29" s="37" t="n">
        <v>6.1</v>
      </c>
      <c r="S29" s="39" t="n">
        <v>1398</v>
      </c>
      <c r="T29" s="37" t="n">
        <v>0</v>
      </c>
      <c r="U29" s="37" t="n">
        <v>5.7</v>
      </c>
      <c r="V29" s="39" t="n">
        <v>11</v>
      </c>
      <c r="W29" s="37" t="n">
        <v>11.5</v>
      </c>
      <c r="X29" s="38" t="n">
        <v>0.657</v>
      </c>
      <c r="Y29" s="38" t="n">
        <v>0.057</v>
      </c>
      <c r="Z29" s="38" t="n">
        <v>0.25</v>
      </c>
      <c r="AA29" s="37" t="n">
        <v>4.5</v>
      </c>
      <c r="AB29" s="39" t="n">
        <v>1320</v>
      </c>
      <c r="AC29" s="37" t="n">
        <v>0</v>
      </c>
      <c r="AD29" s="37" t="n">
        <v>3.6</v>
      </c>
      <c r="AE29" s="39" t="n">
        <v>17</v>
      </c>
      <c r="AF29" s="37" t="n">
        <v>21.5</v>
      </c>
      <c r="AG29" s="38" t="n">
        <v>1.557</v>
      </c>
      <c r="AH29" s="38" t="n">
        <v>0.072</v>
      </c>
      <c r="AI29" s="37" t="n">
        <v>2.5</v>
      </c>
      <c r="AJ29" s="39" t="n">
        <v>17</v>
      </c>
      <c r="AK29" s="37" t="n">
        <v>338.5</v>
      </c>
      <c r="AL29" s="38" t="n">
        <v>9.852</v>
      </c>
      <c r="AM29" s="38" t="n">
        <v>0.029</v>
      </c>
      <c r="AN29" s="37" t="n">
        <v>121.6</v>
      </c>
      <c r="AO29" s="40"/>
      <c r="AP29" s="40"/>
      <c r="AQ29" s="40"/>
      <c r="AR29" s="40"/>
      <c r="AS29" s="39" t="n">
        <f aca="false">Table2[[#This Row],[Object_A_._head_time]]+Table2[[#This Row],[Object_B_._head_time]]</f>
        <v>25</v>
      </c>
      <c r="AT29" s="39"/>
      <c r="AU29" s="39"/>
      <c r="AV29" s="37"/>
      <c r="AW29" s="39"/>
      <c r="AX29" s="40" t="n">
        <f aca="false">(Table2[[#This Row],[Object_A_._head_time]]/(Table2[[#This Row],[Object_A_._head_time]]+Table2[[#This Row],[Object_B_._head_time]]))</f>
        <v>0.54</v>
      </c>
      <c r="AY29" s="36"/>
      <c r="AZ29" s="41" t="s">
        <v>131</v>
      </c>
      <c r="BA29" s="36" t="s">
        <v>93</v>
      </c>
      <c r="BB29" s="36" t="n">
        <v>56</v>
      </c>
      <c r="BC29" s="42" t="n">
        <v>1.86666666666667</v>
      </c>
      <c r="BD29" s="36"/>
      <c r="BE29" s="36"/>
      <c r="BF29" s="43"/>
    </row>
    <row r="30" customFormat="false" ht="12" hidden="false" customHeight="true" outlineLevel="0" collapsed="false">
      <c r="A30" s="21" t="n">
        <v>67</v>
      </c>
      <c r="B30" s="22" t="s">
        <v>149</v>
      </c>
      <c r="C30" s="22" t="s">
        <v>59</v>
      </c>
      <c r="D30" s="22" t="s">
        <v>60</v>
      </c>
      <c r="E30" s="22" t="s">
        <v>61</v>
      </c>
      <c r="F30" s="22" t="s">
        <v>150</v>
      </c>
      <c r="G30" s="22" t="s">
        <v>151</v>
      </c>
      <c r="H30" s="23" t="n">
        <v>360</v>
      </c>
      <c r="I30" s="24" t="n">
        <v>16.543</v>
      </c>
      <c r="J30" s="24" t="n">
        <v>0.046</v>
      </c>
      <c r="K30" s="24" t="n">
        <v>0.25</v>
      </c>
      <c r="L30" s="23" t="n">
        <v>20.5</v>
      </c>
      <c r="M30" s="25" t="n">
        <v>23</v>
      </c>
      <c r="N30" s="23" t="n">
        <v>34</v>
      </c>
      <c r="O30" s="24" t="n">
        <v>1.831</v>
      </c>
      <c r="P30" s="24" t="n">
        <v>0.054</v>
      </c>
      <c r="Q30" s="24" t="n">
        <v>0.222</v>
      </c>
      <c r="R30" s="23" t="n">
        <v>14.1</v>
      </c>
      <c r="S30" s="25" t="n">
        <v>2234</v>
      </c>
      <c r="T30" s="23" t="n">
        <v>0</v>
      </c>
      <c r="U30" s="23" t="n">
        <v>14.4</v>
      </c>
      <c r="V30" s="25" t="n">
        <v>46</v>
      </c>
      <c r="W30" s="23" t="n">
        <v>52.1</v>
      </c>
      <c r="X30" s="24" t="n">
        <v>2.227</v>
      </c>
      <c r="Y30" s="24" t="n">
        <v>0.043</v>
      </c>
      <c r="Z30" s="24" t="n">
        <v>0.209</v>
      </c>
      <c r="AA30" s="23" t="n">
        <v>16.8</v>
      </c>
      <c r="AB30" s="25" t="n">
        <v>4012</v>
      </c>
      <c r="AC30" s="23" t="n">
        <v>0.1</v>
      </c>
      <c r="AD30" s="23" t="n">
        <v>25.1</v>
      </c>
      <c r="AE30" s="25" t="n">
        <v>39</v>
      </c>
      <c r="AF30" s="23" t="n">
        <v>63.8</v>
      </c>
      <c r="AG30" s="24" t="n">
        <v>3.935</v>
      </c>
      <c r="AH30" s="24" t="n">
        <v>0.062</v>
      </c>
      <c r="AI30" s="23" t="n">
        <v>3.3</v>
      </c>
      <c r="AJ30" s="25" t="n">
        <v>40</v>
      </c>
      <c r="AK30" s="23" t="n">
        <v>296.2</v>
      </c>
      <c r="AL30" s="24" t="n">
        <v>12.608</v>
      </c>
      <c r="AM30" s="24" t="n">
        <v>0.043</v>
      </c>
      <c r="AN30" s="23" t="n">
        <v>17.2</v>
      </c>
      <c r="AO30" s="26"/>
      <c r="AP30" s="26"/>
      <c r="AQ30" s="26"/>
      <c r="AR30" s="26"/>
      <c r="AS30" s="28" t="n">
        <f aca="false">Table2[[#This Row],[Object_A_._head_time]]+Table2[[#This Row],[Object_B_._head_time]]</f>
        <v>86.1</v>
      </c>
      <c r="AT30" s="28"/>
      <c r="AU30" s="28"/>
      <c r="AV30" s="29"/>
      <c r="AW30" s="28"/>
      <c r="AX30" s="45" t="n">
        <f aca="false">(Table2[[#This Row],[Object_A_._head_time]]/(Table2[[#This Row],[Object_A_._head_time]]+Table2[[#This Row],[Object_B_._head_time]]))</f>
        <v>0.394889663182346</v>
      </c>
      <c r="AY30" s="30" t="s">
        <v>64</v>
      </c>
      <c r="AZ30" s="30" t="s">
        <v>123</v>
      </c>
      <c r="BA30" s="30" t="s">
        <v>66</v>
      </c>
      <c r="BB30" s="31" t="n">
        <v>56</v>
      </c>
      <c r="BC30" s="32" t="n">
        <v>1.86666666666667</v>
      </c>
      <c r="BD30" s="33" t="s">
        <v>80</v>
      </c>
      <c r="BE30" s="30" t="n">
        <v>1</v>
      </c>
      <c r="BF30" s="34" t="s">
        <v>94</v>
      </c>
    </row>
    <row r="31" s="44" customFormat="true" ht="12" hidden="false" customHeight="true" outlineLevel="0" collapsed="false">
      <c r="A31" s="35" t="n">
        <v>66</v>
      </c>
      <c r="B31" s="36" t="s">
        <v>152</v>
      </c>
      <c r="C31" s="36" t="s">
        <v>59</v>
      </c>
      <c r="D31" s="36" t="s">
        <v>70</v>
      </c>
      <c r="E31" s="36" t="s">
        <v>61</v>
      </c>
      <c r="F31" s="36" t="s">
        <v>150</v>
      </c>
      <c r="G31" s="36" t="s">
        <v>153</v>
      </c>
      <c r="H31" s="37" t="n">
        <v>360</v>
      </c>
      <c r="I31" s="38" t="n">
        <v>22.261</v>
      </c>
      <c r="J31" s="38" t="n">
        <v>0.062</v>
      </c>
      <c r="K31" s="38" t="n">
        <v>0.324</v>
      </c>
      <c r="L31" s="37" t="n">
        <v>7.1</v>
      </c>
      <c r="M31" s="39" t="n">
        <v>34</v>
      </c>
      <c r="N31" s="37" t="n">
        <v>61.1</v>
      </c>
      <c r="O31" s="38" t="n">
        <v>2.591</v>
      </c>
      <c r="P31" s="38" t="n">
        <v>0.042</v>
      </c>
      <c r="Q31" s="38" t="n">
        <v>0.251</v>
      </c>
      <c r="R31" s="37" t="n">
        <v>16.1</v>
      </c>
      <c r="S31" s="39" t="n">
        <v>4357</v>
      </c>
      <c r="T31" s="37" t="n">
        <v>3.3</v>
      </c>
      <c r="U31" s="37" t="n">
        <v>9.8</v>
      </c>
      <c r="V31" s="39" t="n">
        <v>32</v>
      </c>
      <c r="W31" s="37" t="n">
        <v>55.4</v>
      </c>
      <c r="X31" s="38" t="n">
        <v>3.039</v>
      </c>
      <c r="Y31" s="38" t="n">
        <v>0.055</v>
      </c>
      <c r="Z31" s="38" t="n">
        <v>0.271</v>
      </c>
      <c r="AA31" s="37" t="n">
        <v>16.2</v>
      </c>
      <c r="AB31" s="39" t="n">
        <v>3286</v>
      </c>
      <c r="AC31" s="37" t="n">
        <v>0</v>
      </c>
      <c r="AD31" s="37" t="n">
        <v>14.3</v>
      </c>
      <c r="AE31" s="39" t="n">
        <v>29</v>
      </c>
      <c r="AF31" s="37" t="n">
        <v>42.6</v>
      </c>
      <c r="AG31" s="38" t="n">
        <v>3.678</v>
      </c>
      <c r="AH31" s="38" t="n">
        <v>0.086</v>
      </c>
      <c r="AI31" s="37" t="n">
        <v>0</v>
      </c>
      <c r="AJ31" s="39" t="n">
        <v>31</v>
      </c>
      <c r="AK31" s="37" t="n">
        <v>317.2</v>
      </c>
      <c r="AL31" s="38" t="n">
        <v>18.547</v>
      </c>
      <c r="AM31" s="38" t="n">
        <v>0.058</v>
      </c>
      <c r="AN31" s="37" t="n">
        <v>7.1</v>
      </c>
      <c r="AO31" s="40"/>
      <c r="AP31" s="40"/>
      <c r="AQ31" s="40"/>
      <c r="AR31" s="40"/>
      <c r="AS31" s="39" t="n">
        <f aca="false">Table2[[#This Row],[Object_A_._head_time]]+Table2[[#This Row],[Object_B_._head_time]]</f>
        <v>116.5</v>
      </c>
      <c r="AT31" s="39"/>
      <c r="AU31" s="39"/>
      <c r="AV31" s="37"/>
      <c r="AW31" s="39"/>
      <c r="AX31" s="40" t="n">
        <f aca="false">(Table2[[#This Row],[Object_A_._head_time]]/(Table2[[#This Row],[Object_A_._head_time]]+Table2[[#This Row],[Object_B_._head_time]]))</f>
        <v>0.524463519313305</v>
      </c>
      <c r="AY31" s="36"/>
      <c r="AZ31" s="41" t="s">
        <v>131</v>
      </c>
      <c r="BA31" s="36" t="s">
        <v>93</v>
      </c>
      <c r="BB31" s="36" t="n">
        <v>56</v>
      </c>
      <c r="BC31" s="42" t="n">
        <v>1.86666666666667</v>
      </c>
      <c r="BD31" s="36"/>
      <c r="BE31" s="36"/>
      <c r="BF31" s="43"/>
    </row>
    <row r="32" customFormat="false" ht="12" hidden="false" customHeight="true" outlineLevel="0" collapsed="false">
      <c r="A32" s="21" t="n">
        <v>68</v>
      </c>
      <c r="B32" s="22" t="s">
        <v>154</v>
      </c>
      <c r="C32" s="22" t="s">
        <v>59</v>
      </c>
      <c r="D32" s="22" t="s">
        <v>73</v>
      </c>
      <c r="E32" s="22" t="s">
        <v>61</v>
      </c>
      <c r="F32" s="22" t="s">
        <v>155</v>
      </c>
      <c r="G32" s="22" t="s">
        <v>156</v>
      </c>
      <c r="H32" s="23" t="n">
        <v>360</v>
      </c>
      <c r="I32" s="24" t="n">
        <v>9.216</v>
      </c>
      <c r="J32" s="24" t="n">
        <v>0.026</v>
      </c>
      <c r="K32" s="24" t="n">
        <v>0.233</v>
      </c>
      <c r="L32" s="23" t="n">
        <v>76.1</v>
      </c>
      <c r="M32" s="25" t="n">
        <v>10</v>
      </c>
      <c r="N32" s="23" t="n">
        <v>10.7</v>
      </c>
      <c r="O32" s="24" t="n">
        <v>0.277</v>
      </c>
      <c r="P32" s="24" t="n">
        <v>0.026</v>
      </c>
      <c r="Q32" s="24" t="n">
        <v>0.228</v>
      </c>
      <c r="R32" s="23" t="n">
        <v>5.5</v>
      </c>
      <c r="S32" s="25" t="n">
        <v>673</v>
      </c>
      <c r="T32" s="23" t="n">
        <v>0</v>
      </c>
      <c r="U32" s="23" t="n">
        <v>8.5</v>
      </c>
      <c r="V32" s="25" t="n">
        <v>8</v>
      </c>
      <c r="W32" s="23" t="n">
        <v>7.8</v>
      </c>
      <c r="X32" s="24" t="n">
        <v>0.241</v>
      </c>
      <c r="Y32" s="24" t="n">
        <v>0.031</v>
      </c>
      <c r="Z32" s="24" t="n">
        <v>0.193</v>
      </c>
      <c r="AA32" s="23" t="n">
        <v>6</v>
      </c>
      <c r="AB32" s="25" t="n">
        <v>378</v>
      </c>
      <c r="AC32" s="23" t="n">
        <v>0</v>
      </c>
      <c r="AD32" s="23" t="n">
        <v>7.2</v>
      </c>
      <c r="AE32" s="25" t="n">
        <v>6</v>
      </c>
      <c r="AF32" s="23" t="n">
        <v>8.9</v>
      </c>
      <c r="AG32" s="24" t="n">
        <v>0.857</v>
      </c>
      <c r="AH32" s="24" t="n">
        <v>0.097</v>
      </c>
      <c r="AI32" s="23" t="n">
        <v>0</v>
      </c>
      <c r="AJ32" s="25" t="n">
        <v>6</v>
      </c>
      <c r="AK32" s="23" t="n">
        <v>351.1</v>
      </c>
      <c r="AL32" s="24" t="n">
        <v>8.359</v>
      </c>
      <c r="AM32" s="24" t="n">
        <v>0.024</v>
      </c>
      <c r="AN32" s="23" t="n">
        <v>76.1</v>
      </c>
      <c r="AO32" s="26"/>
      <c r="AP32" s="26"/>
      <c r="AQ32" s="26"/>
      <c r="AR32" s="26"/>
      <c r="AS32" s="28" t="n">
        <f aca="false">Table2[[#This Row],[Object_A_._head_time]]+Table2[[#This Row],[Object_B_._head_time]]</f>
        <v>18.5</v>
      </c>
      <c r="AT32" s="28"/>
      <c r="AU32" s="28"/>
      <c r="AV32" s="29"/>
      <c r="AW32" s="28"/>
      <c r="AX32" s="45" t="n">
        <f aca="false">(Table2[[#This Row],[Object_A_._head_time]]/(Table2[[#This Row],[Object_A_._head_time]]+Table2[[#This Row],[Object_B_._head_time]]))</f>
        <v>0.578378378378378</v>
      </c>
      <c r="AY32" s="30" t="s">
        <v>79</v>
      </c>
      <c r="AZ32" s="30" t="s">
        <v>123</v>
      </c>
      <c r="BA32" s="30" t="s">
        <v>93</v>
      </c>
      <c r="BB32" s="31" t="n">
        <v>36</v>
      </c>
      <c r="BC32" s="32" t="n">
        <v>1.2</v>
      </c>
      <c r="BD32" s="33" t="s">
        <v>80</v>
      </c>
      <c r="BE32" s="30" t="n">
        <v>3</v>
      </c>
      <c r="BF32" s="34"/>
    </row>
    <row r="33" customFormat="false" ht="12" hidden="false" customHeight="true" outlineLevel="0" collapsed="false">
      <c r="A33" s="21" t="n">
        <v>69</v>
      </c>
      <c r="B33" s="22" t="s">
        <v>157</v>
      </c>
      <c r="C33" s="22" t="s">
        <v>59</v>
      </c>
      <c r="D33" s="22" t="s">
        <v>77</v>
      </c>
      <c r="E33" s="22" t="s">
        <v>61</v>
      </c>
      <c r="F33" s="22" t="s">
        <v>155</v>
      </c>
      <c r="G33" s="22" t="s">
        <v>158</v>
      </c>
      <c r="H33" s="23" t="n">
        <v>360</v>
      </c>
      <c r="I33" s="24" t="n">
        <v>9.371</v>
      </c>
      <c r="J33" s="24" t="n">
        <v>0.026</v>
      </c>
      <c r="K33" s="24" t="n">
        <v>0.224</v>
      </c>
      <c r="L33" s="23" t="n">
        <v>106.1</v>
      </c>
      <c r="M33" s="25" t="n">
        <v>15</v>
      </c>
      <c r="N33" s="23" t="n">
        <v>19.5</v>
      </c>
      <c r="O33" s="24" t="n">
        <v>1.168</v>
      </c>
      <c r="P33" s="24" t="n">
        <v>0.06</v>
      </c>
      <c r="Q33" s="24" t="n">
        <v>0.178</v>
      </c>
      <c r="R33" s="23" t="n">
        <v>11.3</v>
      </c>
      <c r="S33" s="25" t="n">
        <v>1264</v>
      </c>
      <c r="T33" s="23" t="n">
        <v>0</v>
      </c>
      <c r="U33" s="23" t="n">
        <v>7.6</v>
      </c>
      <c r="V33" s="25" t="n">
        <v>19</v>
      </c>
      <c r="W33" s="23" t="n">
        <v>25.7</v>
      </c>
      <c r="X33" s="24" t="n">
        <v>0.559</v>
      </c>
      <c r="Y33" s="24" t="n">
        <v>0.022</v>
      </c>
      <c r="Z33" s="24" t="n">
        <v>0.206</v>
      </c>
      <c r="AA33" s="23" t="n">
        <v>10.3</v>
      </c>
      <c r="AB33" s="25" t="n">
        <v>1611</v>
      </c>
      <c r="AC33" s="23" t="n">
        <v>4.1</v>
      </c>
      <c r="AD33" s="23" t="n">
        <v>15.6</v>
      </c>
      <c r="AE33" s="25" t="n">
        <v>11</v>
      </c>
      <c r="AF33" s="23" t="n">
        <v>13.4</v>
      </c>
      <c r="AG33" s="24" t="n">
        <v>1.623</v>
      </c>
      <c r="AH33" s="24" t="n">
        <v>0.121</v>
      </c>
      <c r="AI33" s="23" t="n">
        <v>0</v>
      </c>
      <c r="AJ33" s="25" t="n">
        <v>12</v>
      </c>
      <c r="AK33" s="23" t="n">
        <v>346.6</v>
      </c>
      <c r="AL33" s="24" t="n">
        <v>7.748</v>
      </c>
      <c r="AM33" s="24" t="n">
        <v>0.022</v>
      </c>
      <c r="AN33" s="23" t="n">
        <v>106.1</v>
      </c>
      <c r="AO33" s="26"/>
      <c r="AP33" s="26"/>
      <c r="AQ33" s="26"/>
      <c r="AR33" s="26"/>
      <c r="AS33" s="28" t="n">
        <f aca="false">Table2[[#This Row],[Object_A_._head_time]]+Table2[[#This Row],[Object_B_._head_time]]</f>
        <v>45.2</v>
      </c>
      <c r="AT33" s="28"/>
      <c r="AU33" s="28"/>
      <c r="AV33" s="29"/>
      <c r="AW33" s="28"/>
      <c r="AX33" s="45" t="n">
        <f aca="false">(Table2[[#This Row],[Object_A_._head_time]]/(Table2[[#This Row],[Object_A_._head_time]]+Table2[[#This Row],[Object_B_._head_time]]))</f>
        <v>0.43141592920354</v>
      </c>
      <c r="AY33" s="30" t="s">
        <v>79</v>
      </c>
      <c r="AZ33" s="30" t="s">
        <v>123</v>
      </c>
      <c r="BA33" s="30" t="s">
        <v>93</v>
      </c>
      <c r="BB33" s="31" t="n">
        <v>36</v>
      </c>
      <c r="BC33" s="32" t="n">
        <v>1.2</v>
      </c>
      <c r="BD33" s="33" t="s">
        <v>67</v>
      </c>
      <c r="BE33" s="30" t="n">
        <v>4</v>
      </c>
      <c r="BF33" s="34"/>
    </row>
    <row r="34" customFormat="false" ht="12" hidden="false" customHeight="true" outlineLevel="0" collapsed="false">
      <c r="A34" s="21" t="n">
        <v>71</v>
      </c>
      <c r="B34" s="22" t="s">
        <v>159</v>
      </c>
      <c r="C34" s="22" t="s">
        <v>59</v>
      </c>
      <c r="D34" s="22" t="s">
        <v>60</v>
      </c>
      <c r="E34" s="22" t="s">
        <v>61</v>
      </c>
      <c r="F34" s="22" t="s">
        <v>160</v>
      </c>
      <c r="G34" s="22" t="s">
        <v>161</v>
      </c>
      <c r="H34" s="23" t="n">
        <v>360</v>
      </c>
      <c r="I34" s="24" t="n">
        <v>15.485</v>
      </c>
      <c r="J34" s="24" t="n">
        <v>0.043</v>
      </c>
      <c r="K34" s="24" t="n">
        <v>0.353</v>
      </c>
      <c r="L34" s="23" t="n">
        <v>65.3</v>
      </c>
      <c r="M34" s="25" t="n">
        <v>24</v>
      </c>
      <c r="N34" s="23" t="n">
        <v>31.6</v>
      </c>
      <c r="O34" s="24" t="n">
        <v>1.625</v>
      </c>
      <c r="P34" s="24" t="n">
        <v>0.051</v>
      </c>
      <c r="Q34" s="24" t="n">
        <v>0.353</v>
      </c>
      <c r="R34" s="23" t="n">
        <v>8</v>
      </c>
      <c r="S34" s="25" t="n">
        <v>3244</v>
      </c>
      <c r="T34" s="23" t="n">
        <v>0</v>
      </c>
      <c r="U34" s="23" t="n">
        <v>7.4</v>
      </c>
      <c r="V34" s="25" t="n">
        <v>25</v>
      </c>
      <c r="W34" s="23" t="n">
        <v>24.6</v>
      </c>
      <c r="X34" s="24" t="n">
        <v>1.338</v>
      </c>
      <c r="Y34" s="24" t="n">
        <v>0.054</v>
      </c>
      <c r="Z34" s="24" t="n">
        <v>0.268</v>
      </c>
      <c r="AA34" s="23" t="n">
        <v>8.6</v>
      </c>
      <c r="AB34" s="25" t="n">
        <v>2794</v>
      </c>
      <c r="AC34" s="23" t="n">
        <v>0</v>
      </c>
      <c r="AD34" s="23" t="n">
        <v>9.3</v>
      </c>
      <c r="AE34" s="25" t="n">
        <v>22</v>
      </c>
      <c r="AF34" s="23" t="n">
        <v>30.7</v>
      </c>
      <c r="AG34" s="24" t="n">
        <v>2.499</v>
      </c>
      <c r="AH34" s="24" t="n">
        <v>0.081</v>
      </c>
      <c r="AI34" s="23" t="n">
        <v>1.1</v>
      </c>
      <c r="AJ34" s="25" t="n">
        <v>23</v>
      </c>
      <c r="AK34" s="23" t="n">
        <v>329.3</v>
      </c>
      <c r="AL34" s="24" t="n">
        <v>12.986</v>
      </c>
      <c r="AM34" s="24" t="n">
        <v>0.039</v>
      </c>
      <c r="AN34" s="23" t="n">
        <v>64.2</v>
      </c>
      <c r="AO34" s="26"/>
      <c r="AP34" s="26"/>
      <c r="AQ34" s="26"/>
      <c r="AR34" s="26"/>
      <c r="AS34" s="28" t="n">
        <f aca="false">Table2[[#This Row],[Object_A_._head_time]]+Table2[[#This Row],[Object_B_._head_time]]</f>
        <v>56.2</v>
      </c>
      <c r="AT34" s="28"/>
      <c r="AU34" s="28"/>
      <c r="AV34" s="29"/>
      <c r="AW34" s="28"/>
      <c r="AX34" s="45" t="n">
        <f aca="false">(Table2[[#This Row],[Object_A_._head_time]]/(Table2[[#This Row],[Object_A_._head_time]]+Table2[[#This Row],[Object_B_._head_time]]))</f>
        <v>0.562277580071174</v>
      </c>
      <c r="AY34" s="30" t="s">
        <v>64</v>
      </c>
      <c r="AZ34" s="30" t="s">
        <v>123</v>
      </c>
      <c r="BA34" s="30" t="s">
        <v>66</v>
      </c>
      <c r="BB34" s="31" t="n">
        <v>34</v>
      </c>
      <c r="BC34" s="32" t="n">
        <v>1.13333333333333</v>
      </c>
      <c r="BD34" s="33" t="s">
        <v>67</v>
      </c>
      <c r="BE34" s="30" t="n">
        <v>2</v>
      </c>
      <c r="BF34" s="34"/>
    </row>
    <row r="35" customFormat="false" ht="12" hidden="false" customHeight="true" outlineLevel="0" collapsed="false">
      <c r="A35" s="21" t="n">
        <v>70</v>
      </c>
      <c r="B35" s="22" t="s">
        <v>162</v>
      </c>
      <c r="C35" s="22" t="s">
        <v>59</v>
      </c>
      <c r="D35" s="22" t="s">
        <v>70</v>
      </c>
      <c r="E35" s="22" t="s">
        <v>61</v>
      </c>
      <c r="F35" s="22" t="s">
        <v>160</v>
      </c>
      <c r="G35" s="22" t="s">
        <v>163</v>
      </c>
      <c r="H35" s="23" t="n">
        <v>360</v>
      </c>
      <c r="I35" s="24" t="n">
        <v>11.116</v>
      </c>
      <c r="J35" s="24" t="n">
        <v>0.031</v>
      </c>
      <c r="K35" s="24" t="n">
        <v>0.274</v>
      </c>
      <c r="L35" s="23" t="n">
        <v>109.1</v>
      </c>
      <c r="M35" s="25" t="n">
        <v>13</v>
      </c>
      <c r="N35" s="23" t="n">
        <v>15.9</v>
      </c>
      <c r="O35" s="24" t="n">
        <v>0.629</v>
      </c>
      <c r="P35" s="24" t="n">
        <v>0.039</v>
      </c>
      <c r="Q35" s="24" t="n">
        <v>0.216</v>
      </c>
      <c r="R35" s="23" t="n">
        <v>10.6</v>
      </c>
      <c r="S35" s="25" t="n">
        <v>1315</v>
      </c>
      <c r="T35" s="23" t="n">
        <v>0</v>
      </c>
      <c r="U35" s="23" t="n">
        <v>9.3</v>
      </c>
      <c r="V35" s="25" t="n">
        <v>24</v>
      </c>
      <c r="W35" s="23" t="n">
        <v>19.5</v>
      </c>
      <c r="X35" s="24" t="n">
        <v>0.501</v>
      </c>
      <c r="Y35" s="24" t="n">
        <v>0.026</v>
      </c>
      <c r="Z35" s="24" t="n">
        <v>0.216</v>
      </c>
      <c r="AA35" s="23" t="n">
        <v>11.7</v>
      </c>
      <c r="AB35" s="25" t="n">
        <v>1882</v>
      </c>
      <c r="AC35" s="23" t="n">
        <v>0</v>
      </c>
      <c r="AD35" s="23" t="n">
        <v>10.7</v>
      </c>
      <c r="AE35" s="25" t="n">
        <v>6</v>
      </c>
      <c r="AF35" s="23" t="n">
        <v>18.2</v>
      </c>
      <c r="AG35" s="24" t="n">
        <v>1.233</v>
      </c>
      <c r="AH35" s="24" t="n">
        <v>0.068</v>
      </c>
      <c r="AI35" s="23" t="n">
        <v>0</v>
      </c>
      <c r="AJ35" s="25" t="n">
        <v>7</v>
      </c>
      <c r="AK35" s="23" t="n">
        <v>341.8</v>
      </c>
      <c r="AL35" s="24" t="n">
        <v>9.883</v>
      </c>
      <c r="AM35" s="24" t="n">
        <v>0.029</v>
      </c>
      <c r="AN35" s="23" t="n">
        <v>109.1</v>
      </c>
      <c r="AO35" s="26"/>
      <c r="AP35" s="26"/>
      <c r="AQ35" s="26"/>
      <c r="AR35" s="26"/>
      <c r="AS35" s="28" t="n">
        <f aca="false">Table2[[#This Row],[Object_A_._head_time]]+Table2[[#This Row],[Object_B_._head_time]]</f>
        <v>35.4</v>
      </c>
      <c r="AT35" s="28"/>
      <c r="AU35" s="28"/>
      <c r="AV35" s="29"/>
      <c r="AW35" s="28"/>
      <c r="AX35" s="45" t="n">
        <f aca="false">(Table2[[#This Row],[Object_A_._head_time]]/(Table2[[#This Row],[Object_A_._head_time]]+Table2[[#This Row],[Object_B_._head_time]]))</f>
        <v>0.449152542372881</v>
      </c>
      <c r="AY35" s="30" t="s">
        <v>64</v>
      </c>
      <c r="AZ35" s="46" t="s">
        <v>119</v>
      </c>
      <c r="BA35" s="30" t="s">
        <v>66</v>
      </c>
      <c r="BB35" s="31" t="n">
        <v>34</v>
      </c>
      <c r="BC35" s="32" t="n">
        <v>1.13333333333333</v>
      </c>
      <c r="BD35" s="33" t="s">
        <v>67</v>
      </c>
      <c r="BE35" s="30" t="n">
        <v>6</v>
      </c>
      <c r="BF35" s="34"/>
    </row>
    <row r="36" customFormat="false" ht="12" hidden="false" customHeight="true" outlineLevel="0" collapsed="false">
      <c r="A36" s="21" t="n">
        <v>72</v>
      </c>
      <c r="B36" s="22" t="s">
        <v>164</v>
      </c>
      <c r="C36" s="22" t="s">
        <v>59</v>
      </c>
      <c r="D36" s="22" t="s">
        <v>73</v>
      </c>
      <c r="E36" s="22" t="s">
        <v>61</v>
      </c>
      <c r="F36" s="22" t="s">
        <v>160</v>
      </c>
      <c r="G36" s="22" t="s">
        <v>165</v>
      </c>
      <c r="H36" s="23" t="n">
        <v>360</v>
      </c>
      <c r="I36" s="24" t="n">
        <v>11.516</v>
      </c>
      <c r="J36" s="24" t="n">
        <v>0.032</v>
      </c>
      <c r="K36" s="24" t="n">
        <v>0.319</v>
      </c>
      <c r="L36" s="23" t="n">
        <v>117.5</v>
      </c>
      <c r="M36" s="25" t="n">
        <v>11</v>
      </c>
      <c r="N36" s="23" t="n">
        <v>8.2</v>
      </c>
      <c r="O36" s="24" t="n">
        <v>0.306</v>
      </c>
      <c r="P36" s="24" t="n">
        <v>0.037</v>
      </c>
      <c r="Q36" s="24" t="n">
        <v>0.27</v>
      </c>
      <c r="R36" s="23" t="n">
        <v>4.6</v>
      </c>
      <c r="S36" s="25" t="n">
        <v>663</v>
      </c>
      <c r="T36" s="23" t="n">
        <v>0</v>
      </c>
      <c r="U36" s="23" t="n">
        <v>8.2</v>
      </c>
      <c r="V36" s="25" t="n">
        <v>13</v>
      </c>
      <c r="W36" s="23" t="n">
        <v>7.6</v>
      </c>
      <c r="X36" s="24" t="n">
        <v>0.069</v>
      </c>
      <c r="Y36" s="24" t="n">
        <v>0.009</v>
      </c>
      <c r="Z36" s="24" t="n">
        <v>0.123</v>
      </c>
      <c r="AA36" s="23" t="n">
        <v>4.4</v>
      </c>
      <c r="AB36" s="25" t="n">
        <v>830</v>
      </c>
      <c r="AC36" s="23" t="n">
        <v>0</v>
      </c>
      <c r="AD36" s="23" t="n">
        <v>6.7</v>
      </c>
      <c r="AE36" s="25" t="n">
        <v>2</v>
      </c>
      <c r="AF36" s="23" t="n">
        <v>1.2</v>
      </c>
      <c r="AG36" s="24" t="n">
        <v>0.046</v>
      </c>
      <c r="AH36" s="24" t="n">
        <v>0.037</v>
      </c>
      <c r="AI36" s="23" t="n">
        <v>0</v>
      </c>
      <c r="AJ36" s="25" t="n">
        <v>3</v>
      </c>
      <c r="AK36" s="23" t="n">
        <v>358.8</v>
      </c>
      <c r="AL36" s="24" t="n">
        <v>11.469</v>
      </c>
      <c r="AM36" s="24" t="n">
        <v>0.032</v>
      </c>
      <c r="AN36" s="23" t="n">
        <v>117.5</v>
      </c>
      <c r="AO36" s="26"/>
      <c r="AP36" s="26"/>
      <c r="AQ36" s="26"/>
      <c r="AR36" s="26"/>
      <c r="AS36" s="28" t="n">
        <f aca="false">Table2[[#This Row],[Object_A_._head_time]]+Table2[[#This Row],[Object_B_._head_time]]</f>
        <v>15.8</v>
      </c>
      <c r="AT36" s="28"/>
      <c r="AU36" s="28"/>
      <c r="AV36" s="29"/>
      <c r="AW36" s="28"/>
      <c r="AX36" s="45" t="n">
        <f aca="false">(Table2[[#This Row],[Object_A_._head_time]]/(Table2[[#This Row],[Object_A_._head_time]]+Table2[[#This Row],[Object_B_._head_time]]))</f>
        <v>0.518987341772152</v>
      </c>
      <c r="AY36" s="30" t="s">
        <v>64</v>
      </c>
      <c r="AZ36" s="30" t="s">
        <v>123</v>
      </c>
      <c r="BA36" s="30" t="s">
        <v>93</v>
      </c>
      <c r="BB36" s="31" t="n">
        <v>34</v>
      </c>
      <c r="BC36" s="32" t="n">
        <v>1.13333333333333</v>
      </c>
      <c r="BD36" s="33" t="s">
        <v>80</v>
      </c>
      <c r="BE36" s="30" t="n">
        <v>3</v>
      </c>
      <c r="BF36" s="34"/>
    </row>
    <row r="37" customFormat="false" ht="12" hidden="false" customHeight="true" outlineLevel="0" collapsed="false">
      <c r="A37" s="21" t="n">
        <v>73</v>
      </c>
      <c r="B37" s="22" t="s">
        <v>166</v>
      </c>
      <c r="C37" s="22" t="s">
        <v>59</v>
      </c>
      <c r="D37" s="22" t="s">
        <v>77</v>
      </c>
      <c r="E37" s="22" t="s">
        <v>61</v>
      </c>
      <c r="F37" s="22" t="s">
        <v>167</v>
      </c>
      <c r="G37" s="22" t="s">
        <v>168</v>
      </c>
      <c r="H37" s="23" t="n">
        <v>360</v>
      </c>
      <c r="I37" s="24" t="n">
        <v>18.286</v>
      </c>
      <c r="J37" s="24" t="n">
        <v>0.051</v>
      </c>
      <c r="K37" s="24" t="n">
        <v>0.315</v>
      </c>
      <c r="L37" s="23" t="n">
        <v>91.1</v>
      </c>
      <c r="M37" s="25" t="n">
        <v>21</v>
      </c>
      <c r="N37" s="23" t="n">
        <v>14</v>
      </c>
      <c r="O37" s="24" t="n">
        <v>0.812</v>
      </c>
      <c r="P37" s="24" t="n">
        <v>0.058</v>
      </c>
      <c r="Q37" s="24" t="n">
        <v>0.305</v>
      </c>
      <c r="R37" s="23" t="n">
        <v>7.8</v>
      </c>
      <c r="S37" s="25" t="n">
        <v>1351</v>
      </c>
      <c r="T37" s="23" t="n">
        <v>0</v>
      </c>
      <c r="U37" s="23" t="n">
        <v>9.6</v>
      </c>
      <c r="V37" s="25" t="n">
        <v>15</v>
      </c>
      <c r="W37" s="23" t="n">
        <v>13</v>
      </c>
      <c r="X37" s="24" t="n">
        <v>0.53</v>
      </c>
      <c r="Y37" s="24" t="n">
        <v>0.041</v>
      </c>
      <c r="Z37" s="24" t="n">
        <v>0.153</v>
      </c>
      <c r="AA37" s="23" t="n">
        <v>10.1</v>
      </c>
      <c r="AB37" s="25" t="n">
        <v>1303</v>
      </c>
      <c r="AC37" s="23" t="n">
        <v>0</v>
      </c>
      <c r="AD37" s="23" t="n">
        <v>9.5</v>
      </c>
      <c r="AE37" s="25" t="n">
        <v>8</v>
      </c>
      <c r="AF37" s="23" t="n">
        <v>13.4</v>
      </c>
      <c r="AG37" s="24" t="n">
        <v>1.252</v>
      </c>
      <c r="AH37" s="24" t="n">
        <v>0.093</v>
      </c>
      <c r="AI37" s="23" t="n">
        <v>0</v>
      </c>
      <c r="AJ37" s="25" t="n">
        <v>8</v>
      </c>
      <c r="AK37" s="23" t="n">
        <v>346.6</v>
      </c>
      <c r="AL37" s="24" t="n">
        <v>17.034</v>
      </c>
      <c r="AM37" s="24" t="n">
        <v>0.049</v>
      </c>
      <c r="AN37" s="23" t="n">
        <v>91.1</v>
      </c>
      <c r="AO37" s="26"/>
      <c r="AP37" s="26"/>
      <c r="AQ37" s="26"/>
      <c r="AR37" s="26"/>
      <c r="AS37" s="28" t="n">
        <f aca="false">Table2[[#This Row],[Object_A_._head_time]]+Table2[[#This Row],[Object_B_._head_time]]</f>
        <v>27</v>
      </c>
      <c r="AT37" s="28"/>
      <c r="AU37" s="28"/>
      <c r="AV37" s="29"/>
      <c r="AW37" s="28"/>
      <c r="AX37" s="45" t="n">
        <f aca="false">(Table2[[#This Row],[Object_A_._head_time]]/(Table2[[#This Row],[Object_A_._head_time]]+Table2[[#This Row],[Object_B_._head_time]]))</f>
        <v>0.518518518518518</v>
      </c>
      <c r="AY37" s="30" t="s">
        <v>79</v>
      </c>
      <c r="AZ37" s="30" t="s">
        <v>123</v>
      </c>
      <c r="BA37" s="30" t="s">
        <v>93</v>
      </c>
      <c r="BB37" s="31" t="n">
        <v>34</v>
      </c>
      <c r="BC37" s="32" t="n">
        <v>1.13333333333333</v>
      </c>
      <c r="BD37" s="33" t="s">
        <v>67</v>
      </c>
      <c r="BE37" s="30" t="n">
        <v>4</v>
      </c>
      <c r="BF37" s="34"/>
    </row>
    <row r="38" customFormat="false" ht="12" hidden="false" customHeight="true" outlineLevel="0" collapsed="false">
      <c r="A38" s="21" t="n">
        <v>74</v>
      </c>
      <c r="B38" s="22" t="s">
        <v>169</v>
      </c>
      <c r="C38" s="22" t="s">
        <v>59</v>
      </c>
      <c r="D38" s="22" t="s">
        <v>60</v>
      </c>
      <c r="E38" s="22" t="s">
        <v>61</v>
      </c>
      <c r="F38" s="22" t="s">
        <v>170</v>
      </c>
      <c r="G38" s="22" t="s">
        <v>171</v>
      </c>
      <c r="H38" s="23" t="n">
        <v>360</v>
      </c>
      <c r="I38" s="24" t="n">
        <v>10.825</v>
      </c>
      <c r="J38" s="24" t="n">
        <v>0.03</v>
      </c>
      <c r="K38" s="24" t="n">
        <v>0.254</v>
      </c>
      <c r="L38" s="23" t="n">
        <v>82.8</v>
      </c>
      <c r="M38" s="25" t="n">
        <v>14</v>
      </c>
      <c r="N38" s="23" t="n">
        <v>26.3</v>
      </c>
      <c r="O38" s="24" t="n">
        <v>0.954</v>
      </c>
      <c r="P38" s="24" t="n">
        <v>0.036</v>
      </c>
      <c r="Q38" s="24" t="n">
        <v>0.171</v>
      </c>
      <c r="R38" s="23" t="n">
        <v>9.4</v>
      </c>
      <c r="S38" s="25" t="n">
        <v>2103</v>
      </c>
      <c r="T38" s="23" t="n">
        <v>0.1</v>
      </c>
      <c r="U38" s="23" t="n">
        <v>5.7</v>
      </c>
      <c r="V38" s="25" t="n">
        <v>17</v>
      </c>
      <c r="W38" s="23" t="n">
        <v>36.4</v>
      </c>
      <c r="X38" s="24" t="n">
        <v>1.442</v>
      </c>
      <c r="Y38" s="24" t="n">
        <v>0.04</v>
      </c>
      <c r="Z38" s="24" t="n">
        <v>0.248</v>
      </c>
      <c r="AA38" s="23" t="n">
        <v>15.6</v>
      </c>
      <c r="AB38" s="25" t="n">
        <v>2551</v>
      </c>
      <c r="AC38" s="23" t="n">
        <v>0</v>
      </c>
      <c r="AD38" s="23" t="n">
        <v>8.1</v>
      </c>
      <c r="AE38" s="25" t="n">
        <v>12</v>
      </c>
      <c r="AF38" s="23" t="n">
        <v>30.5</v>
      </c>
      <c r="AG38" s="24" t="n">
        <v>1.657</v>
      </c>
      <c r="AH38" s="24" t="n">
        <v>0.054</v>
      </c>
      <c r="AI38" s="23" t="n">
        <v>0</v>
      </c>
      <c r="AJ38" s="25" t="n">
        <v>12</v>
      </c>
      <c r="AK38" s="23" t="n">
        <v>329.5</v>
      </c>
      <c r="AL38" s="24" t="n">
        <v>9.167</v>
      </c>
      <c r="AM38" s="24" t="n">
        <v>0.028</v>
      </c>
      <c r="AN38" s="23" t="n">
        <v>82.8</v>
      </c>
      <c r="AO38" s="26"/>
      <c r="AP38" s="26"/>
      <c r="AQ38" s="26"/>
      <c r="AR38" s="26"/>
      <c r="AS38" s="28" t="n">
        <f aca="false">Table2[[#This Row],[Object_A_._head_time]]+Table2[[#This Row],[Object_B_._head_time]]</f>
        <v>62.7</v>
      </c>
      <c r="AT38" s="28"/>
      <c r="AU38" s="28"/>
      <c r="AV38" s="29"/>
      <c r="AW38" s="28"/>
      <c r="AX38" s="45" t="n">
        <f aca="false">(Table2[[#This Row],[Object_A_._head_time]]/(Table2[[#This Row],[Object_A_._head_time]]+Table2[[#This Row],[Object_B_._head_time]]))</f>
        <v>0.419457735247209</v>
      </c>
      <c r="AY38" s="30" t="s">
        <v>79</v>
      </c>
      <c r="AZ38" s="30" t="s">
        <v>123</v>
      </c>
      <c r="BA38" s="30" t="s">
        <v>66</v>
      </c>
      <c r="BB38" s="31" t="n">
        <v>34</v>
      </c>
      <c r="BC38" s="32" t="n">
        <v>1.13333333333333</v>
      </c>
      <c r="BD38" s="33" t="s">
        <v>67</v>
      </c>
      <c r="BE38" s="30" t="n">
        <v>2</v>
      </c>
      <c r="BF38" s="34"/>
    </row>
    <row r="39" customFormat="false" ht="12" hidden="false" customHeight="true" outlineLevel="0" collapsed="false">
      <c r="A39" s="47" t="n">
        <v>76</v>
      </c>
      <c r="B39" s="48" t="s">
        <v>58</v>
      </c>
      <c r="C39" s="48" t="s">
        <v>172</v>
      </c>
      <c r="D39" s="48" t="s">
        <v>60</v>
      </c>
      <c r="E39" s="48" t="s">
        <v>61</v>
      </c>
      <c r="F39" s="48" t="s">
        <v>173</v>
      </c>
      <c r="G39" s="48" t="s">
        <v>174</v>
      </c>
      <c r="H39" s="49" t="n">
        <v>360</v>
      </c>
      <c r="I39" s="50" t="n">
        <v>4.743</v>
      </c>
      <c r="J39" s="50" t="n">
        <v>0.013</v>
      </c>
      <c r="K39" s="50" t="n">
        <v>0.281</v>
      </c>
      <c r="L39" s="49" t="n">
        <v>201.1</v>
      </c>
      <c r="M39" s="51" t="n">
        <v>4</v>
      </c>
      <c r="N39" s="49" t="n">
        <v>5.5</v>
      </c>
      <c r="O39" s="50" t="n">
        <v>0.151</v>
      </c>
      <c r="P39" s="50" t="n">
        <v>0.027</v>
      </c>
      <c r="Q39" s="50" t="n">
        <v>0.128</v>
      </c>
      <c r="R39" s="49" t="n">
        <v>4.1</v>
      </c>
      <c r="S39" s="51" t="n">
        <v>408</v>
      </c>
      <c r="T39" s="49" t="n">
        <v>0</v>
      </c>
      <c r="U39" s="49" t="n">
        <v>4.4</v>
      </c>
      <c r="V39" s="51" t="n">
        <v>7</v>
      </c>
      <c r="W39" s="49" t="n">
        <v>5.3</v>
      </c>
      <c r="X39" s="50" t="n">
        <v>0.087</v>
      </c>
      <c r="Y39" s="50" t="n">
        <v>0.016</v>
      </c>
      <c r="Z39" s="50" t="n">
        <v>0.184</v>
      </c>
      <c r="AA39" s="49" t="n">
        <v>4.7</v>
      </c>
      <c r="AB39" s="51" t="n">
        <v>414</v>
      </c>
      <c r="AC39" s="49" t="n">
        <v>0.4</v>
      </c>
      <c r="AD39" s="49" t="n">
        <v>5</v>
      </c>
      <c r="AE39" s="51" t="n">
        <v>0</v>
      </c>
      <c r="AF39" s="49" t="n">
        <v>0</v>
      </c>
      <c r="AG39" s="50" t="n">
        <v>0</v>
      </c>
      <c r="AH39" s="50"/>
      <c r="AI39" s="49" t="n">
        <v>0</v>
      </c>
      <c r="AJ39" s="51" t="n">
        <v>1</v>
      </c>
      <c r="AK39" s="49" t="n">
        <v>360</v>
      </c>
      <c r="AL39" s="50" t="n">
        <v>4.743</v>
      </c>
      <c r="AM39" s="50" t="n">
        <v>0.013</v>
      </c>
      <c r="AN39" s="49" t="n">
        <v>201.1</v>
      </c>
      <c r="AO39" s="52"/>
      <c r="AP39" s="52"/>
      <c r="AQ39" s="52"/>
      <c r="AR39" s="52"/>
      <c r="AS39" s="53"/>
      <c r="AT39" s="54" t="n">
        <f aca="false">Table2[[#This Row],[Object_A_._head_time]]+Table2[[#This Row],[Object_B_._head_time]]</f>
        <v>10.8</v>
      </c>
      <c r="AU39" s="54" t="n">
        <f aca="false">Table2[[#This Row],[Object_B_._head_time]]-Table2[[#This Row],[Object_A_._head_time]]</f>
        <v>-0.2</v>
      </c>
      <c r="AV39" s="55" t="n">
        <f aca="false">Table2[[#This Row],[D1: Absolute discrimination measure (D1 = B2- A2)]]/Table2[[#This Row],[E2: total exploration time in second trial E2 ( E2 = A2 + B2)]]</f>
        <v>-0.0185185185185185</v>
      </c>
      <c r="AW39" s="52" t="n">
        <f aca="false">(W39/AT39)</f>
        <v>0.490740740740741</v>
      </c>
      <c r="AX39" s="56"/>
      <c r="AY39" s="57" t="s">
        <v>64</v>
      </c>
      <c r="AZ39" s="57" t="s">
        <v>65</v>
      </c>
      <c r="BA39" s="57" t="s">
        <v>66</v>
      </c>
      <c r="BB39" s="58" t="n">
        <v>110</v>
      </c>
      <c r="BC39" s="59" t="n">
        <v>3.66666666666667</v>
      </c>
      <c r="BD39" s="60" t="s">
        <v>67</v>
      </c>
      <c r="BE39" s="57" t="n">
        <v>2</v>
      </c>
      <c r="BF39" s="61" t="s">
        <v>68</v>
      </c>
    </row>
    <row r="40" s="44" customFormat="true" ht="12" hidden="false" customHeight="true" outlineLevel="0" collapsed="false">
      <c r="A40" s="62" t="n">
        <v>75</v>
      </c>
      <c r="B40" s="63" t="s">
        <v>69</v>
      </c>
      <c r="C40" s="63" t="s">
        <v>172</v>
      </c>
      <c r="D40" s="63" t="s">
        <v>70</v>
      </c>
      <c r="E40" s="63" t="s">
        <v>61</v>
      </c>
      <c r="F40" s="63" t="s">
        <v>173</v>
      </c>
      <c r="G40" s="63" t="s">
        <v>175</v>
      </c>
      <c r="H40" s="64" t="n">
        <v>360</v>
      </c>
      <c r="I40" s="65" t="n">
        <v>3.945</v>
      </c>
      <c r="J40" s="65" t="n">
        <v>0.011</v>
      </c>
      <c r="K40" s="65" t="n">
        <v>0.26</v>
      </c>
      <c r="L40" s="64" t="n">
        <v>224.8</v>
      </c>
      <c r="M40" s="66" t="n">
        <v>2</v>
      </c>
      <c r="N40" s="64" t="n">
        <v>16.5</v>
      </c>
      <c r="O40" s="65" t="n">
        <v>0</v>
      </c>
      <c r="P40" s="65" t="n">
        <v>0</v>
      </c>
      <c r="Q40" s="65" t="n">
        <v>0.041</v>
      </c>
      <c r="R40" s="64" t="n">
        <v>15.7</v>
      </c>
      <c r="S40" s="66" t="n">
        <v>229</v>
      </c>
      <c r="T40" s="64" t="n">
        <v>8.8</v>
      </c>
      <c r="U40" s="64" t="n">
        <v>16.5</v>
      </c>
      <c r="V40" s="66" t="n">
        <v>7</v>
      </c>
      <c r="W40" s="64" t="n">
        <v>8.1</v>
      </c>
      <c r="X40" s="65" t="n">
        <v>0.131</v>
      </c>
      <c r="Y40" s="65" t="n">
        <v>0.016</v>
      </c>
      <c r="Z40" s="65" t="n">
        <v>0.137</v>
      </c>
      <c r="AA40" s="64" t="n">
        <v>5.5</v>
      </c>
      <c r="AB40" s="66" t="n">
        <v>550</v>
      </c>
      <c r="AC40" s="64" t="n">
        <v>0</v>
      </c>
      <c r="AD40" s="64" t="n">
        <v>3.9</v>
      </c>
      <c r="AE40" s="66" t="n">
        <v>0</v>
      </c>
      <c r="AF40" s="64" t="n">
        <v>0</v>
      </c>
      <c r="AG40" s="65" t="n">
        <v>0</v>
      </c>
      <c r="AH40" s="65"/>
      <c r="AI40" s="64" t="n">
        <v>0</v>
      </c>
      <c r="AJ40" s="66" t="n">
        <v>1</v>
      </c>
      <c r="AK40" s="64" t="n">
        <v>360</v>
      </c>
      <c r="AL40" s="65" t="n">
        <v>3.945</v>
      </c>
      <c r="AM40" s="65" t="n">
        <v>0.011</v>
      </c>
      <c r="AN40" s="64" t="n">
        <v>224.8</v>
      </c>
      <c r="AO40" s="67"/>
      <c r="AP40" s="67"/>
      <c r="AQ40" s="67"/>
      <c r="AR40" s="67"/>
      <c r="AS40" s="66"/>
      <c r="AT40" s="66" t="n">
        <f aca="false">Table2[[#This Row],[Object_A_._head_time]]+Table2[[#This Row],[Object_B_._head_time]]</f>
        <v>24.6</v>
      </c>
      <c r="AU40" s="66" t="n">
        <f aca="false">Table2[[#This Row],[Object_B_._head_time]]-Table2[[#This Row],[Object_A_._head_time]]</f>
        <v>-8.4</v>
      </c>
      <c r="AV40" s="64" t="n">
        <f aca="false">Table2[[#This Row],[D1: Absolute discrimination measure (D1 = B2- A2)]]/Table2[[#This Row],[E2: total exploration time in second trial E2 ( E2 = A2 + B2)]]</f>
        <v>-0.341463414634146</v>
      </c>
      <c r="AW40" s="52" t="n">
        <f aca="false">(W40/AT40)</f>
        <v>0.329268292682927</v>
      </c>
      <c r="AX40" s="67"/>
      <c r="AY40" s="63" t="s">
        <v>64</v>
      </c>
      <c r="AZ40" s="68" t="s">
        <v>65</v>
      </c>
      <c r="BA40" s="63" t="s">
        <v>66</v>
      </c>
      <c r="BB40" s="68" t="n">
        <v>110</v>
      </c>
      <c r="BC40" s="69" t="n">
        <v>3.66666666666667</v>
      </c>
      <c r="BD40" s="63"/>
      <c r="BE40" s="63"/>
      <c r="BF40" s="70"/>
    </row>
    <row r="41" customFormat="false" ht="12" hidden="false" customHeight="true" outlineLevel="0" collapsed="false">
      <c r="A41" s="47" t="n">
        <v>77</v>
      </c>
      <c r="B41" s="48" t="s">
        <v>72</v>
      </c>
      <c r="C41" s="48" t="s">
        <v>172</v>
      </c>
      <c r="D41" s="48" t="s">
        <v>73</v>
      </c>
      <c r="E41" s="48" t="s">
        <v>61</v>
      </c>
      <c r="F41" s="48" t="s">
        <v>173</v>
      </c>
      <c r="G41" s="48" t="s">
        <v>176</v>
      </c>
      <c r="H41" s="49" t="n">
        <v>360</v>
      </c>
      <c r="I41" s="50" t="n">
        <v>3.461</v>
      </c>
      <c r="J41" s="50" t="n">
        <v>0.01</v>
      </c>
      <c r="K41" s="50" t="n">
        <v>0.251</v>
      </c>
      <c r="L41" s="49" t="n">
        <v>236.8</v>
      </c>
      <c r="M41" s="51" t="n">
        <v>4</v>
      </c>
      <c r="N41" s="49" t="n">
        <v>3.5</v>
      </c>
      <c r="O41" s="50" t="n">
        <v>0.107</v>
      </c>
      <c r="P41" s="50" t="n">
        <v>0.031</v>
      </c>
      <c r="Q41" s="50" t="n">
        <v>0.15</v>
      </c>
      <c r="R41" s="49" t="n">
        <v>1.5</v>
      </c>
      <c r="S41" s="51" t="n">
        <v>129</v>
      </c>
      <c r="T41" s="49" t="n">
        <v>0</v>
      </c>
      <c r="U41" s="49" t="n">
        <v>2.2</v>
      </c>
      <c r="V41" s="51" t="n">
        <v>3</v>
      </c>
      <c r="W41" s="49" t="n">
        <v>3.6</v>
      </c>
      <c r="X41" s="50" t="n">
        <v>0.029</v>
      </c>
      <c r="Y41" s="50" t="n">
        <v>0.008</v>
      </c>
      <c r="Z41" s="50" t="n">
        <v>0.146</v>
      </c>
      <c r="AA41" s="49" t="n">
        <v>2.8</v>
      </c>
      <c r="AB41" s="51" t="n">
        <v>162</v>
      </c>
      <c r="AC41" s="49" t="n">
        <v>0</v>
      </c>
      <c r="AD41" s="49" t="n">
        <v>3.1</v>
      </c>
      <c r="AE41" s="51" t="n">
        <v>2</v>
      </c>
      <c r="AF41" s="49" t="n">
        <v>4.9</v>
      </c>
      <c r="AG41" s="50" t="n">
        <v>0.28</v>
      </c>
      <c r="AH41" s="50" t="n">
        <v>0.057</v>
      </c>
      <c r="AI41" s="49" t="n">
        <v>0</v>
      </c>
      <c r="AJ41" s="51" t="n">
        <v>3</v>
      </c>
      <c r="AK41" s="49" t="n">
        <v>355.1</v>
      </c>
      <c r="AL41" s="50" t="n">
        <v>3.18</v>
      </c>
      <c r="AM41" s="50" t="n">
        <v>0.009</v>
      </c>
      <c r="AN41" s="49" t="n">
        <v>236.8</v>
      </c>
      <c r="AO41" s="52"/>
      <c r="AP41" s="52"/>
      <c r="AQ41" s="52"/>
      <c r="AR41" s="52"/>
      <c r="AS41" s="53"/>
      <c r="AT41" s="53" t="n">
        <f aca="false">Table2[[#This Row],[Object_A_._head_time]]+Table2[[#This Row],[Object_B_._head_time]]</f>
        <v>7.1</v>
      </c>
      <c r="AU41" s="53" t="n">
        <f aca="false">Table2[[#This Row],[Object_B_._head_time]]-Table2[[#This Row],[Object_A_._head_time]]</f>
        <v>0.1</v>
      </c>
      <c r="AV41" s="71" t="n">
        <f aca="false">Table2[[#This Row],[D1: Absolute discrimination measure (D1 = B2- A2)]]/Table2[[#This Row],[E2: total exploration time in second trial E2 ( E2 = A2 + B2)]]</f>
        <v>0.0140845070422535</v>
      </c>
      <c r="AW41" s="52" t="n">
        <f aca="false">(W41/AT41)</f>
        <v>0.507042253521127</v>
      </c>
      <c r="AX41" s="56"/>
      <c r="AY41" s="57" t="s">
        <v>64</v>
      </c>
      <c r="AZ41" s="57" t="s">
        <v>65</v>
      </c>
      <c r="BA41" s="57" t="s">
        <v>66</v>
      </c>
      <c r="BB41" s="58" t="n">
        <v>110</v>
      </c>
      <c r="BC41" s="59" t="n">
        <v>3.66666666666667</v>
      </c>
      <c r="BD41" s="60" t="s">
        <v>67</v>
      </c>
      <c r="BE41" s="57" t="n">
        <v>2</v>
      </c>
      <c r="BF41" s="61" t="s">
        <v>75</v>
      </c>
    </row>
    <row r="42" customFormat="false" ht="12" hidden="false" customHeight="true" outlineLevel="0" collapsed="false">
      <c r="A42" s="47" t="n">
        <v>78</v>
      </c>
      <c r="B42" s="48" t="s">
        <v>76</v>
      </c>
      <c r="C42" s="48" t="s">
        <v>172</v>
      </c>
      <c r="D42" s="48" t="s">
        <v>77</v>
      </c>
      <c r="E42" s="48" t="s">
        <v>61</v>
      </c>
      <c r="F42" s="48" t="s">
        <v>173</v>
      </c>
      <c r="G42" s="48" t="s">
        <v>177</v>
      </c>
      <c r="H42" s="49" t="n">
        <v>360</v>
      </c>
      <c r="I42" s="50" t="n">
        <v>24.139</v>
      </c>
      <c r="J42" s="50" t="n">
        <v>0.067</v>
      </c>
      <c r="K42" s="50" t="n">
        <v>0.304</v>
      </c>
      <c r="L42" s="49" t="n">
        <v>6.7</v>
      </c>
      <c r="M42" s="51" t="n">
        <v>38</v>
      </c>
      <c r="N42" s="49" t="n">
        <v>17.3</v>
      </c>
      <c r="O42" s="50" t="n">
        <v>0.973</v>
      </c>
      <c r="P42" s="50" t="n">
        <v>0.056</v>
      </c>
      <c r="Q42" s="50" t="n">
        <v>0.234</v>
      </c>
      <c r="R42" s="49" t="n">
        <v>8.1</v>
      </c>
      <c r="S42" s="51" t="n">
        <v>2052</v>
      </c>
      <c r="T42" s="49" t="n">
        <v>0</v>
      </c>
      <c r="U42" s="49" t="n">
        <v>11</v>
      </c>
      <c r="V42" s="51" t="n">
        <v>33</v>
      </c>
      <c r="W42" s="49" t="n">
        <v>19.6</v>
      </c>
      <c r="X42" s="50" t="n">
        <v>0.56</v>
      </c>
      <c r="Y42" s="50" t="n">
        <v>0.029</v>
      </c>
      <c r="Z42" s="50" t="n">
        <v>0.251</v>
      </c>
      <c r="AA42" s="49" t="n">
        <v>14</v>
      </c>
      <c r="AB42" s="51" t="n">
        <v>1676</v>
      </c>
      <c r="AC42" s="49" t="n">
        <v>0</v>
      </c>
      <c r="AD42" s="49" t="n">
        <v>19.2</v>
      </c>
      <c r="AE42" s="51" t="n">
        <v>7</v>
      </c>
      <c r="AF42" s="49" t="n">
        <v>9.8</v>
      </c>
      <c r="AG42" s="50" t="n">
        <v>0.546</v>
      </c>
      <c r="AH42" s="50" t="n">
        <v>0.056</v>
      </c>
      <c r="AI42" s="49" t="n">
        <v>0</v>
      </c>
      <c r="AJ42" s="51" t="n">
        <v>7</v>
      </c>
      <c r="AK42" s="49" t="n">
        <v>350.2</v>
      </c>
      <c r="AL42" s="50" t="n">
        <v>23.593</v>
      </c>
      <c r="AM42" s="50" t="n">
        <v>0.067</v>
      </c>
      <c r="AN42" s="49" t="n">
        <v>6.7</v>
      </c>
      <c r="AO42" s="52"/>
      <c r="AP42" s="52"/>
      <c r="AQ42" s="52"/>
      <c r="AR42" s="52"/>
      <c r="AS42" s="53"/>
      <c r="AT42" s="53" t="n">
        <f aca="false">Table2[[#This Row],[Object_A_._head_time]]+Table2[[#This Row],[Object_B_._head_time]]</f>
        <v>36.9</v>
      </c>
      <c r="AU42" s="53" t="n">
        <f aca="false">Table2[[#This Row],[Object_B_._head_time]]-Table2[[#This Row],[Object_A_._head_time]]</f>
        <v>2.3</v>
      </c>
      <c r="AV42" s="71" t="n">
        <f aca="false">Table2[[#This Row],[D1: Absolute discrimination measure (D1 = B2- A2)]]/Table2[[#This Row],[E2: total exploration time in second trial E2 ( E2 = A2 + B2)]]</f>
        <v>0.0623306233062331</v>
      </c>
      <c r="AW42" s="52" t="n">
        <f aca="false">(W42/AT42)</f>
        <v>0.531165311653117</v>
      </c>
      <c r="AX42" s="56"/>
      <c r="AY42" s="57" t="s">
        <v>79</v>
      </c>
      <c r="AZ42" s="57" t="s">
        <v>65</v>
      </c>
      <c r="BA42" s="57" t="s">
        <v>66</v>
      </c>
      <c r="BB42" s="58" t="n">
        <v>110</v>
      </c>
      <c r="BC42" s="59" t="n">
        <v>3.66666666666667</v>
      </c>
      <c r="BD42" s="60" t="s">
        <v>80</v>
      </c>
      <c r="BE42" s="57" t="n">
        <v>1</v>
      </c>
      <c r="BF42" s="61" t="s">
        <v>81</v>
      </c>
    </row>
    <row r="43" customFormat="false" ht="12" hidden="false" customHeight="true" outlineLevel="0" collapsed="false">
      <c r="A43" s="47" t="n">
        <v>80</v>
      </c>
      <c r="B43" s="48" t="s">
        <v>82</v>
      </c>
      <c r="C43" s="48" t="s">
        <v>172</v>
      </c>
      <c r="D43" s="48" t="s">
        <v>60</v>
      </c>
      <c r="E43" s="48" t="s">
        <v>61</v>
      </c>
      <c r="F43" s="48" t="s">
        <v>178</v>
      </c>
      <c r="G43" s="48" t="s">
        <v>179</v>
      </c>
      <c r="H43" s="49" t="n">
        <v>360</v>
      </c>
      <c r="I43" s="50" t="n">
        <v>20.519</v>
      </c>
      <c r="J43" s="50" t="n">
        <v>0.057</v>
      </c>
      <c r="K43" s="50" t="n">
        <v>0.353</v>
      </c>
      <c r="L43" s="49" t="n">
        <v>74.7</v>
      </c>
      <c r="M43" s="51" t="n">
        <v>19</v>
      </c>
      <c r="N43" s="49" t="n">
        <v>26.8</v>
      </c>
      <c r="O43" s="50" t="n">
        <v>1.37</v>
      </c>
      <c r="P43" s="50" t="n">
        <v>0.051</v>
      </c>
      <c r="Q43" s="50" t="n">
        <v>0.278</v>
      </c>
      <c r="R43" s="49" t="n">
        <v>10.5</v>
      </c>
      <c r="S43" s="51" t="n">
        <v>2106</v>
      </c>
      <c r="T43" s="49" t="n">
        <v>0</v>
      </c>
      <c r="U43" s="49" t="n">
        <v>7.9</v>
      </c>
      <c r="V43" s="51" t="n">
        <v>31</v>
      </c>
      <c r="W43" s="49" t="n">
        <v>35.2</v>
      </c>
      <c r="X43" s="50" t="n">
        <v>1.789</v>
      </c>
      <c r="Y43" s="50" t="n">
        <v>0.051</v>
      </c>
      <c r="Z43" s="50" t="n">
        <v>0.304</v>
      </c>
      <c r="AA43" s="49" t="n">
        <v>12.9</v>
      </c>
      <c r="AB43" s="51" t="n">
        <v>3227</v>
      </c>
      <c r="AC43" s="49" t="n">
        <v>2</v>
      </c>
      <c r="AD43" s="49" t="n">
        <v>13.7</v>
      </c>
      <c r="AE43" s="51" t="n">
        <v>13</v>
      </c>
      <c r="AF43" s="49" t="n">
        <v>18.8</v>
      </c>
      <c r="AG43" s="50" t="n">
        <v>2.588</v>
      </c>
      <c r="AH43" s="50" t="n">
        <v>0.138</v>
      </c>
      <c r="AI43" s="49" t="n">
        <v>0</v>
      </c>
      <c r="AJ43" s="51" t="n">
        <v>14</v>
      </c>
      <c r="AK43" s="49" t="n">
        <v>341.2</v>
      </c>
      <c r="AL43" s="50" t="n">
        <v>17.931</v>
      </c>
      <c r="AM43" s="50" t="n">
        <v>0.053</v>
      </c>
      <c r="AN43" s="49" t="n">
        <v>74.7</v>
      </c>
      <c r="AO43" s="52"/>
      <c r="AP43" s="52"/>
      <c r="AQ43" s="52"/>
      <c r="AR43" s="52"/>
      <c r="AS43" s="53"/>
      <c r="AT43" s="53" t="n">
        <f aca="false">Table2[[#This Row],[Object_A_._head_time]]+Table2[[#This Row],[Object_B_._head_time]]</f>
        <v>62</v>
      </c>
      <c r="AU43" s="53" t="n">
        <f aca="false">Table2[[#This Row],[Object_B_._head_time]]-Table2[[#This Row],[Object_A_._head_time]]</f>
        <v>8.4</v>
      </c>
      <c r="AV43" s="71" t="n">
        <f aca="false">Table2[[#This Row],[D1: Absolute discrimination measure (D1 = B2- A2)]]/Table2[[#This Row],[E2: total exploration time in second trial E2 ( E2 = A2 + B2)]]</f>
        <v>0.135483870967742</v>
      </c>
      <c r="AW43" s="52" t="n">
        <f aca="false">(W43/AT43)</f>
        <v>0.567741935483871</v>
      </c>
      <c r="AX43" s="56"/>
      <c r="AY43" s="57" t="s">
        <v>79</v>
      </c>
      <c r="AZ43" s="57" t="s">
        <v>65</v>
      </c>
      <c r="BA43" s="57" t="s">
        <v>66</v>
      </c>
      <c r="BB43" s="58" t="n">
        <v>110</v>
      </c>
      <c r="BC43" s="59" t="n">
        <v>3.66666666666667</v>
      </c>
      <c r="BD43" s="60" t="s">
        <v>67</v>
      </c>
      <c r="BE43" s="57" t="n">
        <v>2</v>
      </c>
      <c r="BF43" s="61" t="s">
        <v>85</v>
      </c>
    </row>
    <row r="44" customFormat="false" ht="12" hidden="false" customHeight="true" outlineLevel="0" collapsed="false">
      <c r="A44" s="47" t="n">
        <v>79</v>
      </c>
      <c r="B44" s="48" t="s">
        <v>86</v>
      </c>
      <c r="C44" s="48" t="s">
        <v>172</v>
      </c>
      <c r="D44" s="48" t="s">
        <v>70</v>
      </c>
      <c r="E44" s="48" t="s">
        <v>61</v>
      </c>
      <c r="F44" s="48" t="s">
        <v>178</v>
      </c>
      <c r="G44" s="48" t="s">
        <v>180</v>
      </c>
      <c r="H44" s="49" t="n">
        <v>360</v>
      </c>
      <c r="I44" s="50" t="n">
        <v>4.433</v>
      </c>
      <c r="J44" s="50" t="n">
        <v>0.012</v>
      </c>
      <c r="K44" s="50" t="n">
        <v>0.225</v>
      </c>
      <c r="L44" s="49" t="n">
        <v>156.9</v>
      </c>
      <c r="M44" s="51" t="n">
        <v>16</v>
      </c>
      <c r="N44" s="49" t="n">
        <v>31.4</v>
      </c>
      <c r="O44" s="50" t="n">
        <v>0.572</v>
      </c>
      <c r="P44" s="50" t="n">
        <v>0.018</v>
      </c>
      <c r="Q44" s="50" t="n">
        <v>0.225</v>
      </c>
      <c r="R44" s="49" t="n">
        <v>8.8</v>
      </c>
      <c r="S44" s="51" t="n">
        <v>1724</v>
      </c>
      <c r="T44" s="49" t="n">
        <v>10.9</v>
      </c>
      <c r="U44" s="49" t="n">
        <v>18.4</v>
      </c>
      <c r="V44" s="51" t="n">
        <v>4</v>
      </c>
      <c r="W44" s="49" t="n">
        <v>12.5</v>
      </c>
      <c r="X44" s="50" t="n">
        <v>0.467</v>
      </c>
      <c r="Y44" s="50" t="n">
        <v>0.037</v>
      </c>
      <c r="Z44" s="50" t="n">
        <v>0.191</v>
      </c>
      <c r="AA44" s="49" t="n">
        <v>5.3</v>
      </c>
      <c r="AB44" s="51" t="n">
        <v>629</v>
      </c>
      <c r="AC44" s="49" t="n">
        <v>0</v>
      </c>
      <c r="AD44" s="49" t="n">
        <v>2.9</v>
      </c>
      <c r="AE44" s="51" t="n">
        <v>5</v>
      </c>
      <c r="AF44" s="49" t="n">
        <v>9.7</v>
      </c>
      <c r="AG44" s="50" t="n">
        <v>0.708</v>
      </c>
      <c r="AH44" s="50" t="n">
        <v>0.073</v>
      </c>
      <c r="AI44" s="49" t="n">
        <v>0</v>
      </c>
      <c r="AJ44" s="51" t="n">
        <v>6</v>
      </c>
      <c r="AK44" s="49" t="n">
        <v>350.3</v>
      </c>
      <c r="AL44" s="50" t="n">
        <v>3.725</v>
      </c>
      <c r="AM44" s="50" t="n">
        <v>0.011</v>
      </c>
      <c r="AN44" s="49" t="n">
        <v>156.9</v>
      </c>
      <c r="AO44" s="52"/>
      <c r="AP44" s="52"/>
      <c r="AQ44" s="52"/>
      <c r="AR44" s="52"/>
      <c r="AS44" s="53"/>
      <c r="AT44" s="53" t="n">
        <f aca="false">Table2[[#This Row],[Object_A_._head_time]]+Table2[[#This Row],[Object_B_._head_time]]</f>
        <v>43.9</v>
      </c>
      <c r="AU44" s="53" t="n">
        <f aca="false">Table2[[#This Row],[Object_B_._head_time]]-Table2[[#This Row],[Object_A_._head_time]]</f>
        <v>-18.9</v>
      </c>
      <c r="AV44" s="71" t="n">
        <f aca="false">Table2[[#This Row],[D1: Absolute discrimination measure (D1 = B2- A2)]]/Table2[[#This Row],[E2: total exploration time in second trial E2 ( E2 = A2 + B2)]]</f>
        <v>-0.430523917995444</v>
      </c>
      <c r="AW44" s="52" t="n">
        <f aca="false">(W44/AT44)</f>
        <v>0.284738041002278</v>
      </c>
      <c r="AX44" s="56"/>
      <c r="AY44" s="57" t="s">
        <v>64</v>
      </c>
      <c r="AZ44" s="57" t="s">
        <v>65</v>
      </c>
      <c r="BA44" s="57" t="s">
        <v>66</v>
      </c>
      <c r="BB44" s="58" t="n">
        <v>100</v>
      </c>
      <c r="BC44" s="59" t="n">
        <v>3.33333333333333</v>
      </c>
      <c r="BD44" s="60" t="s">
        <v>80</v>
      </c>
      <c r="BE44" s="57" t="n">
        <v>1</v>
      </c>
      <c r="BF44" s="61"/>
    </row>
    <row r="45" customFormat="false" ht="12" hidden="false" customHeight="true" outlineLevel="0" collapsed="false">
      <c r="A45" s="47" t="n">
        <v>81</v>
      </c>
      <c r="B45" s="48" t="s">
        <v>89</v>
      </c>
      <c r="C45" s="48" t="s">
        <v>172</v>
      </c>
      <c r="D45" s="48" t="s">
        <v>73</v>
      </c>
      <c r="E45" s="48" t="s">
        <v>61</v>
      </c>
      <c r="F45" s="48" t="s">
        <v>178</v>
      </c>
      <c r="G45" s="48" t="s">
        <v>181</v>
      </c>
      <c r="H45" s="49" t="n">
        <v>360</v>
      </c>
      <c r="I45" s="50" t="n">
        <v>12.814</v>
      </c>
      <c r="J45" s="50" t="n">
        <v>0.036</v>
      </c>
      <c r="K45" s="50" t="n">
        <v>0.26</v>
      </c>
      <c r="L45" s="49" t="n">
        <v>18.1</v>
      </c>
      <c r="M45" s="51" t="n">
        <v>38</v>
      </c>
      <c r="N45" s="49" t="n">
        <v>39.9</v>
      </c>
      <c r="O45" s="50" t="n">
        <v>1.54</v>
      </c>
      <c r="P45" s="50" t="n">
        <v>0.039</v>
      </c>
      <c r="Q45" s="50" t="n">
        <v>0.22</v>
      </c>
      <c r="R45" s="49" t="n">
        <v>7.1</v>
      </c>
      <c r="S45" s="51" t="n">
        <v>2740</v>
      </c>
      <c r="T45" s="49" t="n">
        <v>0</v>
      </c>
      <c r="U45" s="49" t="n">
        <v>9</v>
      </c>
      <c r="V45" s="51" t="n">
        <v>27</v>
      </c>
      <c r="W45" s="49" t="n">
        <v>25.3</v>
      </c>
      <c r="X45" s="50" t="n">
        <v>1.077</v>
      </c>
      <c r="Y45" s="50" t="n">
        <v>0.043</v>
      </c>
      <c r="Z45" s="50" t="n">
        <v>0.221</v>
      </c>
      <c r="AA45" s="49" t="n">
        <v>6</v>
      </c>
      <c r="AB45" s="51" t="n">
        <v>1744</v>
      </c>
      <c r="AC45" s="49" t="n">
        <v>0</v>
      </c>
      <c r="AD45" s="49" t="n">
        <v>3.6</v>
      </c>
      <c r="AE45" s="51" t="n">
        <v>16</v>
      </c>
      <c r="AF45" s="49" t="n">
        <v>38.4</v>
      </c>
      <c r="AG45" s="50" t="n">
        <v>2.259</v>
      </c>
      <c r="AH45" s="50" t="n">
        <v>0.059</v>
      </c>
      <c r="AI45" s="49" t="n">
        <v>0</v>
      </c>
      <c r="AJ45" s="51" t="n">
        <v>16</v>
      </c>
      <c r="AK45" s="49" t="n">
        <v>321.6</v>
      </c>
      <c r="AL45" s="50" t="n">
        <v>10.555</v>
      </c>
      <c r="AM45" s="50" t="n">
        <v>0.033</v>
      </c>
      <c r="AN45" s="49" t="n">
        <v>18.1</v>
      </c>
      <c r="AO45" s="52"/>
      <c r="AP45" s="52"/>
      <c r="AQ45" s="52"/>
      <c r="AR45" s="52"/>
      <c r="AS45" s="53"/>
      <c r="AT45" s="53" t="n">
        <f aca="false">Table2[[#This Row],[Object_A_._head_time]]+Table2[[#This Row],[Object_B_._head_time]]</f>
        <v>65.2</v>
      </c>
      <c r="AU45" s="53" t="n">
        <f aca="false">Table2[[#This Row],[Object_B_._head_time]]-Table2[[#This Row],[Object_A_._head_time]]</f>
        <v>-14.6</v>
      </c>
      <c r="AV45" s="71" t="n">
        <f aca="false">Table2[[#This Row],[D1: Absolute discrimination measure (D1 = B2- A2)]]/Table2[[#This Row],[E2: total exploration time in second trial E2 ( E2 = A2 + B2)]]</f>
        <v>-0.223926380368098</v>
      </c>
      <c r="AW45" s="52" t="n">
        <f aca="false">(W45/AT45)</f>
        <v>0.388036809815951</v>
      </c>
      <c r="AX45" s="56"/>
      <c r="AY45" s="57" t="s">
        <v>64</v>
      </c>
      <c r="AZ45" s="57" t="s">
        <v>65</v>
      </c>
      <c r="BA45" s="57" t="s">
        <v>66</v>
      </c>
      <c r="BB45" s="58" t="n">
        <v>100</v>
      </c>
      <c r="BC45" s="59" t="n">
        <v>3.33333333333333</v>
      </c>
      <c r="BD45" s="60" t="s">
        <v>67</v>
      </c>
      <c r="BE45" s="57" t="n">
        <v>2</v>
      </c>
      <c r="BF45" s="61"/>
    </row>
    <row r="46" customFormat="false" ht="12" hidden="false" customHeight="true" outlineLevel="0" collapsed="false">
      <c r="A46" s="47" t="n">
        <v>82</v>
      </c>
      <c r="B46" s="48" t="s">
        <v>91</v>
      </c>
      <c r="C46" s="48" t="s">
        <v>172</v>
      </c>
      <c r="D46" s="48" t="s">
        <v>77</v>
      </c>
      <c r="E46" s="48" t="s">
        <v>61</v>
      </c>
      <c r="F46" s="48" t="s">
        <v>178</v>
      </c>
      <c r="G46" s="48" t="s">
        <v>182</v>
      </c>
      <c r="H46" s="49" t="n">
        <v>360</v>
      </c>
      <c r="I46" s="50" t="n">
        <v>13.151</v>
      </c>
      <c r="J46" s="50" t="n">
        <v>0.037</v>
      </c>
      <c r="K46" s="50" t="n">
        <v>0.341</v>
      </c>
      <c r="L46" s="49" t="n">
        <v>24.4</v>
      </c>
      <c r="M46" s="51" t="n">
        <v>19</v>
      </c>
      <c r="N46" s="49" t="n">
        <v>14.8</v>
      </c>
      <c r="O46" s="50" t="n">
        <v>1.079</v>
      </c>
      <c r="P46" s="50" t="n">
        <v>0.073</v>
      </c>
      <c r="Q46" s="50" t="n">
        <v>0.249</v>
      </c>
      <c r="R46" s="49" t="n">
        <v>4.4</v>
      </c>
      <c r="S46" s="51" t="n">
        <v>1464</v>
      </c>
      <c r="T46" s="49" t="n">
        <v>0</v>
      </c>
      <c r="U46" s="49" t="n">
        <v>6.9</v>
      </c>
      <c r="V46" s="51" t="n">
        <v>15</v>
      </c>
      <c r="W46" s="49" t="n">
        <v>14.6</v>
      </c>
      <c r="X46" s="50" t="n">
        <v>0.606</v>
      </c>
      <c r="Y46" s="50" t="n">
        <v>0.042</v>
      </c>
      <c r="Z46" s="50" t="n">
        <v>0.19</v>
      </c>
      <c r="AA46" s="49" t="n">
        <v>8</v>
      </c>
      <c r="AB46" s="51" t="n">
        <v>1074</v>
      </c>
      <c r="AC46" s="49" t="n">
        <v>0</v>
      </c>
      <c r="AD46" s="49" t="n">
        <v>12.2</v>
      </c>
      <c r="AE46" s="51" t="n">
        <v>9</v>
      </c>
      <c r="AF46" s="49" t="n">
        <v>16.5</v>
      </c>
      <c r="AG46" s="50" t="n">
        <v>0.856</v>
      </c>
      <c r="AH46" s="50" t="n">
        <v>0.052</v>
      </c>
      <c r="AI46" s="49" t="n">
        <v>0</v>
      </c>
      <c r="AJ46" s="51" t="n">
        <v>10</v>
      </c>
      <c r="AK46" s="49" t="n">
        <v>343.5</v>
      </c>
      <c r="AL46" s="50" t="n">
        <v>12.295</v>
      </c>
      <c r="AM46" s="50" t="n">
        <v>0.036</v>
      </c>
      <c r="AN46" s="49" t="n">
        <v>24.4</v>
      </c>
      <c r="AO46" s="52"/>
      <c r="AP46" s="52"/>
      <c r="AQ46" s="52"/>
      <c r="AR46" s="52"/>
      <c r="AS46" s="53"/>
      <c r="AT46" s="53" t="n">
        <f aca="false">Table2[[#This Row],[Object_A_._head_time]]+Table2[[#This Row],[Object_B_._head_time]]</f>
        <v>29.4</v>
      </c>
      <c r="AU46" s="53" t="n">
        <f aca="false">Table2[[#This Row],[Object_B_._head_time]]-Table2[[#This Row],[Object_A_._head_time]]</f>
        <v>-0.200000000000001</v>
      </c>
      <c r="AV46" s="71" t="n">
        <f aca="false">Table2[[#This Row],[D1: Absolute discrimination measure (D1 = B2- A2)]]/Table2[[#This Row],[E2: total exploration time in second trial E2 ( E2 = A2 + B2)]]</f>
        <v>-0.00680272108843541</v>
      </c>
      <c r="AW46" s="52" t="n">
        <f aca="false">(W46/AT46)</f>
        <v>0.496598639455782</v>
      </c>
      <c r="AX46" s="56"/>
      <c r="AY46" s="57" t="s">
        <v>64</v>
      </c>
      <c r="AZ46" s="57" t="s">
        <v>65</v>
      </c>
      <c r="BA46" s="57" t="s">
        <v>93</v>
      </c>
      <c r="BB46" s="58" t="n">
        <v>100</v>
      </c>
      <c r="BC46" s="59" t="n">
        <v>3.33333333333333</v>
      </c>
      <c r="BD46" s="60" t="s">
        <v>67</v>
      </c>
      <c r="BE46" s="57" t="n">
        <v>4</v>
      </c>
      <c r="BF46" s="61" t="s">
        <v>94</v>
      </c>
    </row>
    <row r="47" customFormat="false" ht="12" hidden="false" customHeight="true" outlineLevel="0" collapsed="false">
      <c r="A47" s="47" t="n">
        <v>84</v>
      </c>
      <c r="B47" s="48" t="s">
        <v>95</v>
      </c>
      <c r="C47" s="48" t="s">
        <v>172</v>
      </c>
      <c r="D47" s="48" t="s">
        <v>60</v>
      </c>
      <c r="E47" s="48" t="s">
        <v>61</v>
      </c>
      <c r="F47" s="48" t="s">
        <v>183</v>
      </c>
      <c r="G47" s="48" t="s">
        <v>184</v>
      </c>
      <c r="H47" s="49" t="n">
        <v>360</v>
      </c>
      <c r="I47" s="50" t="n">
        <v>5.987</v>
      </c>
      <c r="J47" s="50" t="n">
        <v>0.017</v>
      </c>
      <c r="K47" s="50" t="n">
        <v>0.301</v>
      </c>
      <c r="L47" s="49" t="n">
        <v>164.5</v>
      </c>
      <c r="M47" s="51" t="n">
        <v>4</v>
      </c>
      <c r="N47" s="49" t="n">
        <v>1.3</v>
      </c>
      <c r="O47" s="50" t="n">
        <v>0.027</v>
      </c>
      <c r="P47" s="50" t="n">
        <v>0.02</v>
      </c>
      <c r="Q47" s="50" t="n">
        <v>0.108</v>
      </c>
      <c r="R47" s="49" t="n">
        <v>0.5</v>
      </c>
      <c r="S47" s="51" t="n">
        <v>90</v>
      </c>
      <c r="T47" s="49" t="n">
        <v>0</v>
      </c>
      <c r="U47" s="49" t="n">
        <v>1.3</v>
      </c>
      <c r="V47" s="51" t="n">
        <v>4</v>
      </c>
      <c r="W47" s="49" t="n">
        <v>3.3</v>
      </c>
      <c r="X47" s="50" t="n">
        <v>0.029</v>
      </c>
      <c r="Y47" s="50" t="n">
        <v>0.009</v>
      </c>
      <c r="Z47" s="50" t="n">
        <v>0.101</v>
      </c>
      <c r="AA47" s="49" t="n">
        <v>3.3</v>
      </c>
      <c r="AB47" s="51" t="n">
        <v>172</v>
      </c>
      <c r="AC47" s="49" t="n">
        <v>0</v>
      </c>
      <c r="AD47" s="49" t="n">
        <v>3.3</v>
      </c>
      <c r="AE47" s="51" t="n">
        <v>2</v>
      </c>
      <c r="AF47" s="49" t="n">
        <v>2.8</v>
      </c>
      <c r="AG47" s="50" t="n">
        <v>0.175</v>
      </c>
      <c r="AH47" s="50" t="n">
        <v>0.063</v>
      </c>
      <c r="AI47" s="49" t="n">
        <v>0</v>
      </c>
      <c r="AJ47" s="51" t="n">
        <v>2</v>
      </c>
      <c r="AK47" s="49" t="n">
        <v>357.2</v>
      </c>
      <c r="AL47" s="50" t="n">
        <v>5.811</v>
      </c>
      <c r="AM47" s="50" t="n">
        <v>0.016</v>
      </c>
      <c r="AN47" s="49" t="n">
        <v>164.5</v>
      </c>
      <c r="AO47" s="52"/>
      <c r="AP47" s="52"/>
      <c r="AQ47" s="52"/>
      <c r="AR47" s="52"/>
      <c r="AS47" s="53"/>
      <c r="AT47" s="53" t="n">
        <f aca="false">Table2[[#This Row],[Object_A_._head_time]]+Table2[[#This Row],[Object_B_._head_time]]</f>
        <v>4.6</v>
      </c>
      <c r="AU47" s="53" t="n">
        <f aca="false">Table2[[#This Row],[Object_B_._head_time]]-Table2[[#This Row],[Object_A_._head_time]]</f>
        <v>2</v>
      </c>
      <c r="AV47" s="71" t="n">
        <f aca="false">Table2[[#This Row],[D1: Absolute discrimination measure (D1 = B2- A2)]]/Table2[[#This Row],[E2: total exploration time in second trial E2 ( E2 = A2 + B2)]]</f>
        <v>0.434782608695652</v>
      </c>
      <c r="AW47" s="52" t="n">
        <f aca="false">(W47/AT47)</f>
        <v>0.717391304347826</v>
      </c>
      <c r="AX47" s="56"/>
      <c r="AY47" s="57" t="s">
        <v>79</v>
      </c>
      <c r="AZ47" s="57" t="s">
        <v>65</v>
      </c>
      <c r="BA47" s="57" t="s">
        <v>93</v>
      </c>
      <c r="BB47" s="58" t="n">
        <v>100</v>
      </c>
      <c r="BC47" s="59" t="n">
        <v>3.33333333333333</v>
      </c>
      <c r="BD47" s="60" t="s">
        <v>67</v>
      </c>
      <c r="BE47" s="57" t="n">
        <v>4</v>
      </c>
      <c r="BF47" s="61"/>
    </row>
    <row r="48" customFormat="false" ht="12" hidden="false" customHeight="true" outlineLevel="0" collapsed="false">
      <c r="A48" s="47" t="n">
        <v>83</v>
      </c>
      <c r="B48" s="48" t="s">
        <v>98</v>
      </c>
      <c r="C48" s="48" t="s">
        <v>172</v>
      </c>
      <c r="D48" s="48" t="s">
        <v>70</v>
      </c>
      <c r="E48" s="48" t="s">
        <v>61</v>
      </c>
      <c r="F48" s="48" t="s">
        <v>183</v>
      </c>
      <c r="G48" s="48" t="s">
        <v>185</v>
      </c>
      <c r="H48" s="49" t="n">
        <v>360</v>
      </c>
      <c r="I48" s="50" t="n">
        <v>12.57</v>
      </c>
      <c r="J48" s="50" t="n">
        <v>0.035</v>
      </c>
      <c r="K48" s="50" t="n">
        <v>0.25</v>
      </c>
      <c r="L48" s="49" t="n">
        <v>40.1</v>
      </c>
      <c r="M48" s="51" t="n">
        <v>23</v>
      </c>
      <c r="N48" s="49" t="n">
        <v>76.1</v>
      </c>
      <c r="O48" s="50" t="n">
        <v>1.645</v>
      </c>
      <c r="P48" s="50" t="n">
        <v>0.022</v>
      </c>
      <c r="Q48" s="50" t="n">
        <v>0.248</v>
      </c>
      <c r="R48" s="49" t="n">
        <v>24</v>
      </c>
      <c r="S48" s="51" t="n">
        <v>2881</v>
      </c>
      <c r="T48" s="49" t="n">
        <v>11.9</v>
      </c>
      <c r="U48" s="49" t="n">
        <v>55.4</v>
      </c>
      <c r="V48" s="51" t="n">
        <v>29</v>
      </c>
      <c r="W48" s="49" t="n">
        <v>39.2</v>
      </c>
      <c r="X48" s="50" t="n">
        <v>1.884</v>
      </c>
      <c r="Y48" s="50" t="n">
        <v>0.048</v>
      </c>
      <c r="Z48" s="50" t="n">
        <v>0.214</v>
      </c>
      <c r="AA48" s="49" t="n">
        <v>10.7</v>
      </c>
      <c r="AB48" s="51" t="n">
        <v>2797</v>
      </c>
      <c r="AC48" s="49" t="n">
        <v>0</v>
      </c>
      <c r="AD48" s="49" t="n">
        <v>10.8</v>
      </c>
      <c r="AE48" s="51" t="n">
        <v>12</v>
      </c>
      <c r="AF48" s="49" t="n">
        <v>21.3</v>
      </c>
      <c r="AG48" s="50" t="n">
        <v>1.972</v>
      </c>
      <c r="AH48" s="50" t="n">
        <v>0.093</v>
      </c>
      <c r="AI48" s="49" t="n">
        <v>0</v>
      </c>
      <c r="AJ48" s="51" t="n">
        <v>13</v>
      </c>
      <c r="AK48" s="49" t="n">
        <v>338.7</v>
      </c>
      <c r="AL48" s="50" t="n">
        <v>10.599</v>
      </c>
      <c r="AM48" s="50" t="n">
        <v>0.031</v>
      </c>
      <c r="AN48" s="49" t="n">
        <v>40.1</v>
      </c>
      <c r="AO48" s="52"/>
      <c r="AP48" s="52"/>
      <c r="AQ48" s="52"/>
      <c r="AR48" s="52"/>
      <c r="AS48" s="53"/>
      <c r="AT48" s="53" t="n">
        <f aca="false">Table2[[#This Row],[Object_A_._head_time]]+Table2[[#This Row],[Object_B_._head_time]]</f>
        <v>115.3</v>
      </c>
      <c r="AU48" s="53" t="n">
        <f aca="false">Table2[[#This Row],[Object_B_._head_time]]-Table2[[#This Row],[Object_A_._head_time]]</f>
        <v>-36.9</v>
      </c>
      <c r="AV48" s="71" t="n">
        <f aca="false">Table2[[#This Row],[D1: Absolute discrimination measure (D1 = B2- A2)]]/Table2[[#This Row],[E2: total exploration time in second trial E2 ( E2 = A2 + B2)]]</f>
        <v>-0.320034692107545</v>
      </c>
      <c r="AW48" s="52" t="n">
        <f aca="false">(W48/AT48)</f>
        <v>0.339982653946227</v>
      </c>
      <c r="AX48" s="56"/>
      <c r="AY48" s="57" t="s">
        <v>79</v>
      </c>
      <c r="AZ48" s="57" t="s">
        <v>65</v>
      </c>
      <c r="BA48" s="57" t="s">
        <v>66</v>
      </c>
      <c r="BB48" s="58" t="n">
        <v>95</v>
      </c>
      <c r="BC48" s="59" t="n">
        <v>3.16666666666667</v>
      </c>
      <c r="BD48" s="60" t="s">
        <v>80</v>
      </c>
      <c r="BE48" s="57" t="n">
        <v>1</v>
      </c>
      <c r="BF48" s="61"/>
    </row>
    <row r="49" customFormat="false" ht="12" hidden="false" customHeight="true" outlineLevel="0" collapsed="false">
      <c r="A49" s="47" t="n">
        <v>85</v>
      </c>
      <c r="B49" s="48" t="s">
        <v>100</v>
      </c>
      <c r="C49" s="48" t="s">
        <v>172</v>
      </c>
      <c r="D49" s="48" t="s">
        <v>73</v>
      </c>
      <c r="E49" s="48" t="s">
        <v>61</v>
      </c>
      <c r="F49" s="48" t="s">
        <v>183</v>
      </c>
      <c r="G49" s="48" t="s">
        <v>186</v>
      </c>
      <c r="H49" s="49" t="n">
        <v>360</v>
      </c>
      <c r="I49" s="50" t="n">
        <v>13.57</v>
      </c>
      <c r="J49" s="50" t="n">
        <v>0.038</v>
      </c>
      <c r="K49" s="50" t="n">
        <v>0.252</v>
      </c>
      <c r="L49" s="49" t="n">
        <v>37.5</v>
      </c>
      <c r="M49" s="51" t="n">
        <v>18</v>
      </c>
      <c r="N49" s="49" t="n">
        <v>29.1</v>
      </c>
      <c r="O49" s="50" t="n">
        <v>1.145</v>
      </c>
      <c r="P49" s="50" t="n">
        <v>0.039</v>
      </c>
      <c r="Q49" s="50" t="n">
        <v>0.171</v>
      </c>
      <c r="R49" s="49" t="n">
        <v>13.9</v>
      </c>
      <c r="S49" s="51" t="n">
        <v>2079</v>
      </c>
      <c r="T49" s="49" t="n">
        <v>0</v>
      </c>
      <c r="U49" s="49" t="n">
        <v>10</v>
      </c>
      <c r="V49" s="51" t="n">
        <v>24</v>
      </c>
      <c r="W49" s="49" t="n">
        <v>24.7</v>
      </c>
      <c r="X49" s="50" t="n">
        <v>1.32</v>
      </c>
      <c r="Y49" s="50" t="n">
        <v>0.054</v>
      </c>
      <c r="Z49" s="50" t="n">
        <v>0.232</v>
      </c>
      <c r="AA49" s="49" t="n">
        <v>8.1</v>
      </c>
      <c r="AB49" s="51" t="n">
        <v>1521</v>
      </c>
      <c r="AC49" s="49" t="n">
        <v>0</v>
      </c>
      <c r="AD49" s="49" t="n">
        <v>9.5</v>
      </c>
      <c r="AE49" s="51" t="n">
        <v>21</v>
      </c>
      <c r="AF49" s="49" t="n">
        <v>47.1</v>
      </c>
      <c r="AG49" s="50" t="n">
        <v>2.86</v>
      </c>
      <c r="AH49" s="50" t="n">
        <v>0.061</v>
      </c>
      <c r="AI49" s="49" t="n">
        <v>1.5</v>
      </c>
      <c r="AJ49" s="51" t="n">
        <v>22</v>
      </c>
      <c r="AK49" s="49" t="n">
        <v>312.9</v>
      </c>
      <c r="AL49" s="50" t="n">
        <v>10.71</v>
      </c>
      <c r="AM49" s="50" t="n">
        <v>0.034</v>
      </c>
      <c r="AN49" s="49" t="n">
        <v>36</v>
      </c>
      <c r="AO49" s="52"/>
      <c r="AP49" s="52"/>
      <c r="AQ49" s="52"/>
      <c r="AR49" s="52"/>
      <c r="AS49" s="53"/>
      <c r="AT49" s="53" t="n">
        <f aca="false">Table2[[#This Row],[Object_A_._head_time]]+Table2[[#This Row],[Object_B_._head_time]]</f>
        <v>53.8</v>
      </c>
      <c r="AU49" s="53" t="n">
        <f aca="false">Table2[[#This Row],[Object_B_._head_time]]-Table2[[#This Row],[Object_A_._head_time]]</f>
        <v>-4.4</v>
      </c>
      <c r="AV49" s="71" t="n">
        <f aca="false">Table2[[#This Row],[D1: Absolute discrimination measure (D1 = B2- A2)]]/Table2[[#This Row],[E2: total exploration time in second trial E2 ( E2 = A2 + B2)]]</f>
        <v>-0.0817843866171004</v>
      </c>
      <c r="AW49" s="52" t="n">
        <f aca="false">(W49/AT49)</f>
        <v>0.45910780669145</v>
      </c>
      <c r="AX49" s="56"/>
      <c r="AY49" s="57" t="s">
        <v>64</v>
      </c>
      <c r="AZ49" s="57" t="s">
        <v>65</v>
      </c>
      <c r="BA49" s="57" t="s">
        <v>93</v>
      </c>
      <c r="BB49" s="58" t="n">
        <v>95</v>
      </c>
      <c r="BC49" s="59" t="n">
        <v>3.16666666666667</v>
      </c>
      <c r="BD49" s="60" t="s">
        <v>80</v>
      </c>
      <c r="BE49" s="57" t="n">
        <v>3</v>
      </c>
      <c r="BF49" s="61"/>
    </row>
    <row r="50" customFormat="false" ht="12" hidden="false" customHeight="true" outlineLevel="0" collapsed="false">
      <c r="A50" s="47" t="n">
        <v>86</v>
      </c>
      <c r="B50" s="48" t="s">
        <v>103</v>
      </c>
      <c r="C50" s="48" t="s">
        <v>172</v>
      </c>
      <c r="D50" s="48" t="s">
        <v>77</v>
      </c>
      <c r="E50" s="48" t="s">
        <v>61</v>
      </c>
      <c r="F50" s="48" t="s">
        <v>183</v>
      </c>
      <c r="G50" s="48" t="s">
        <v>187</v>
      </c>
      <c r="H50" s="49" t="n">
        <v>360</v>
      </c>
      <c r="I50" s="50" t="n">
        <v>7.979</v>
      </c>
      <c r="J50" s="50" t="n">
        <v>0.022</v>
      </c>
      <c r="K50" s="50" t="n">
        <v>0.268</v>
      </c>
      <c r="L50" s="49" t="n">
        <v>142.3</v>
      </c>
      <c r="M50" s="51" t="n">
        <v>8</v>
      </c>
      <c r="N50" s="49" t="n">
        <v>13.6</v>
      </c>
      <c r="O50" s="50" t="n">
        <v>0.53</v>
      </c>
      <c r="P50" s="50" t="n">
        <v>0.039</v>
      </c>
      <c r="Q50" s="50" t="n">
        <v>0.194</v>
      </c>
      <c r="R50" s="49" t="n">
        <v>3.3</v>
      </c>
      <c r="S50" s="51" t="n">
        <v>1066</v>
      </c>
      <c r="T50" s="49" t="n">
        <v>0</v>
      </c>
      <c r="U50" s="49" t="n">
        <v>1.8</v>
      </c>
      <c r="V50" s="51" t="n">
        <v>127</v>
      </c>
      <c r="W50" s="49" t="n">
        <v>69.4</v>
      </c>
      <c r="X50" s="50" t="n">
        <v>0.822</v>
      </c>
      <c r="Y50" s="50" t="n">
        <v>0.012</v>
      </c>
      <c r="Z50" s="50" t="n">
        <v>0.216</v>
      </c>
      <c r="AA50" s="49" t="n">
        <v>56.3</v>
      </c>
      <c r="AB50" s="51" t="n">
        <v>4588</v>
      </c>
      <c r="AC50" s="49" t="n">
        <v>36.1</v>
      </c>
      <c r="AD50" s="49" t="n">
        <v>57.2</v>
      </c>
      <c r="AE50" s="51" t="n">
        <v>8</v>
      </c>
      <c r="AF50" s="49" t="n">
        <v>10.1</v>
      </c>
      <c r="AG50" s="50" t="n">
        <v>0.927</v>
      </c>
      <c r="AH50" s="50" t="n">
        <v>0.092</v>
      </c>
      <c r="AI50" s="49" t="n">
        <v>0</v>
      </c>
      <c r="AJ50" s="51" t="n">
        <v>8</v>
      </c>
      <c r="AK50" s="49" t="n">
        <v>349.9</v>
      </c>
      <c r="AL50" s="50" t="n">
        <v>7.052</v>
      </c>
      <c r="AM50" s="50" t="n">
        <v>0.02</v>
      </c>
      <c r="AN50" s="49" t="n">
        <v>142.3</v>
      </c>
      <c r="AO50" s="52"/>
      <c r="AP50" s="52"/>
      <c r="AQ50" s="52"/>
      <c r="AR50" s="52"/>
      <c r="AS50" s="53"/>
      <c r="AT50" s="53" t="n">
        <f aca="false">Table2[[#This Row],[Object_A_._head_time]]+Table2[[#This Row],[Object_B_._head_time]]</f>
        <v>83</v>
      </c>
      <c r="AU50" s="53" t="n">
        <f aca="false">Table2[[#This Row],[Object_B_._head_time]]-Table2[[#This Row],[Object_A_._head_time]]</f>
        <v>55.8</v>
      </c>
      <c r="AV50" s="71" t="n">
        <f aca="false">Table2[[#This Row],[D1: Absolute discrimination measure (D1 = B2- A2)]]/Table2[[#This Row],[E2: total exploration time in second trial E2 ( E2 = A2 + B2)]]</f>
        <v>0.672289156626506</v>
      </c>
      <c r="AW50" s="52" t="n">
        <f aca="false">(W50/AT50)</f>
        <v>0.836144578313253</v>
      </c>
      <c r="AX50" s="56"/>
      <c r="AY50" s="57" t="s">
        <v>64</v>
      </c>
      <c r="AZ50" s="57" t="s">
        <v>105</v>
      </c>
      <c r="BA50" s="57" t="s">
        <v>66</v>
      </c>
      <c r="BB50" s="58" t="n">
        <v>95</v>
      </c>
      <c r="BC50" s="59" t="n">
        <v>3.16666666666667</v>
      </c>
      <c r="BD50" s="60" t="s">
        <v>67</v>
      </c>
      <c r="BE50" s="57" t="n">
        <v>6</v>
      </c>
      <c r="BF50" s="61"/>
    </row>
    <row r="51" customFormat="false" ht="12" hidden="false" customHeight="true" outlineLevel="0" collapsed="false">
      <c r="A51" s="47" t="n">
        <v>88</v>
      </c>
      <c r="B51" s="48" t="s">
        <v>106</v>
      </c>
      <c r="C51" s="48" t="s">
        <v>172</v>
      </c>
      <c r="D51" s="48" t="s">
        <v>60</v>
      </c>
      <c r="E51" s="48" t="s">
        <v>61</v>
      </c>
      <c r="F51" s="48" t="s">
        <v>188</v>
      </c>
      <c r="G51" s="48" t="s">
        <v>189</v>
      </c>
      <c r="H51" s="49" t="n">
        <v>360</v>
      </c>
      <c r="I51" s="50" t="n">
        <v>10.265</v>
      </c>
      <c r="J51" s="50" t="n">
        <v>0.029</v>
      </c>
      <c r="K51" s="50" t="n">
        <v>0.284</v>
      </c>
      <c r="L51" s="49" t="n">
        <v>122</v>
      </c>
      <c r="M51" s="51" t="n">
        <v>17</v>
      </c>
      <c r="N51" s="49" t="n">
        <v>26</v>
      </c>
      <c r="O51" s="50" t="n">
        <v>1.188</v>
      </c>
      <c r="P51" s="50" t="n">
        <v>0.046</v>
      </c>
      <c r="Q51" s="50" t="n">
        <v>0.22</v>
      </c>
      <c r="R51" s="49" t="n">
        <v>6.8</v>
      </c>
      <c r="S51" s="51" t="n">
        <v>1754</v>
      </c>
      <c r="T51" s="49" t="n">
        <v>0</v>
      </c>
      <c r="U51" s="49" t="n">
        <v>10.2</v>
      </c>
      <c r="V51" s="51" t="n">
        <v>10</v>
      </c>
      <c r="W51" s="49" t="n">
        <v>13.3</v>
      </c>
      <c r="X51" s="50" t="n">
        <v>0.761</v>
      </c>
      <c r="Y51" s="50" t="n">
        <v>0.057</v>
      </c>
      <c r="Z51" s="50" t="n">
        <v>0.256</v>
      </c>
      <c r="AA51" s="49" t="n">
        <v>3.6</v>
      </c>
      <c r="AB51" s="51" t="n">
        <v>1043</v>
      </c>
      <c r="AC51" s="49" t="n">
        <v>0</v>
      </c>
      <c r="AD51" s="49" t="n">
        <v>3.5</v>
      </c>
      <c r="AE51" s="51" t="n">
        <v>14</v>
      </c>
      <c r="AF51" s="49" t="n">
        <v>15</v>
      </c>
      <c r="AG51" s="50" t="n">
        <v>1.593</v>
      </c>
      <c r="AH51" s="50" t="n">
        <v>0.106</v>
      </c>
      <c r="AI51" s="49" t="n">
        <v>0</v>
      </c>
      <c r="AJ51" s="51" t="n">
        <v>14</v>
      </c>
      <c r="AK51" s="49" t="n">
        <v>345</v>
      </c>
      <c r="AL51" s="50" t="n">
        <v>8.672</v>
      </c>
      <c r="AM51" s="50" t="n">
        <v>0.025</v>
      </c>
      <c r="AN51" s="49" t="n">
        <v>122</v>
      </c>
      <c r="AO51" s="52"/>
      <c r="AP51" s="52"/>
      <c r="AQ51" s="52"/>
      <c r="AR51" s="52"/>
      <c r="AS51" s="53"/>
      <c r="AT51" s="53" t="n">
        <f aca="false">Table2[[#This Row],[Object_A_._head_time]]+Table2[[#This Row],[Object_B_._head_time]]</f>
        <v>39.3</v>
      </c>
      <c r="AU51" s="53" t="n">
        <f aca="false">Table2[[#This Row],[Object_B_._head_time]]-Table2[[#This Row],[Object_A_._head_time]]</f>
        <v>-12.7</v>
      </c>
      <c r="AV51" s="71" t="n">
        <f aca="false">Table2[[#This Row],[D1: Absolute discrimination measure (D1 = B2- A2)]]/Table2[[#This Row],[E2: total exploration time in second trial E2 ( E2 = A2 + B2)]]</f>
        <v>-0.323155216284987</v>
      </c>
      <c r="AW51" s="52" t="n">
        <f aca="false">(W51/AT51)</f>
        <v>0.338422391857506</v>
      </c>
      <c r="AX51" s="56"/>
      <c r="AY51" s="57" t="s">
        <v>79</v>
      </c>
      <c r="AZ51" s="57" t="s">
        <v>65</v>
      </c>
      <c r="BA51" s="57" t="s">
        <v>93</v>
      </c>
      <c r="BB51" s="58" t="n">
        <v>85</v>
      </c>
      <c r="BC51" s="59" t="n">
        <v>2.83333333333333</v>
      </c>
      <c r="BD51" s="60" t="s">
        <v>80</v>
      </c>
      <c r="BE51" s="57" t="n">
        <v>3</v>
      </c>
      <c r="BF51" s="61"/>
    </row>
    <row r="52" customFormat="false" ht="12" hidden="false" customHeight="true" outlineLevel="0" collapsed="false">
      <c r="A52" s="47" t="n">
        <v>87</v>
      </c>
      <c r="B52" s="48" t="s">
        <v>109</v>
      </c>
      <c r="C52" s="48" t="s">
        <v>172</v>
      </c>
      <c r="D52" s="48" t="s">
        <v>70</v>
      </c>
      <c r="E52" s="48" t="s">
        <v>61</v>
      </c>
      <c r="F52" s="48" t="s">
        <v>188</v>
      </c>
      <c r="G52" s="48" t="s">
        <v>190</v>
      </c>
      <c r="H52" s="49" t="n">
        <v>360</v>
      </c>
      <c r="I52" s="50" t="n">
        <v>5.7</v>
      </c>
      <c r="J52" s="50" t="n">
        <v>0.016</v>
      </c>
      <c r="K52" s="50" t="n">
        <v>0.262</v>
      </c>
      <c r="L52" s="49" t="n">
        <v>198.1</v>
      </c>
      <c r="M52" s="51" t="n">
        <v>13</v>
      </c>
      <c r="N52" s="49" t="n">
        <v>25.1</v>
      </c>
      <c r="O52" s="50" t="n">
        <v>0.957</v>
      </c>
      <c r="P52" s="50" t="n">
        <v>0.038</v>
      </c>
      <c r="Q52" s="50" t="n">
        <v>0.242</v>
      </c>
      <c r="R52" s="49" t="n">
        <v>16</v>
      </c>
      <c r="S52" s="51" t="n">
        <v>1464</v>
      </c>
      <c r="T52" s="49" t="n">
        <v>8.7</v>
      </c>
      <c r="U52" s="49" t="n">
        <v>13.1</v>
      </c>
      <c r="V52" s="51" t="n">
        <v>12</v>
      </c>
      <c r="W52" s="49" t="n">
        <v>14.1</v>
      </c>
      <c r="X52" s="50" t="n">
        <v>1.033</v>
      </c>
      <c r="Y52" s="50" t="n">
        <v>0.074</v>
      </c>
      <c r="Z52" s="50" t="n">
        <v>0.22</v>
      </c>
      <c r="AA52" s="49" t="n">
        <v>2.4</v>
      </c>
      <c r="AB52" s="51" t="n">
        <v>1261</v>
      </c>
      <c r="AC52" s="49" t="n">
        <v>0</v>
      </c>
      <c r="AD52" s="49" t="n">
        <v>2.5</v>
      </c>
      <c r="AE52" s="51" t="n">
        <v>7</v>
      </c>
      <c r="AF52" s="49" t="n">
        <v>14.9</v>
      </c>
      <c r="AG52" s="50" t="n">
        <v>1.305</v>
      </c>
      <c r="AH52" s="50" t="n">
        <v>0.087</v>
      </c>
      <c r="AI52" s="49" t="n">
        <v>0</v>
      </c>
      <c r="AJ52" s="51" t="n">
        <v>8</v>
      </c>
      <c r="AK52" s="49" t="n">
        <v>345.1</v>
      </c>
      <c r="AL52" s="50" t="n">
        <v>4.395</v>
      </c>
      <c r="AM52" s="50" t="n">
        <v>0.013</v>
      </c>
      <c r="AN52" s="49" t="n">
        <v>198.1</v>
      </c>
      <c r="AO52" s="52"/>
      <c r="AP52" s="52"/>
      <c r="AQ52" s="52"/>
      <c r="AR52" s="52"/>
      <c r="AS52" s="53"/>
      <c r="AT52" s="53" t="n">
        <f aca="false">Table2[[#This Row],[Object_A_._head_time]]+Table2[[#This Row],[Object_B_._head_time]]</f>
        <v>39.2</v>
      </c>
      <c r="AU52" s="53" t="n">
        <f aca="false">Table2[[#This Row],[Object_B_._head_time]]-Table2[[#This Row],[Object_A_._head_time]]</f>
        <v>-11</v>
      </c>
      <c r="AV52" s="71" t="n">
        <f aca="false">Table2[[#This Row],[D1: Absolute discrimination measure (D1 = B2- A2)]]/Table2[[#This Row],[E2: total exploration time in second trial E2 ( E2 = A2 + B2)]]</f>
        <v>-0.280612244897959</v>
      </c>
      <c r="AW52" s="52" t="n">
        <f aca="false">(W52/AT52)</f>
        <v>0.35969387755102</v>
      </c>
      <c r="AX52" s="56"/>
      <c r="AY52" s="57" t="s">
        <v>79</v>
      </c>
      <c r="AZ52" s="57" t="s">
        <v>65</v>
      </c>
      <c r="BA52" s="57" t="s">
        <v>66</v>
      </c>
      <c r="BB52" s="58" t="n">
        <v>85</v>
      </c>
      <c r="BC52" s="59" t="n">
        <v>2.83333333333333</v>
      </c>
      <c r="BD52" s="60" t="s">
        <v>67</v>
      </c>
      <c r="BE52" s="57" t="n">
        <v>2</v>
      </c>
      <c r="BF52" s="61"/>
    </row>
    <row r="53" customFormat="false" ht="12" hidden="false" customHeight="true" outlineLevel="0" collapsed="false">
      <c r="A53" s="47" t="n">
        <v>89</v>
      </c>
      <c r="B53" s="48" t="s">
        <v>111</v>
      </c>
      <c r="C53" s="48" t="s">
        <v>172</v>
      </c>
      <c r="D53" s="48" t="s">
        <v>73</v>
      </c>
      <c r="E53" s="48" t="s">
        <v>61</v>
      </c>
      <c r="F53" s="48" t="s">
        <v>188</v>
      </c>
      <c r="G53" s="48" t="s">
        <v>191</v>
      </c>
      <c r="H53" s="49" t="n">
        <v>360</v>
      </c>
      <c r="I53" s="50" t="n">
        <v>9.169</v>
      </c>
      <c r="J53" s="50" t="n">
        <v>0.025</v>
      </c>
      <c r="K53" s="50" t="n">
        <v>0.267</v>
      </c>
      <c r="L53" s="49" t="n">
        <v>127.6</v>
      </c>
      <c r="M53" s="51" t="n">
        <v>22</v>
      </c>
      <c r="N53" s="49" t="n">
        <v>19.8</v>
      </c>
      <c r="O53" s="50" t="n">
        <v>0.736</v>
      </c>
      <c r="P53" s="50" t="n">
        <v>0.037</v>
      </c>
      <c r="Q53" s="50" t="n">
        <v>0.192</v>
      </c>
      <c r="R53" s="49" t="n">
        <v>9.6</v>
      </c>
      <c r="S53" s="51" t="n">
        <v>1300</v>
      </c>
      <c r="T53" s="49" t="n">
        <v>0.3</v>
      </c>
      <c r="U53" s="49" t="n">
        <v>13.1</v>
      </c>
      <c r="V53" s="51" t="n">
        <v>7</v>
      </c>
      <c r="W53" s="49" t="n">
        <v>7.2</v>
      </c>
      <c r="X53" s="50" t="n">
        <v>0.288</v>
      </c>
      <c r="Y53" s="50" t="n">
        <v>0.04</v>
      </c>
      <c r="Z53" s="50" t="n">
        <v>0.188</v>
      </c>
      <c r="AA53" s="49" t="n">
        <v>3.5</v>
      </c>
      <c r="AB53" s="51" t="n">
        <v>385</v>
      </c>
      <c r="AC53" s="49" t="n">
        <v>0</v>
      </c>
      <c r="AD53" s="49" t="n">
        <v>3.8</v>
      </c>
      <c r="AE53" s="51" t="n">
        <v>7</v>
      </c>
      <c r="AF53" s="49" t="n">
        <v>12.1</v>
      </c>
      <c r="AG53" s="50" t="n">
        <v>1.105</v>
      </c>
      <c r="AH53" s="50" t="n">
        <v>0.091</v>
      </c>
      <c r="AI53" s="49" t="n">
        <v>0</v>
      </c>
      <c r="AJ53" s="51" t="n">
        <v>7</v>
      </c>
      <c r="AK53" s="49" t="n">
        <v>347.9</v>
      </c>
      <c r="AL53" s="50" t="n">
        <v>8.064</v>
      </c>
      <c r="AM53" s="50" t="n">
        <v>0.023</v>
      </c>
      <c r="AN53" s="49" t="n">
        <v>127.6</v>
      </c>
      <c r="AO53" s="52"/>
      <c r="AP53" s="52"/>
      <c r="AQ53" s="52"/>
      <c r="AR53" s="52"/>
      <c r="AS53" s="53"/>
      <c r="AT53" s="53" t="n">
        <f aca="false">Table2[[#This Row],[Object_A_._head_time]]+Table2[[#This Row],[Object_B_._head_time]]</f>
        <v>27</v>
      </c>
      <c r="AU53" s="53" t="n">
        <f aca="false">Table2[[#This Row],[Object_B_._head_time]]-Table2[[#This Row],[Object_A_._head_time]]</f>
        <v>-12.6</v>
      </c>
      <c r="AV53" s="71" t="n">
        <f aca="false">Table2[[#This Row],[D1: Absolute discrimination measure (D1 = B2- A2)]]/Table2[[#This Row],[E2: total exploration time in second trial E2 ( E2 = A2 + B2)]]</f>
        <v>-0.466666666666667</v>
      </c>
      <c r="AW53" s="52" t="n">
        <f aca="false">(W53/AT53)</f>
        <v>0.266666666666667</v>
      </c>
      <c r="AX53" s="56"/>
      <c r="AY53" s="57" t="s">
        <v>79</v>
      </c>
      <c r="AZ53" s="57" t="s">
        <v>65</v>
      </c>
      <c r="BA53" s="57" t="s">
        <v>93</v>
      </c>
      <c r="BB53" s="58" t="n">
        <v>85</v>
      </c>
      <c r="BC53" s="59" t="n">
        <v>2.83333333333333</v>
      </c>
      <c r="BD53" s="60" t="s">
        <v>67</v>
      </c>
      <c r="BE53" s="57" t="n">
        <v>4</v>
      </c>
      <c r="BF53" s="61"/>
    </row>
    <row r="54" customFormat="false" ht="12" hidden="false" customHeight="true" outlineLevel="0" collapsed="false">
      <c r="A54" s="47" t="n">
        <v>90</v>
      </c>
      <c r="B54" s="48" t="s">
        <v>113</v>
      </c>
      <c r="C54" s="48" t="s">
        <v>172</v>
      </c>
      <c r="D54" s="48" t="s">
        <v>77</v>
      </c>
      <c r="E54" s="48" t="s">
        <v>61</v>
      </c>
      <c r="F54" s="48" t="s">
        <v>188</v>
      </c>
      <c r="G54" s="48" t="s">
        <v>192</v>
      </c>
      <c r="H54" s="49" t="n">
        <v>360</v>
      </c>
      <c r="I54" s="50" t="n">
        <v>7.986</v>
      </c>
      <c r="J54" s="50" t="n">
        <v>0.022</v>
      </c>
      <c r="K54" s="50" t="n">
        <v>0.294</v>
      </c>
      <c r="L54" s="49" t="n">
        <v>130.5</v>
      </c>
      <c r="M54" s="51" t="n">
        <v>12</v>
      </c>
      <c r="N54" s="49" t="n">
        <v>15.6</v>
      </c>
      <c r="O54" s="50" t="n">
        <v>0.791</v>
      </c>
      <c r="P54" s="50" t="n">
        <v>0.051</v>
      </c>
      <c r="Q54" s="50" t="n">
        <v>0.223</v>
      </c>
      <c r="R54" s="49" t="n">
        <v>6.4</v>
      </c>
      <c r="S54" s="51" t="n">
        <v>1635</v>
      </c>
      <c r="T54" s="49" t="n">
        <v>0</v>
      </c>
      <c r="U54" s="49" t="n">
        <v>6.6</v>
      </c>
      <c r="V54" s="51" t="n">
        <v>21</v>
      </c>
      <c r="W54" s="49" t="n">
        <v>35.6</v>
      </c>
      <c r="X54" s="50" t="n">
        <v>0.428</v>
      </c>
      <c r="Y54" s="50" t="n">
        <v>0.012</v>
      </c>
      <c r="Z54" s="50" t="n">
        <v>0.199</v>
      </c>
      <c r="AA54" s="49" t="n">
        <v>27.8</v>
      </c>
      <c r="AB54" s="51" t="n">
        <v>1880</v>
      </c>
      <c r="AC54" s="49" t="n">
        <v>16.8</v>
      </c>
      <c r="AD54" s="49" t="n">
        <v>29.3</v>
      </c>
      <c r="AE54" s="51" t="n">
        <v>6</v>
      </c>
      <c r="AF54" s="49" t="n">
        <v>9.7</v>
      </c>
      <c r="AG54" s="50" t="n">
        <v>0.723</v>
      </c>
      <c r="AH54" s="50" t="n">
        <v>0.074</v>
      </c>
      <c r="AI54" s="49" t="n">
        <v>0</v>
      </c>
      <c r="AJ54" s="51" t="n">
        <v>6</v>
      </c>
      <c r="AK54" s="49" t="n">
        <v>350.3</v>
      </c>
      <c r="AL54" s="50" t="n">
        <v>7.264</v>
      </c>
      <c r="AM54" s="50" t="n">
        <v>0.021</v>
      </c>
      <c r="AN54" s="49" t="n">
        <v>130.5</v>
      </c>
      <c r="AO54" s="52"/>
      <c r="AP54" s="52"/>
      <c r="AQ54" s="52"/>
      <c r="AR54" s="52"/>
      <c r="AS54" s="53"/>
      <c r="AT54" s="53" t="n">
        <f aca="false">Table2[[#This Row],[Object_A_._head_time]]+Table2[[#This Row],[Object_B_._head_time]]</f>
        <v>51.2</v>
      </c>
      <c r="AU54" s="53" t="n">
        <f aca="false">Table2[[#This Row],[Object_B_._head_time]]-Table2[[#This Row],[Object_A_._head_time]]</f>
        <v>20</v>
      </c>
      <c r="AV54" s="71" t="n">
        <f aca="false">Table2[[#This Row],[D1: Absolute discrimination measure (D1 = B2- A2)]]/Table2[[#This Row],[E2: total exploration time in second trial E2 ( E2 = A2 + B2)]]</f>
        <v>0.390625</v>
      </c>
      <c r="AW54" s="52" t="n">
        <f aca="false">(W54/AT54)</f>
        <v>0.6953125</v>
      </c>
      <c r="AX54" s="56"/>
      <c r="AY54" s="57" t="s">
        <v>79</v>
      </c>
      <c r="AZ54" s="57" t="s">
        <v>65</v>
      </c>
      <c r="BA54" s="57" t="s">
        <v>93</v>
      </c>
      <c r="BB54" s="58" t="n">
        <v>85</v>
      </c>
      <c r="BC54" s="59" t="n">
        <v>2.83333333333333</v>
      </c>
      <c r="BD54" s="60" t="s">
        <v>80</v>
      </c>
      <c r="BE54" s="57" t="n">
        <v>3</v>
      </c>
      <c r="BF54" s="61"/>
    </row>
    <row r="55" customFormat="false" ht="12" hidden="false" customHeight="true" outlineLevel="0" collapsed="false">
      <c r="A55" s="47" t="n">
        <v>92</v>
      </c>
      <c r="B55" s="48" t="s">
        <v>116</v>
      </c>
      <c r="C55" s="48" t="s">
        <v>172</v>
      </c>
      <c r="D55" s="48" t="s">
        <v>60</v>
      </c>
      <c r="E55" s="48" t="s">
        <v>61</v>
      </c>
      <c r="F55" s="48" t="s">
        <v>193</v>
      </c>
      <c r="G55" s="48" t="s">
        <v>194</v>
      </c>
      <c r="H55" s="49" t="n">
        <v>360</v>
      </c>
      <c r="I55" s="50" t="n">
        <v>7.937</v>
      </c>
      <c r="J55" s="50" t="n">
        <v>0.022</v>
      </c>
      <c r="K55" s="50" t="n">
        <v>0.287</v>
      </c>
      <c r="L55" s="49" t="n">
        <v>112.9</v>
      </c>
      <c r="M55" s="51" t="n">
        <v>11</v>
      </c>
      <c r="N55" s="49" t="n">
        <v>4.7</v>
      </c>
      <c r="O55" s="50" t="n">
        <v>0.1</v>
      </c>
      <c r="P55" s="50" t="n">
        <v>0.021</v>
      </c>
      <c r="Q55" s="50" t="n">
        <v>0.135</v>
      </c>
      <c r="R55" s="49" t="n">
        <v>3.1</v>
      </c>
      <c r="S55" s="51" t="n">
        <v>272</v>
      </c>
      <c r="T55" s="49" t="n">
        <v>0</v>
      </c>
      <c r="U55" s="49" t="n">
        <v>4.6</v>
      </c>
      <c r="V55" s="51" t="n">
        <v>13</v>
      </c>
      <c r="W55" s="49" t="n">
        <v>12.1</v>
      </c>
      <c r="X55" s="50" t="n">
        <v>0.209</v>
      </c>
      <c r="Y55" s="50" t="n">
        <v>0.017</v>
      </c>
      <c r="Z55" s="50" t="n">
        <v>0.154</v>
      </c>
      <c r="AA55" s="49" t="n">
        <v>7.6</v>
      </c>
      <c r="AB55" s="51" t="n">
        <v>728</v>
      </c>
      <c r="AC55" s="49" t="n">
        <v>0</v>
      </c>
      <c r="AD55" s="49" t="n">
        <v>12.1</v>
      </c>
      <c r="AE55" s="51" t="n">
        <v>0</v>
      </c>
      <c r="AF55" s="49" t="n">
        <v>0</v>
      </c>
      <c r="AG55" s="50" t="n">
        <v>0</v>
      </c>
      <c r="AH55" s="50"/>
      <c r="AI55" s="49" t="n">
        <v>0</v>
      </c>
      <c r="AJ55" s="51" t="n">
        <v>1</v>
      </c>
      <c r="AK55" s="49" t="n">
        <v>360</v>
      </c>
      <c r="AL55" s="50" t="n">
        <v>7.937</v>
      </c>
      <c r="AM55" s="50" t="n">
        <v>0.022</v>
      </c>
      <c r="AN55" s="49" t="n">
        <v>112.9</v>
      </c>
      <c r="AO55" s="52"/>
      <c r="AP55" s="52"/>
      <c r="AQ55" s="52"/>
      <c r="AR55" s="52"/>
      <c r="AS55" s="53"/>
      <c r="AT55" s="53" t="n">
        <f aca="false">Table2[[#This Row],[Object_A_._head_time]]+Table2[[#This Row],[Object_B_._head_time]]</f>
        <v>16.8</v>
      </c>
      <c r="AU55" s="53" t="n">
        <f aca="false">Table2[[#This Row],[Object_B_._head_time]]-Table2[[#This Row],[Object_A_._head_time]]</f>
        <v>7.4</v>
      </c>
      <c r="AV55" s="71" t="n">
        <f aca="false">Table2[[#This Row],[D1: Absolute discrimination measure (D1 = B2- A2)]]/Table2[[#This Row],[E2: total exploration time in second trial E2 ( E2 = A2 + B2)]]</f>
        <v>0.44047619047619</v>
      </c>
      <c r="AW55" s="52" t="n">
        <f aca="false">(W55/AT55)</f>
        <v>0.720238095238095</v>
      </c>
      <c r="AX55" s="56"/>
      <c r="AY55" s="57" t="s">
        <v>79</v>
      </c>
      <c r="AZ55" s="57" t="s">
        <v>119</v>
      </c>
      <c r="BA55" s="57" t="s">
        <v>66</v>
      </c>
      <c r="BB55" s="58" t="n">
        <v>78</v>
      </c>
      <c r="BC55" s="59" t="n">
        <v>2.6</v>
      </c>
      <c r="BD55" s="60" t="s">
        <v>67</v>
      </c>
      <c r="BE55" s="57" t="n">
        <v>6</v>
      </c>
      <c r="BF55" s="61" t="s">
        <v>120</v>
      </c>
    </row>
    <row r="56" customFormat="false" ht="12" hidden="false" customHeight="true" outlineLevel="0" collapsed="false">
      <c r="A56" s="47" t="n">
        <v>91</v>
      </c>
      <c r="B56" s="48" t="s">
        <v>121</v>
      </c>
      <c r="C56" s="48" t="s">
        <v>172</v>
      </c>
      <c r="D56" s="48" t="s">
        <v>70</v>
      </c>
      <c r="E56" s="48" t="s">
        <v>61</v>
      </c>
      <c r="F56" s="48" t="s">
        <v>193</v>
      </c>
      <c r="G56" s="48" t="s">
        <v>195</v>
      </c>
      <c r="H56" s="49" t="n">
        <v>360</v>
      </c>
      <c r="I56" s="50" t="n">
        <v>12.51</v>
      </c>
      <c r="J56" s="50" t="n">
        <v>0.035</v>
      </c>
      <c r="K56" s="50" t="n">
        <v>0.257</v>
      </c>
      <c r="L56" s="49" t="n">
        <v>83.9</v>
      </c>
      <c r="M56" s="51" t="n">
        <v>20</v>
      </c>
      <c r="N56" s="49" t="n">
        <v>14.9</v>
      </c>
      <c r="O56" s="50" t="n">
        <v>0.407</v>
      </c>
      <c r="P56" s="50" t="n">
        <v>0.027</v>
      </c>
      <c r="Q56" s="50" t="n">
        <v>0.161</v>
      </c>
      <c r="R56" s="49" t="n">
        <v>11.4</v>
      </c>
      <c r="S56" s="51" t="n">
        <v>1074</v>
      </c>
      <c r="T56" s="49" t="n">
        <v>0</v>
      </c>
      <c r="U56" s="49" t="n">
        <v>12.6</v>
      </c>
      <c r="V56" s="51" t="n">
        <v>9</v>
      </c>
      <c r="W56" s="49" t="n">
        <v>6.1</v>
      </c>
      <c r="X56" s="50" t="n">
        <v>0.139</v>
      </c>
      <c r="Y56" s="50" t="n">
        <v>0.023</v>
      </c>
      <c r="Z56" s="50" t="n">
        <v>0.162</v>
      </c>
      <c r="AA56" s="49" t="n">
        <v>4.1</v>
      </c>
      <c r="AB56" s="51" t="n">
        <v>451</v>
      </c>
      <c r="AC56" s="49" t="n">
        <v>0</v>
      </c>
      <c r="AD56" s="49" t="n">
        <v>5.9</v>
      </c>
      <c r="AE56" s="51" t="n">
        <v>4</v>
      </c>
      <c r="AF56" s="49" t="n">
        <v>11.2</v>
      </c>
      <c r="AG56" s="50" t="n">
        <v>0.786</v>
      </c>
      <c r="AH56" s="50" t="n">
        <v>0.07</v>
      </c>
      <c r="AI56" s="49" t="n">
        <v>0</v>
      </c>
      <c r="AJ56" s="51" t="n">
        <v>4</v>
      </c>
      <c r="AK56" s="49" t="n">
        <v>348.8</v>
      </c>
      <c r="AL56" s="50" t="n">
        <v>11.724</v>
      </c>
      <c r="AM56" s="50" t="n">
        <v>0.034</v>
      </c>
      <c r="AN56" s="49" t="n">
        <v>83.9</v>
      </c>
      <c r="AO56" s="52"/>
      <c r="AP56" s="52"/>
      <c r="AQ56" s="52"/>
      <c r="AR56" s="52"/>
      <c r="AS56" s="53"/>
      <c r="AT56" s="53" t="n">
        <f aca="false">Table2[[#This Row],[Object_A_._head_time]]+Table2[[#This Row],[Object_B_._head_time]]</f>
        <v>21</v>
      </c>
      <c r="AU56" s="53" t="n">
        <f aca="false">Table2[[#This Row],[Object_B_._head_time]]-Table2[[#This Row],[Object_A_._head_time]]</f>
        <v>-8.8</v>
      </c>
      <c r="AV56" s="71" t="n">
        <f aca="false">Table2[[#This Row],[D1: Absolute discrimination measure (D1 = B2- A2)]]/Table2[[#This Row],[E2: total exploration time in second trial E2 ( E2 = A2 + B2)]]</f>
        <v>-0.419047619047619</v>
      </c>
      <c r="AW56" s="52" t="n">
        <f aca="false">(W56/AT56)</f>
        <v>0.29047619047619</v>
      </c>
      <c r="AX56" s="56"/>
      <c r="AY56" s="57" t="s">
        <v>79</v>
      </c>
      <c r="AZ56" s="57" t="s">
        <v>123</v>
      </c>
      <c r="BA56" s="57" t="s">
        <v>93</v>
      </c>
      <c r="BB56" s="58" t="n">
        <v>78</v>
      </c>
      <c r="BC56" s="59" t="n">
        <v>2.6</v>
      </c>
      <c r="BD56" s="57" t="s">
        <v>67</v>
      </c>
      <c r="BE56" s="57" t="n">
        <v>4</v>
      </c>
      <c r="BF56" s="61" t="s">
        <v>120</v>
      </c>
    </row>
    <row r="57" customFormat="false" ht="12" hidden="false" customHeight="true" outlineLevel="0" collapsed="false">
      <c r="A57" s="47" t="n">
        <v>93</v>
      </c>
      <c r="B57" s="48" t="s">
        <v>124</v>
      </c>
      <c r="C57" s="48" t="s">
        <v>172</v>
      </c>
      <c r="D57" s="48" t="s">
        <v>73</v>
      </c>
      <c r="E57" s="48" t="s">
        <v>61</v>
      </c>
      <c r="F57" s="48" t="s">
        <v>193</v>
      </c>
      <c r="G57" s="48" t="s">
        <v>196</v>
      </c>
      <c r="H57" s="49" t="n">
        <v>360</v>
      </c>
      <c r="I57" s="50" t="n">
        <v>14.974</v>
      </c>
      <c r="J57" s="50" t="n">
        <v>0.042</v>
      </c>
      <c r="K57" s="50" t="n">
        <v>0.352</v>
      </c>
      <c r="L57" s="49" t="n">
        <v>87.4</v>
      </c>
      <c r="M57" s="51" t="n">
        <v>13</v>
      </c>
      <c r="N57" s="49" t="n">
        <v>7.1</v>
      </c>
      <c r="O57" s="50" t="n">
        <v>0.186</v>
      </c>
      <c r="P57" s="50" t="n">
        <v>0.026</v>
      </c>
      <c r="Q57" s="50" t="n">
        <v>0.254</v>
      </c>
      <c r="R57" s="49" t="n">
        <v>3</v>
      </c>
      <c r="S57" s="51" t="n">
        <v>530</v>
      </c>
      <c r="T57" s="49" t="n">
        <v>0</v>
      </c>
      <c r="U57" s="49" t="n">
        <v>5.9</v>
      </c>
      <c r="V57" s="51" t="n">
        <v>12</v>
      </c>
      <c r="W57" s="49" t="n">
        <v>8.8</v>
      </c>
      <c r="X57" s="50" t="n">
        <v>0.337</v>
      </c>
      <c r="Y57" s="50" t="n">
        <v>0.038</v>
      </c>
      <c r="Z57" s="50" t="n">
        <v>0.274</v>
      </c>
      <c r="AA57" s="49" t="n">
        <v>1.7</v>
      </c>
      <c r="AB57" s="51" t="n">
        <v>719</v>
      </c>
      <c r="AC57" s="49" t="n">
        <v>0</v>
      </c>
      <c r="AD57" s="49" t="n">
        <v>4.9</v>
      </c>
      <c r="AE57" s="51" t="n">
        <v>2</v>
      </c>
      <c r="AF57" s="49" t="n">
        <v>2.1</v>
      </c>
      <c r="AG57" s="50" t="n">
        <v>0.329</v>
      </c>
      <c r="AH57" s="50" t="n">
        <v>0.155</v>
      </c>
      <c r="AI57" s="49" t="n">
        <v>0</v>
      </c>
      <c r="AJ57" s="51" t="n">
        <v>3</v>
      </c>
      <c r="AK57" s="49" t="n">
        <v>357.9</v>
      </c>
      <c r="AL57" s="50" t="n">
        <v>14.645</v>
      </c>
      <c r="AM57" s="50" t="n">
        <v>0.041</v>
      </c>
      <c r="AN57" s="49" t="n">
        <v>87.4</v>
      </c>
      <c r="AO57" s="52"/>
      <c r="AP57" s="52"/>
      <c r="AQ57" s="52"/>
      <c r="AR57" s="52"/>
      <c r="AS57" s="53"/>
      <c r="AT57" s="53" t="n">
        <f aca="false">Table2[[#This Row],[Object_A_._head_time]]+Table2[[#This Row],[Object_B_._head_time]]</f>
        <v>15.9</v>
      </c>
      <c r="AU57" s="53" t="n">
        <f aca="false">Table2[[#This Row],[Object_B_._head_time]]-Table2[[#This Row],[Object_A_._head_time]]</f>
        <v>1.7</v>
      </c>
      <c r="AV57" s="71" t="n">
        <f aca="false">Table2[[#This Row],[D1: Absolute discrimination measure (D1 = B2- A2)]]/Table2[[#This Row],[E2: total exploration time in second trial E2 ( E2 = A2 + B2)]]</f>
        <v>0.106918238993711</v>
      </c>
      <c r="AW57" s="52" t="n">
        <f aca="false">(W57/AT57)</f>
        <v>0.553459119496855</v>
      </c>
      <c r="AX57" s="56"/>
      <c r="AY57" s="57" t="s">
        <v>64</v>
      </c>
      <c r="AZ57" s="57" t="s">
        <v>105</v>
      </c>
      <c r="BA57" s="57" t="s">
        <v>66</v>
      </c>
      <c r="BB57" s="58" t="n">
        <v>60</v>
      </c>
      <c r="BC57" s="59" t="n">
        <v>2</v>
      </c>
      <c r="BD57" s="60" t="s">
        <v>80</v>
      </c>
      <c r="BE57" s="57" t="n">
        <v>5</v>
      </c>
      <c r="BF57" s="61"/>
    </row>
    <row r="58" customFormat="false" ht="12" hidden="false" customHeight="true" outlineLevel="0" collapsed="false">
      <c r="A58" s="47" t="n">
        <v>94</v>
      </c>
      <c r="B58" s="48" t="s">
        <v>126</v>
      </c>
      <c r="C58" s="48" t="s">
        <v>172</v>
      </c>
      <c r="D58" s="48" t="s">
        <v>77</v>
      </c>
      <c r="E58" s="48" t="s">
        <v>61</v>
      </c>
      <c r="F58" s="48" t="s">
        <v>197</v>
      </c>
      <c r="G58" s="48" t="s">
        <v>198</v>
      </c>
      <c r="H58" s="49" t="n">
        <v>360</v>
      </c>
      <c r="I58" s="50" t="n">
        <v>6.893</v>
      </c>
      <c r="J58" s="50" t="n">
        <v>0.019</v>
      </c>
      <c r="K58" s="50" t="n">
        <v>0.302</v>
      </c>
      <c r="L58" s="49" t="n">
        <v>145.4</v>
      </c>
      <c r="M58" s="51" t="n">
        <v>5</v>
      </c>
      <c r="N58" s="49" t="n">
        <v>3.2</v>
      </c>
      <c r="O58" s="50" t="n">
        <v>0.229</v>
      </c>
      <c r="P58" s="50" t="n">
        <v>0.071</v>
      </c>
      <c r="Q58" s="50" t="n">
        <v>0.183</v>
      </c>
      <c r="R58" s="49" t="n">
        <v>1.3</v>
      </c>
      <c r="S58" s="51" t="n">
        <v>126</v>
      </c>
      <c r="T58" s="49" t="n">
        <v>0</v>
      </c>
      <c r="U58" s="49" t="n">
        <v>3.1</v>
      </c>
      <c r="V58" s="51" t="n">
        <v>4</v>
      </c>
      <c r="W58" s="49" t="n">
        <v>3</v>
      </c>
      <c r="X58" s="50" t="n">
        <v>0.145</v>
      </c>
      <c r="Y58" s="50" t="n">
        <v>0.048</v>
      </c>
      <c r="Z58" s="50" t="n">
        <v>0.164</v>
      </c>
      <c r="AA58" s="49" t="n">
        <v>2.7</v>
      </c>
      <c r="AB58" s="51" t="n">
        <v>111</v>
      </c>
      <c r="AC58" s="49" t="n">
        <v>0</v>
      </c>
      <c r="AD58" s="49" t="n">
        <v>3</v>
      </c>
      <c r="AE58" s="51" t="n">
        <v>1</v>
      </c>
      <c r="AF58" s="49" t="n">
        <v>0.9</v>
      </c>
      <c r="AG58" s="50" t="n">
        <v>0.028</v>
      </c>
      <c r="AH58" s="50" t="n">
        <v>0.033</v>
      </c>
      <c r="AI58" s="49" t="n">
        <v>0</v>
      </c>
      <c r="AJ58" s="51" t="n">
        <v>2</v>
      </c>
      <c r="AK58" s="49" t="n">
        <v>359.1</v>
      </c>
      <c r="AL58" s="50" t="n">
        <v>6.865</v>
      </c>
      <c r="AM58" s="50" t="n">
        <v>0.019</v>
      </c>
      <c r="AN58" s="49" t="n">
        <v>145.4</v>
      </c>
      <c r="AO58" s="52"/>
      <c r="AP58" s="52"/>
      <c r="AQ58" s="52"/>
      <c r="AR58" s="52"/>
      <c r="AS58" s="53"/>
      <c r="AT58" s="53" t="n">
        <f aca="false">Table2[[#This Row],[Object_A_._head_time]]+Table2[[#This Row],[Object_B_._head_time]]</f>
        <v>6.2</v>
      </c>
      <c r="AU58" s="53" t="n">
        <f aca="false">Table2[[#This Row],[Object_B_._head_time]]-Table2[[#This Row],[Object_A_._head_time]]</f>
        <v>-0.2</v>
      </c>
      <c r="AV58" s="71" t="n">
        <f aca="false">Table2[[#This Row],[D1: Absolute discrimination measure (D1 = B2- A2)]]/Table2[[#This Row],[E2: total exploration time in second trial E2 ( E2 = A2 + B2)]]</f>
        <v>-0.0322580645161291</v>
      </c>
      <c r="AW58" s="52" t="n">
        <f aca="false">(W58/AT58)</f>
        <v>0.483870967741935</v>
      </c>
      <c r="AX58" s="56"/>
      <c r="AY58" s="57" t="s">
        <v>64</v>
      </c>
      <c r="AZ58" s="57" t="s">
        <v>105</v>
      </c>
      <c r="BA58" s="57" t="s">
        <v>66</v>
      </c>
      <c r="BB58" s="58" t="n">
        <v>58</v>
      </c>
      <c r="BC58" s="59" t="n">
        <v>1.93333333333333</v>
      </c>
      <c r="BD58" s="60" t="s">
        <v>67</v>
      </c>
      <c r="BE58" s="57" t="n">
        <v>6</v>
      </c>
      <c r="BF58" s="61" t="s">
        <v>94</v>
      </c>
    </row>
    <row r="59" customFormat="false" ht="12" hidden="false" customHeight="true" outlineLevel="0" collapsed="false">
      <c r="A59" s="47" t="n">
        <v>96</v>
      </c>
      <c r="B59" s="48" t="s">
        <v>128</v>
      </c>
      <c r="C59" s="48" t="s">
        <v>172</v>
      </c>
      <c r="D59" s="48" t="s">
        <v>60</v>
      </c>
      <c r="E59" s="48" t="s">
        <v>61</v>
      </c>
      <c r="F59" s="48" t="s">
        <v>199</v>
      </c>
      <c r="G59" s="48" t="s">
        <v>200</v>
      </c>
      <c r="H59" s="49" t="n">
        <v>360</v>
      </c>
      <c r="I59" s="50" t="n">
        <v>7.953</v>
      </c>
      <c r="J59" s="50" t="n">
        <v>0.022</v>
      </c>
      <c r="K59" s="50" t="n">
        <v>0.244</v>
      </c>
      <c r="L59" s="49" t="n">
        <v>116.6</v>
      </c>
      <c r="M59" s="51" t="n">
        <v>6</v>
      </c>
      <c r="N59" s="49" t="n">
        <v>4</v>
      </c>
      <c r="O59" s="50" t="n">
        <v>0.162</v>
      </c>
      <c r="P59" s="50" t="n">
        <v>0.04</v>
      </c>
      <c r="Q59" s="50" t="n">
        <v>0.198</v>
      </c>
      <c r="R59" s="49" t="n">
        <v>3.1</v>
      </c>
      <c r="S59" s="51" t="n">
        <v>209</v>
      </c>
      <c r="T59" s="49" t="n">
        <v>0</v>
      </c>
      <c r="U59" s="49" t="n">
        <v>3.6</v>
      </c>
      <c r="V59" s="51" t="n">
        <v>4</v>
      </c>
      <c r="W59" s="49" t="n">
        <v>3.6</v>
      </c>
      <c r="X59" s="50" t="n">
        <v>0.061</v>
      </c>
      <c r="Y59" s="50" t="n">
        <v>0.017</v>
      </c>
      <c r="Z59" s="50" t="n">
        <v>0.081</v>
      </c>
      <c r="AA59" s="49" t="n">
        <v>3.3</v>
      </c>
      <c r="AB59" s="51" t="n">
        <v>219</v>
      </c>
      <c r="AC59" s="49" t="n">
        <v>0</v>
      </c>
      <c r="AD59" s="49" t="n">
        <v>3.6</v>
      </c>
      <c r="AE59" s="51" t="n">
        <v>1</v>
      </c>
      <c r="AF59" s="49" t="n">
        <v>3.6</v>
      </c>
      <c r="AG59" s="50" t="n">
        <v>0.102</v>
      </c>
      <c r="AH59" s="50" t="n">
        <v>0.028</v>
      </c>
      <c r="AI59" s="49" t="n">
        <v>0</v>
      </c>
      <c r="AJ59" s="51" t="n">
        <v>2</v>
      </c>
      <c r="AK59" s="49" t="n">
        <v>356.4</v>
      </c>
      <c r="AL59" s="50" t="n">
        <v>7.851</v>
      </c>
      <c r="AM59" s="50" t="n">
        <v>0.022</v>
      </c>
      <c r="AN59" s="49" t="n">
        <v>116.6</v>
      </c>
      <c r="AO59" s="52"/>
      <c r="AP59" s="52"/>
      <c r="AQ59" s="52"/>
      <c r="AR59" s="52"/>
      <c r="AS59" s="53"/>
      <c r="AT59" s="53" t="n">
        <f aca="false">Table2[[#This Row],[Object_A_._head_time]]+Table2[[#This Row],[Object_B_._head_time]]</f>
        <v>7.6</v>
      </c>
      <c r="AU59" s="53" t="n">
        <f aca="false">Table2[[#This Row],[Object_B_._head_time]]-Table2[[#This Row],[Object_A_._head_time]]</f>
        <v>-0.4</v>
      </c>
      <c r="AV59" s="71" t="n">
        <f aca="false">Table2[[#This Row],[D1: Absolute discrimination measure (D1 = B2- A2)]]/Table2[[#This Row],[E2: total exploration time in second trial E2 ( E2 = A2 + B2)]]</f>
        <v>-0.0526315789473684</v>
      </c>
      <c r="AW59" s="52" t="n">
        <f aca="false">(W59/AT59)</f>
        <v>0.473684210526316</v>
      </c>
      <c r="AX59" s="56"/>
      <c r="AY59" s="57" t="s">
        <v>64</v>
      </c>
      <c r="AZ59" s="57" t="s">
        <v>131</v>
      </c>
      <c r="BA59" s="57" t="s">
        <v>93</v>
      </c>
      <c r="BB59" s="58" t="n">
        <v>55</v>
      </c>
      <c r="BC59" s="59" t="n">
        <v>1.83333333333333</v>
      </c>
      <c r="BD59" s="60" t="s">
        <v>67</v>
      </c>
      <c r="BE59" s="57" t="n">
        <v>8</v>
      </c>
      <c r="BF59" s="61"/>
    </row>
    <row r="60" customFormat="false" ht="12" hidden="false" customHeight="true" outlineLevel="0" collapsed="false">
      <c r="A60" s="47" t="n">
        <v>95</v>
      </c>
      <c r="B60" s="48" t="s">
        <v>132</v>
      </c>
      <c r="C60" s="48" t="s">
        <v>172</v>
      </c>
      <c r="D60" s="48" t="s">
        <v>70</v>
      </c>
      <c r="E60" s="48" t="s">
        <v>61</v>
      </c>
      <c r="F60" s="48" t="s">
        <v>199</v>
      </c>
      <c r="G60" s="48" t="s">
        <v>201</v>
      </c>
      <c r="H60" s="49" t="n">
        <v>360</v>
      </c>
      <c r="I60" s="50" t="n">
        <v>6.337</v>
      </c>
      <c r="J60" s="50" t="n">
        <v>0.018</v>
      </c>
      <c r="K60" s="50" t="n">
        <v>0.254</v>
      </c>
      <c r="L60" s="49" t="n">
        <v>186.6</v>
      </c>
      <c r="M60" s="51" t="n">
        <v>6</v>
      </c>
      <c r="N60" s="49" t="n">
        <v>8.4</v>
      </c>
      <c r="O60" s="50" t="n">
        <v>0.324</v>
      </c>
      <c r="P60" s="50" t="n">
        <v>0.039</v>
      </c>
      <c r="Q60" s="50" t="n">
        <v>0.142</v>
      </c>
      <c r="R60" s="49" t="n">
        <v>3.3</v>
      </c>
      <c r="S60" s="51" t="n">
        <v>630</v>
      </c>
      <c r="T60" s="49" t="n">
        <v>0</v>
      </c>
      <c r="U60" s="49" t="n">
        <v>2.5</v>
      </c>
      <c r="V60" s="51" t="n">
        <v>11</v>
      </c>
      <c r="W60" s="49" t="n">
        <v>38.2</v>
      </c>
      <c r="X60" s="50" t="n">
        <v>0.68</v>
      </c>
      <c r="Y60" s="50" t="n">
        <v>0.018</v>
      </c>
      <c r="Z60" s="50" t="n">
        <v>0.165</v>
      </c>
      <c r="AA60" s="49" t="n">
        <v>12.9</v>
      </c>
      <c r="AB60" s="51" t="n">
        <v>2097</v>
      </c>
      <c r="AC60" s="49" t="n">
        <v>1.2</v>
      </c>
      <c r="AD60" s="49" t="n">
        <v>8.9</v>
      </c>
      <c r="AE60" s="51" t="n">
        <v>9</v>
      </c>
      <c r="AF60" s="49" t="n">
        <v>14.8</v>
      </c>
      <c r="AG60" s="50" t="n">
        <v>0.743</v>
      </c>
      <c r="AH60" s="50" t="n">
        <v>0.05</v>
      </c>
      <c r="AI60" s="49" t="n">
        <v>1.2</v>
      </c>
      <c r="AJ60" s="51" t="n">
        <v>10</v>
      </c>
      <c r="AK60" s="49" t="n">
        <v>345.2</v>
      </c>
      <c r="AL60" s="50" t="n">
        <v>5.594</v>
      </c>
      <c r="AM60" s="50" t="n">
        <v>0.016</v>
      </c>
      <c r="AN60" s="49" t="n">
        <v>185.4</v>
      </c>
      <c r="AO60" s="52"/>
      <c r="AP60" s="52"/>
      <c r="AQ60" s="52"/>
      <c r="AR60" s="52"/>
      <c r="AS60" s="53"/>
      <c r="AT60" s="53" t="n">
        <f aca="false">Table2[[#This Row],[Object_A_._head_time]]+Table2[[#This Row],[Object_B_._head_time]]</f>
        <v>46.6</v>
      </c>
      <c r="AU60" s="53" t="n">
        <f aca="false">Table2[[#This Row],[Object_B_._head_time]]-Table2[[#This Row],[Object_A_._head_time]]</f>
        <v>29.8</v>
      </c>
      <c r="AV60" s="71" t="n">
        <f aca="false">Table2[[#This Row],[D1: Absolute discrimination measure (D1 = B2- A2)]]/Table2[[#This Row],[E2: total exploration time in second trial E2 ( E2 = A2 + B2)]]</f>
        <v>0.639484978540773</v>
      </c>
      <c r="AW60" s="52" t="n">
        <f aca="false">(W60/AT60)</f>
        <v>0.819742489270386</v>
      </c>
      <c r="AX60" s="56"/>
      <c r="AY60" s="57" t="s">
        <v>64</v>
      </c>
      <c r="AZ60" s="57" t="s">
        <v>131</v>
      </c>
      <c r="BA60" s="57" t="s">
        <v>93</v>
      </c>
      <c r="BB60" s="58" t="n">
        <v>55</v>
      </c>
      <c r="BC60" s="59" t="n">
        <v>1.83333333333333</v>
      </c>
      <c r="BD60" s="60" t="s">
        <v>80</v>
      </c>
      <c r="BE60" s="57" t="n">
        <v>7</v>
      </c>
      <c r="BF60" s="61"/>
    </row>
    <row r="61" customFormat="false" ht="12" hidden="false" customHeight="true" outlineLevel="0" collapsed="false">
      <c r="A61" s="47" t="n">
        <v>97</v>
      </c>
      <c r="B61" s="48" t="s">
        <v>134</v>
      </c>
      <c r="C61" s="48" t="s">
        <v>172</v>
      </c>
      <c r="D61" s="48" t="s">
        <v>73</v>
      </c>
      <c r="E61" s="48" t="s">
        <v>61</v>
      </c>
      <c r="F61" s="48" t="s">
        <v>202</v>
      </c>
      <c r="G61" s="48" t="s">
        <v>203</v>
      </c>
      <c r="H61" s="49" t="n">
        <v>360</v>
      </c>
      <c r="I61" s="50" t="n">
        <v>8.289</v>
      </c>
      <c r="J61" s="50" t="n">
        <v>0.023</v>
      </c>
      <c r="K61" s="50" t="n">
        <v>0.287</v>
      </c>
      <c r="L61" s="49" t="n">
        <v>200</v>
      </c>
      <c r="M61" s="51" t="n">
        <v>10</v>
      </c>
      <c r="N61" s="49" t="n">
        <v>8.3</v>
      </c>
      <c r="O61" s="50" t="n">
        <v>0.335</v>
      </c>
      <c r="P61" s="50" t="n">
        <v>0.041</v>
      </c>
      <c r="Q61" s="50" t="n">
        <v>0.18</v>
      </c>
      <c r="R61" s="49" t="n">
        <v>4.3</v>
      </c>
      <c r="S61" s="51" t="n">
        <v>665</v>
      </c>
      <c r="T61" s="49" t="n">
        <v>0</v>
      </c>
      <c r="U61" s="49" t="n">
        <v>5</v>
      </c>
      <c r="V61" s="51" t="n">
        <v>11</v>
      </c>
      <c r="W61" s="49" t="n">
        <v>7.9</v>
      </c>
      <c r="X61" s="50" t="n">
        <v>0.35</v>
      </c>
      <c r="Y61" s="50" t="n">
        <v>0.044</v>
      </c>
      <c r="Z61" s="50" t="n">
        <v>0.189</v>
      </c>
      <c r="AA61" s="49" t="n">
        <v>4.5</v>
      </c>
      <c r="AB61" s="51" t="n">
        <v>633</v>
      </c>
      <c r="AC61" s="49" t="n">
        <v>0</v>
      </c>
      <c r="AD61" s="49" t="n">
        <v>3.8</v>
      </c>
      <c r="AE61" s="51" t="n">
        <v>5</v>
      </c>
      <c r="AF61" s="49" t="n">
        <v>8.1</v>
      </c>
      <c r="AG61" s="50" t="n">
        <v>0.773</v>
      </c>
      <c r="AH61" s="50" t="n">
        <v>0.096</v>
      </c>
      <c r="AI61" s="49" t="n">
        <v>0</v>
      </c>
      <c r="AJ61" s="51" t="n">
        <v>6</v>
      </c>
      <c r="AK61" s="49" t="n">
        <v>351.9</v>
      </c>
      <c r="AL61" s="50" t="n">
        <v>7.515</v>
      </c>
      <c r="AM61" s="50" t="n">
        <v>0.021</v>
      </c>
      <c r="AN61" s="49" t="n">
        <v>200</v>
      </c>
      <c r="AO61" s="52"/>
      <c r="AP61" s="52"/>
      <c r="AQ61" s="52"/>
      <c r="AR61" s="52"/>
      <c r="AS61" s="53"/>
      <c r="AT61" s="53" t="n">
        <f aca="false">Table2[[#This Row],[Object_A_._head_time]]+Table2[[#This Row],[Object_B_._head_time]]</f>
        <v>16.2</v>
      </c>
      <c r="AU61" s="53" t="n">
        <f aca="false">Table2[[#This Row],[Object_B_._head_time]]-Table2[[#This Row],[Object_A_._head_time]]</f>
        <v>-0.4</v>
      </c>
      <c r="AV61" s="71" t="n">
        <f aca="false">Table2[[#This Row],[D1: Absolute discrimination measure (D1 = B2- A2)]]/Table2[[#This Row],[E2: total exploration time in second trial E2 ( E2 = A2 + B2)]]</f>
        <v>-0.0246913580246914</v>
      </c>
      <c r="AW61" s="52" t="n">
        <f aca="false">(W61/AT61)</f>
        <v>0.487654320987654</v>
      </c>
      <c r="AX61" s="56"/>
      <c r="AY61" s="57" t="s">
        <v>64</v>
      </c>
      <c r="AZ61" s="57" t="s">
        <v>131</v>
      </c>
      <c r="BA61" s="57" t="s">
        <v>93</v>
      </c>
      <c r="BB61" s="58" t="n">
        <v>55</v>
      </c>
      <c r="BC61" s="59" t="n">
        <v>1.83333333333333</v>
      </c>
      <c r="BD61" s="60" t="s">
        <v>67</v>
      </c>
      <c r="BE61" s="57" t="n">
        <v>8</v>
      </c>
      <c r="BF61" s="61"/>
    </row>
    <row r="62" customFormat="false" ht="12" hidden="false" customHeight="true" outlineLevel="0" collapsed="false">
      <c r="A62" s="47" t="n">
        <v>98</v>
      </c>
      <c r="B62" s="48" t="s">
        <v>137</v>
      </c>
      <c r="C62" s="48" t="s">
        <v>172</v>
      </c>
      <c r="D62" s="48" t="s">
        <v>77</v>
      </c>
      <c r="E62" s="48" t="s">
        <v>61</v>
      </c>
      <c r="F62" s="48" t="s">
        <v>202</v>
      </c>
      <c r="G62" s="48" t="s">
        <v>204</v>
      </c>
      <c r="H62" s="49" t="n">
        <v>360</v>
      </c>
      <c r="I62" s="50" t="n">
        <v>12.206</v>
      </c>
      <c r="J62" s="50" t="n">
        <v>0.034</v>
      </c>
      <c r="K62" s="50" t="n">
        <v>0.275</v>
      </c>
      <c r="L62" s="49" t="n">
        <v>122.5</v>
      </c>
      <c r="M62" s="51" t="n">
        <v>24</v>
      </c>
      <c r="N62" s="49" t="n">
        <v>14.6</v>
      </c>
      <c r="O62" s="50" t="n">
        <v>0.914</v>
      </c>
      <c r="P62" s="50" t="n">
        <v>0.063</v>
      </c>
      <c r="Q62" s="50" t="n">
        <v>0.275</v>
      </c>
      <c r="R62" s="49" t="n">
        <v>4.9</v>
      </c>
      <c r="S62" s="51" t="n">
        <v>1164</v>
      </c>
      <c r="T62" s="49" t="n">
        <v>1.5</v>
      </c>
      <c r="U62" s="49" t="n">
        <v>8.9</v>
      </c>
      <c r="V62" s="51" t="n">
        <v>10</v>
      </c>
      <c r="W62" s="49" t="n">
        <v>10.2</v>
      </c>
      <c r="X62" s="50" t="n">
        <v>0.248</v>
      </c>
      <c r="Y62" s="50" t="n">
        <v>0.024</v>
      </c>
      <c r="Z62" s="50" t="n">
        <v>0.213</v>
      </c>
      <c r="AA62" s="49" t="n">
        <v>8.5</v>
      </c>
      <c r="AB62" s="51" t="n">
        <v>689</v>
      </c>
      <c r="AC62" s="49" t="n">
        <v>0</v>
      </c>
      <c r="AD62" s="49" t="n">
        <v>8</v>
      </c>
      <c r="AE62" s="51" t="n">
        <v>7</v>
      </c>
      <c r="AF62" s="49" t="n">
        <v>8</v>
      </c>
      <c r="AG62" s="50" t="n">
        <v>0.736</v>
      </c>
      <c r="AH62" s="50" t="n">
        <v>0.092</v>
      </c>
      <c r="AI62" s="49" t="n">
        <v>0</v>
      </c>
      <c r="AJ62" s="51" t="n">
        <v>8</v>
      </c>
      <c r="AK62" s="49" t="n">
        <v>352</v>
      </c>
      <c r="AL62" s="50" t="n">
        <v>11.47</v>
      </c>
      <c r="AM62" s="50" t="n">
        <v>0.033</v>
      </c>
      <c r="AN62" s="49" t="n">
        <v>122.5</v>
      </c>
      <c r="AO62" s="52"/>
      <c r="AP62" s="52"/>
      <c r="AQ62" s="52"/>
      <c r="AR62" s="52"/>
      <c r="AS62" s="53"/>
      <c r="AT62" s="53" t="n">
        <f aca="false">Table2[[#This Row],[Object_A_._head_time]]+Table2[[#This Row],[Object_B_._head_time]]</f>
        <v>24.8</v>
      </c>
      <c r="AU62" s="53" t="n">
        <f aca="false">Table2[[#This Row],[Object_B_._head_time]]-Table2[[#This Row],[Object_A_._head_time]]</f>
        <v>-4.4</v>
      </c>
      <c r="AV62" s="71" t="n">
        <f aca="false">Table2[[#This Row],[D1: Absolute discrimination measure (D1 = B2- A2)]]/Table2[[#This Row],[E2: total exploration time in second trial E2 ( E2 = A2 + B2)]]</f>
        <v>-0.17741935483871</v>
      </c>
      <c r="AW62" s="52" t="n">
        <f aca="false">(W62/AT62)</f>
        <v>0.411290322580645</v>
      </c>
      <c r="AX62" s="56"/>
      <c r="AY62" s="57" t="s">
        <v>79</v>
      </c>
      <c r="AZ62" s="57" t="s">
        <v>131</v>
      </c>
      <c r="BA62" s="57" t="s">
        <v>93</v>
      </c>
      <c r="BB62" s="58" t="n">
        <v>55</v>
      </c>
      <c r="BC62" s="59" t="n">
        <v>1.83333333333333</v>
      </c>
      <c r="BD62" s="60" t="s">
        <v>67</v>
      </c>
      <c r="BE62" s="57" t="n">
        <v>8</v>
      </c>
      <c r="BF62" s="61"/>
    </row>
    <row r="63" customFormat="false" ht="12" hidden="false" customHeight="true" outlineLevel="0" collapsed="false">
      <c r="A63" s="47" t="n">
        <v>100</v>
      </c>
      <c r="B63" s="48" t="s">
        <v>139</v>
      </c>
      <c r="C63" s="48" t="s">
        <v>172</v>
      </c>
      <c r="D63" s="48" t="s">
        <v>60</v>
      </c>
      <c r="E63" s="48" t="s">
        <v>61</v>
      </c>
      <c r="F63" s="48" t="s">
        <v>205</v>
      </c>
      <c r="G63" s="48" t="s">
        <v>206</v>
      </c>
      <c r="H63" s="49" t="n">
        <v>360</v>
      </c>
      <c r="I63" s="50" t="n">
        <v>16.073</v>
      </c>
      <c r="J63" s="50" t="n">
        <v>0.045</v>
      </c>
      <c r="K63" s="50" t="n">
        <v>0.302</v>
      </c>
      <c r="L63" s="49" t="n">
        <v>20.2</v>
      </c>
      <c r="M63" s="51" t="n">
        <v>20</v>
      </c>
      <c r="N63" s="49" t="n">
        <v>30.7</v>
      </c>
      <c r="O63" s="50" t="n">
        <v>1.581</v>
      </c>
      <c r="P63" s="50" t="n">
        <v>0.052</v>
      </c>
      <c r="Q63" s="50" t="n">
        <v>0.237</v>
      </c>
      <c r="R63" s="49" t="n">
        <v>1.3</v>
      </c>
      <c r="S63" s="51" t="n">
        <v>2248</v>
      </c>
      <c r="T63" s="49" t="n">
        <v>1.2</v>
      </c>
      <c r="U63" s="49" t="n">
        <v>8.9</v>
      </c>
      <c r="V63" s="51" t="n">
        <v>36</v>
      </c>
      <c r="W63" s="49" t="n">
        <v>72.2</v>
      </c>
      <c r="X63" s="50" t="n">
        <v>3.24</v>
      </c>
      <c r="Y63" s="50" t="n">
        <v>0.045</v>
      </c>
      <c r="Z63" s="50" t="n">
        <v>0.259</v>
      </c>
      <c r="AA63" s="49" t="n">
        <v>12.1</v>
      </c>
      <c r="AB63" s="51" t="n">
        <v>4719</v>
      </c>
      <c r="AC63" s="49" t="n">
        <v>1.3</v>
      </c>
      <c r="AD63" s="49" t="n">
        <v>8.5</v>
      </c>
      <c r="AE63" s="51" t="n">
        <v>18</v>
      </c>
      <c r="AF63" s="49" t="n">
        <v>27.6</v>
      </c>
      <c r="AG63" s="50" t="n">
        <v>2.281</v>
      </c>
      <c r="AH63" s="50" t="n">
        <v>0.083</v>
      </c>
      <c r="AI63" s="49" t="n">
        <v>1.3</v>
      </c>
      <c r="AJ63" s="51" t="n">
        <v>19</v>
      </c>
      <c r="AK63" s="49" t="n">
        <v>332.4</v>
      </c>
      <c r="AL63" s="50" t="n">
        <v>13.792</v>
      </c>
      <c r="AM63" s="50" t="n">
        <v>0.041</v>
      </c>
      <c r="AN63" s="49" t="n">
        <v>19</v>
      </c>
      <c r="AO63" s="52"/>
      <c r="AP63" s="52"/>
      <c r="AQ63" s="52"/>
      <c r="AR63" s="52"/>
      <c r="AS63" s="53"/>
      <c r="AT63" s="53" t="n">
        <f aca="false">Table2[[#This Row],[Object_A_._head_time]]+Table2[[#This Row],[Object_B_._head_time]]</f>
        <v>102.9</v>
      </c>
      <c r="AU63" s="53" t="n">
        <f aca="false">Table2[[#This Row],[Object_B_._head_time]]-Table2[[#This Row],[Object_A_._head_time]]</f>
        <v>41.5</v>
      </c>
      <c r="AV63" s="71" t="n">
        <f aca="false">Table2[[#This Row],[D1: Absolute discrimination measure (D1 = B2- A2)]]/Table2[[#This Row],[E2: total exploration time in second trial E2 ( E2 = A2 + B2)]]</f>
        <v>0.403304178814383</v>
      </c>
      <c r="AW63" s="52" t="n">
        <f aca="false">(W63/AT63)</f>
        <v>0.701652089407191</v>
      </c>
      <c r="AX63" s="56"/>
      <c r="AY63" s="57" t="s">
        <v>79</v>
      </c>
      <c r="AZ63" s="57" t="s">
        <v>119</v>
      </c>
      <c r="BA63" s="57" t="s">
        <v>66</v>
      </c>
      <c r="BB63" s="58" t="n">
        <v>55</v>
      </c>
      <c r="BC63" s="59" t="n">
        <v>1.83333333333333</v>
      </c>
      <c r="BD63" s="60" t="s">
        <v>80</v>
      </c>
      <c r="BE63" s="57" t="n">
        <v>5</v>
      </c>
      <c r="BF63" s="61"/>
    </row>
    <row r="64" customFormat="false" ht="12" hidden="false" customHeight="true" outlineLevel="0" collapsed="false">
      <c r="A64" s="47" t="n">
        <v>99</v>
      </c>
      <c r="B64" s="48" t="s">
        <v>142</v>
      </c>
      <c r="C64" s="48" t="s">
        <v>172</v>
      </c>
      <c r="D64" s="48" t="s">
        <v>70</v>
      </c>
      <c r="E64" s="48" t="s">
        <v>61</v>
      </c>
      <c r="F64" s="48" t="s">
        <v>205</v>
      </c>
      <c r="G64" s="48" t="s">
        <v>207</v>
      </c>
      <c r="H64" s="49" t="n">
        <v>360</v>
      </c>
      <c r="I64" s="50" t="n">
        <v>12.872</v>
      </c>
      <c r="J64" s="50" t="n">
        <v>0.036</v>
      </c>
      <c r="K64" s="50" t="n">
        <v>0.324</v>
      </c>
      <c r="L64" s="49" t="n">
        <v>59.3</v>
      </c>
      <c r="M64" s="51" t="n">
        <v>11</v>
      </c>
      <c r="N64" s="49" t="n">
        <v>23.7</v>
      </c>
      <c r="O64" s="50" t="n">
        <v>1.264</v>
      </c>
      <c r="P64" s="50" t="n">
        <v>0.053</v>
      </c>
      <c r="Q64" s="50" t="n">
        <v>0.214</v>
      </c>
      <c r="R64" s="49" t="n">
        <v>5</v>
      </c>
      <c r="S64" s="51" t="n">
        <v>1754</v>
      </c>
      <c r="T64" s="49" t="n">
        <v>1.3</v>
      </c>
      <c r="U64" s="49" t="n">
        <v>2.4</v>
      </c>
      <c r="V64" s="51" t="n">
        <v>27</v>
      </c>
      <c r="W64" s="49" t="n">
        <v>44.9</v>
      </c>
      <c r="X64" s="50" t="n">
        <v>1.577</v>
      </c>
      <c r="Y64" s="50" t="n">
        <v>0.035</v>
      </c>
      <c r="Z64" s="50" t="n">
        <v>0.264</v>
      </c>
      <c r="AA64" s="49" t="n">
        <v>10.6</v>
      </c>
      <c r="AB64" s="51" t="n">
        <v>4197</v>
      </c>
      <c r="AC64" s="49" t="n">
        <v>2.7</v>
      </c>
      <c r="AD64" s="49" t="n">
        <v>5.4</v>
      </c>
      <c r="AE64" s="51" t="n">
        <v>12</v>
      </c>
      <c r="AF64" s="49" t="n">
        <v>19.1</v>
      </c>
      <c r="AG64" s="50" t="n">
        <v>1.487</v>
      </c>
      <c r="AH64" s="50" t="n">
        <v>0.078</v>
      </c>
      <c r="AI64" s="49" t="n">
        <v>0</v>
      </c>
      <c r="AJ64" s="51" t="n">
        <v>13</v>
      </c>
      <c r="AK64" s="49" t="n">
        <v>340.9</v>
      </c>
      <c r="AL64" s="50" t="n">
        <v>11.385</v>
      </c>
      <c r="AM64" s="50" t="n">
        <v>0.033</v>
      </c>
      <c r="AN64" s="49" t="n">
        <v>59.3</v>
      </c>
      <c r="AO64" s="52"/>
      <c r="AP64" s="52"/>
      <c r="AQ64" s="52"/>
      <c r="AR64" s="52"/>
      <c r="AS64" s="53"/>
      <c r="AT64" s="53" t="n">
        <f aca="false">Table2[[#This Row],[Object_A_._head_time]]+Table2[[#This Row],[Object_B_._head_time]]</f>
        <v>68.6</v>
      </c>
      <c r="AU64" s="53" t="n">
        <f aca="false">Table2[[#This Row],[Object_B_._head_time]]-Table2[[#This Row],[Object_A_._head_time]]</f>
        <v>21.2</v>
      </c>
      <c r="AV64" s="71" t="n">
        <f aca="false">Table2[[#This Row],[D1: Absolute discrimination measure (D1 = B2- A2)]]/Table2[[#This Row],[E2: total exploration time in second trial E2 ( E2 = A2 + B2)]]</f>
        <v>0.309037900874636</v>
      </c>
      <c r="AW64" s="52" t="n">
        <f aca="false">(W64/AT64)</f>
        <v>0.654518950437318</v>
      </c>
      <c r="AX64" s="56"/>
      <c r="AY64" s="57" t="s">
        <v>79</v>
      </c>
      <c r="AZ64" s="57" t="s">
        <v>131</v>
      </c>
      <c r="BA64" s="57" t="s">
        <v>93</v>
      </c>
      <c r="BB64" s="58" t="n">
        <v>55</v>
      </c>
      <c r="BC64" s="59" t="n">
        <v>1.83333333333333</v>
      </c>
      <c r="BD64" s="60" t="s">
        <v>80</v>
      </c>
      <c r="BE64" s="57" t="n">
        <v>7</v>
      </c>
      <c r="BF64" s="61"/>
    </row>
    <row r="65" customFormat="false" ht="12" hidden="false" customHeight="true" outlineLevel="0" collapsed="false">
      <c r="A65" s="47" t="n">
        <v>101</v>
      </c>
      <c r="B65" s="48" t="s">
        <v>144</v>
      </c>
      <c r="C65" s="48" t="s">
        <v>172</v>
      </c>
      <c r="D65" s="48" t="s">
        <v>73</v>
      </c>
      <c r="E65" s="48" t="s">
        <v>61</v>
      </c>
      <c r="F65" s="48" t="s">
        <v>208</v>
      </c>
      <c r="G65" s="48" t="s">
        <v>209</v>
      </c>
      <c r="H65" s="49" t="n">
        <v>360</v>
      </c>
      <c r="I65" s="50" t="n">
        <v>18.122</v>
      </c>
      <c r="J65" s="50" t="n">
        <v>0.05</v>
      </c>
      <c r="K65" s="50" t="n">
        <v>0.286</v>
      </c>
      <c r="L65" s="49" t="n">
        <v>14</v>
      </c>
      <c r="M65" s="51" t="n">
        <v>24</v>
      </c>
      <c r="N65" s="49" t="n">
        <v>40.1</v>
      </c>
      <c r="O65" s="50" t="n">
        <v>1.766</v>
      </c>
      <c r="P65" s="50" t="n">
        <v>0.044</v>
      </c>
      <c r="Q65" s="50" t="n">
        <v>0.246</v>
      </c>
      <c r="R65" s="49" t="n">
        <v>21.1</v>
      </c>
      <c r="S65" s="51" t="n">
        <v>2846</v>
      </c>
      <c r="T65" s="49" t="n">
        <v>3.6</v>
      </c>
      <c r="U65" s="49" t="n">
        <v>11.8</v>
      </c>
      <c r="V65" s="51" t="n">
        <v>27</v>
      </c>
      <c r="W65" s="49" t="n">
        <v>32.5</v>
      </c>
      <c r="X65" s="50" t="n">
        <v>2.1</v>
      </c>
      <c r="Y65" s="50" t="n">
        <v>0.065</v>
      </c>
      <c r="Z65" s="50" t="n">
        <v>0.235</v>
      </c>
      <c r="AA65" s="49" t="n">
        <v>8.9</v>
      </c>
      <c r="AB65" s="51" t="n">
        <v>2897</v>
      </c>
      <c r="AC65" s="49" t="n">
        <v>0</v>
      </c>
      <c r="AD65" s="49" t="n">
        <v>9.7</v>
      </c>
      <c r="AE65" s="51" t="n">
        <v>23</v>
      </c>
      <c r="AF65" s="49" t="n">
        <v>25.4</v>
      </c>
      <c r="AG65" s="50" t="n">
        <v>2.559</v>
      </c>
      <c r="AH65" s="50" t="n">
        <v>0.101</v>
      </c>
      <c r="AI65" s="49" t="n">
        <v>0</v>
      </c>
      <c r="AJ65" s="51" t="n">
        <v>24</v>
      </c>
      <c r="AK65" s="49" t="n">
        <v>334.6</v>
      </c>
      <c r="AL65" s="50" t="n">
        <v>15.564</v>
      </c>
      <c r="AM65" s="50" t="n">
        <v>0.047</v>
      </c>
      <c r="AN65" s="49" t="n">
        <v>14</v>
      </c>
      <c r="AO65" s="52"/>
      <c r="AP65" s="52"/>
      <c r="AQ65" s="52"/>
      <c r="AR65" s="52"/>
      <c r="AS65" s="53"/>
      <c r="AT65" s="53" t="n">
        <f aca="false">Table2[[#This Row],[Object_A_._head_time]]+Table2[[#This Row],[Object_B_._head_time]]</f>
        <v>72.6</v>
      </c>
      <c r="AU65" s="53" t="n">
        <f aca="false">Table2[[#This Row],[Object_B_._head_time]]-Table2[[#This Row],[Object_A_._head_time]]</f>
        <v>-7.6</v>
      </c>
      <c r="AV65" s="71" t="n">
        <f aca="false">Table2[[#This Row],[D1: Absolute discrimination measure (D1 = B2- A2)]]/Table2[[#This Row],[E2: total exploration time in second trial E2 ( E2 = A2 + B2)]]</f>
        <v>-0.104683195592287</v>
      </c>
      <c r="AW65" s="52" t="n">
        <f aca="false">(W65/AT65)</f>
        <v>0.447658402203857</v>
      </c>
      <c r="AX65" s="56"/>
      <c r="AY65" s="57" t="s">
        <v>79</v>
      </c>
      <c r="AZ65" s="57" t="s">
        <v>105</v>
      </c>
      <c r="BA65" s="57" t="s">
        <v>66</v>
      </c>
      <c r="BB65" s="58" t="n">
        <v>55</v>
      </c>
      <c r="BC65" s="59" t="n">
        <v>1.83333333333333</v>
      </c>
      <c r="BD65" s="60" t="s">
        <v>67</v>
      </c>
      <c r="BE65" s="57" t="n">
        <v>6</v>
      </c>
      <c r="BF65" s="61"/>
    </row>
    <row r="66" s="44" customFormat="true" ht="12" hidden="false" customHeight="true" outlineLevel="0" collapsed="false">
      <c r="A66" s="62" t="n">
        <v>102</v>
      </c>
      <c r="B66" s="63" t="s">
        <v>146</v>
      </c>
      <c r="C66" s="63" t="s">
        <v>172</v>
      </c>
      <c r="D66" s="63" t="s">
        <v>77</v>
      </c>
      <c r="E66" s="63" t="s">
        <v>61</v>
      </c>
      <c r="F66" s="63" t="s">
        <v>208</v>
      </c>
      <c r="G66" s="63" t="s">
        <v>210</v>
      </c>
      <c r="H66" s="64" t="n">
        <v>360</v>
      </c>
      <c r="I66" s="65" t="n">
        <v>8.716</v>
      </c>
      <c r="J66" s="65" t="n">
        <v>0.024</v>
      </c>
      <c r="K66" s="65" t="n">
        <v>0.224</v>
      </c>
      <c r="L66" s="64" t="n">
        <v>87.1</v>
      </c>
      <c r="M66" s="66" t="n">
        <v>23</v>
      </c>
      <c r="N66" s="64" t="n">
        <v>45.2</v>
      </c>
      <c r="O66" s="65" t="n">
        <v>0.686</v>
      </c>
      <c r="P66" s="65" t="n">
        <v>0.015</v>
      </c>
      <c r="Q66" s="65" t="n">
        <v>0.196</v>
      </c>
      <c r="R66" s="64" t="n">
        <v>2.9</v>
      </c>
      <c r="S66" s="66" t="n">
        <v>3321</v>
      </c>
      <c r="T66" s="64" t="n">
        <v>10.8</v>
      </c>
      <c r="U66" s="64" t="n">
        <v>3</v>
      </c>
      <c r="V66" s="66" t="n">
        <v>14</v>
      </c>
      <c r="W66" s="64" t="n">
        <v>20.6</v>
      </c>
      <c r="X66" s="65" t="n">
        <v>0.911</v>
      </c>
      <c r="Y66" s="65" t="n">
        <v>0.044</v>
      </c>
      <c r="Z66" s="65" t="n">
        <v>0.21</v>
      </c>
      <c r="AA66" s="64" t="n">
        <v>9.3</v>
      </c>
      <c r="AB66" s="66" t="n">
        <v>1436</v>
      </c>
      <c r="AC66" s="64" t="n">
        <v>1.4</v>
      </c>
      <c r="AD66" s="64" t="n">
        <v>8.9</v>
      </c>
      <c r="AE66" s="66" t="n">
        <v>8</v>
      </c>
      <c r="AF66" s="64" t="n">
        <v>13.7</v>
      </c>
      <c r="AG66" s="65" t="n">
        <v>0.847</v>
      </c>
      <c r="AH66" s="65" t="n">
        <v>0.062</v>
      </c>
      <c r="AI66" s="64" t="n">
        <v>1.8</v>
      </c>
      <c r="AJ66" s="66" t="n">
        <v>8</v>
      </c>
      <c r="AK66" s="64" t="n">
        <v>346.3</v>
      </c>
      <c r="AL66" s="65" t="n">
        <v>7.868</v>
      </c>
      <c r="AM66" s="65" t="n">
        <v>0.023</v>
      </c>
      <c r="AN66" s="64" t="n">
        <v>85.3</v>
      </c>
      <c r="AO66" s="67"/>
      <c r="AP66" s="67"/>
      <c r="AQ66" s="67"/>
      <c r="AR66" s="67"/>
      <c r="AS66" s="66"/>
      <c r="AT66" s="66" t="n">
        <f aca="false">Table2[[#This Row],[Object_A_._head_time]]+Table2[[#This Row],[Object_B_._head_time]]</f>
        <v>65.8</v>
      </c>
      <c r="AU66" s="66" t="n">
        <f aca="false">Table2[[#This Row],[Object_B_._head_time]]-Table2[[#This Row],[Object_A_._head_time]]</f>
        <v>-24.6</v>
      </c>
      <c r="AV66" s="64" t="n">
        <f aca="false">Table2[[#This Row],[D1: Absolute discrimination measure (D1 = B2- A2)]]/Table2[[#This Row],[E2: total exploration time in second trial E2 ( E2 = A2 + B2)]]</f>
        <v>-0.373860182370821</v>
      </c>
      <c r="AW66" s="52" t="n">
        <f aca="false">(W66/AT66)</f>
        <v>0.31306990881459</v>
      </c>
      <c r="AX66" s="67"/>
      <c r="AY66" s="63"/>
      <c r="AZ66" s="68" t="s">
        <v>131</v>
      </c>
      <c r="BA66" s="63" t="s">
        <v>93</v>
      </c>
      <c r="BB66" s="63" t="n">
        <v>56</v>
      </c>
      <c r="BC66" s="69" t="n">
        <v>1.86666666666667</v>
      </c>
      <c r="BD66" s="63"/>
      <c r="BE66" s="63"/>
      <c r="BF66" s="70"/>
    </row>
    <row r="67" customFormat="false" ht="12" hidden="false" customHeight="true" outlineLevel="0" collapsed="false">
      <c r="A67" s="47" t="n">
        <v>104</v>
      </c>
      <c r="B67" s="48" t="s">
        <v>149</v>
      </c>
      <c r="C67" s="48" t="s">
        <v>172</v>
      </c>
      <c r="D67" s="48" t="s">
        <v>60</v>
      </c>
      <c r="E67" s="48" t="s">
        <v>61</v>
      </c>
      <c r="F67" s="48" t="s">
        <v>211</v>
      </c>
      <c r="G67" s="48" t="s">
        <v>212</v>
      </c>
      <c r="H67" s="49" t="n">
        <v>360</v>
      </c>
      <c r="I67" s="50" t="n">
        <v>8.454</v>
      </c>
      <c r="J67" s="50" t="n">
        <v>0.023</v>
      </c>
      <c r="K67" s="50" t="n">
        <v>0.284</v>
      </c>
      <c r="L67" s="49" t="n">
        <v>35.5</v>
      </c>
      <c r="M67" s="51" t="n">
        <v>7</v>
      </c>
      <c r="N67" s="49" t="n">
        <v>9</v>
      </c>
      <c r="O67" s="50" t="n">
        <v>0.667</v>
      </c>
      <c r="P67" s="50" t="n">
        <v>0.074</v>
      </c>
      <c r="Q67" s="50" t="n">
        <v>0.237</v>
      </c>
      <c r="R67" s="49" t="n">
        <v>1.9</v>
      </c>
      <c r="S67" s="51" t="n">
        <v>634</v>
      </c>
      <c r="T67" s="49" t="n">
        <v>0</v>
      </c>
      <c r="U67" s="49" t="n">
        <v>1.7</v>
      </c>
      <c r="V67" s="51" t="n">
        <v>41</v>
      </c>
      <c r="W67" s="49" t="n">
        <v>72.1</v>
      </c>
      <c r="X67" s="50" t="n">
        <v>1.293</v>
      </c>
      <c r="Y67" s="50" t="n">
        <v>0.018</v>
      </c>
      <c r="Z67" s="50" t="n">
        <v>0.248</v>
      </c>
      <c r="AA67" s="49" t="n">
        <v>25.5</v>
      </c>
      <c r="AB67" s="51" t="n">
        <v>4351</v>
      </c>
      <c r="AC67" s="49" t="n">
        <v>3.5</v>
      </c>
      <c r="AD67" s="49" t="n">
        <v>22</v>
      </c>
      <c r="AE67" s="51" t="n">
        <v>12</v>
      </c>
      <c r="AF67" s="49" t="n">
        <v>52.8</v>
      </c>
      <c r="AG67" s="50" t="n">
        <v>1.419</v>
      </c>
      <c r="AH67" s="50" t="n">
        <v>0.027</v>
      </c>
      <c r="AI67" s="49" t="n">
        <v>3.5</v>
      </c>
      <c r="AJ67" s="51" t="n">
        <v>13</v>
      </c>
      <c r="AK67" s="49" t="n">
        <v>307.2</v>
      </c>
      <c r="AL67" s="50" t="n">
        <v>7.034</v>
      </c>
      <c r="AM67" s="50" t="n">
        <v>0.023</v>
      </c>
      <c r="AN67" s="49" t="n">
        <v>32</v>
      </c>
      <c r="AO67" s="52"/>
      <c r="AP67" s="52"/>
      <c r="AQ67" s="52"/>
      <c r="AR67" s="52"/>
      <c r="AS67" s="53"/>
      <c r="AT67" s="53" t="n">
        <f aca="false">Table2[[#This Row],[Object_A_._head_time]]+Table2[[#This Row],[Object_B_._head_time]]</f>
        <v>81.1</v>
      </c>
      <c r="AU67" s="53" t="n">
        <f aca="false">Table2[[#This Row],[Object_B_._head_time]]-Table2[[#This Row],[Object_A_._head_time]]</f>
        <v>63.1</v>
      </c>
      <c r="AV67" s="71" t="n">
        <f aca="false">Table2[[#This Row],[D1: Absolute discrimination measure (D1 = B2- A2)]]/Table2[[#This Row],[E2: total exploration time in second trial E2 ( E2 = A2 + B2)]]</f>
        <v>0.778051787916153</v>
      </c>
      <c r="AW67" s="52" t="n">
        <f aca="false">(W67/AT67)</f>
        <v>0.889025893958076</v>
      </c>
      <c r="AX67" s="56"/>
      <c r="AY67" s="57" t="s">
        <v>64</v>
      </c>
      <c r="AZ67" s="57" t="s">
        <v>123</v>
      </c>
      <c r="BA67" s="57" t="s">
        <v>66</v>
      </c>
      <c r="BB67" s="58" t="n">
        <v>56</v>
      </c>
      <c r="BC67" s="59" t="n">
        <v>1.86666666666667</v>
      </c>
      <c r="BD67" s="60" t="s">
        <v>80</v>
      </c>
      <c r="BE67" s="57" t="n">
        <v>1</v>
      </c>
      <c r="BF67" s="61" t="s">
        <v>94</v>
      </c>
    </row>
    <row r="68" s="44" customFormat="true" ht="12" hidden="false" customHeight="true" outlineLevel="0" collapsed="false">
      <c r="A68" s="62" t="n">
        <v>103</v>
      </c>
      <c r="B68" s="63" t="s">
        <v>152</v>
      </c>
      <c r="C68" s="63" t="s">
        <v>172</v>
      </c>
      <c r="D68" s="63" t="s">
        <v>70</v>
      </c>
      <c r="E68" s="63" t="s">
        <v>61</v>
      </c>
      <c r="F68" s="63" t="s">
        <v>211</v>
      </c>
      <c r="G68" s="63" t="s">
        <v>213</v>
      </c>
      <c r="H68" s="64" t="n">
        <v>360</v>
      </c>
      <c r="I68" s="65" t="n">
        <v>19.402</v>
      </c>
      <c r="J68" s="65" t="n">
        <v>0.054</v>
      </c>
      <c r="K68" s="65" t="n">
        <v>0.292</v>
      </c>
      <c r="L68" s="64" t="n">
        <v>13.7</v>
      </c>
      <c r="M68" s="66" t="n">
        <v>41</v>
      </c>
      <c r="N68" s="64" t="n">
        <v>61.3</v>
      </c>
      <c r="O68" s="65" t="n">
        <v>3.216</v>
      </c>
      <c r="P68" s="65" t="n">
        <v>0.052</v>
      </c>
      <c r="Q68" s="65" t="n">
        <v>0.272</v>
      </c>
      <c r="R68" s="64" t="n">
        <v>9.1</v>
      </c>
      <c r="S68" s="66" t="n">
        <v>5930</v>
      </c>
      <c r="T68" s="64" t="n">
        <v>0.1</v>
      </c>
      <c r="U68" s="64" t="n">
        <v>4.5</v>
      </c>
      <c r="V68" s="66" t="n">
        <v>39</v>
      </c>
      <c r="W68" s="64" t="n">
        <v>58.8</v>
      </c>
      <c r="X68" s="65" t="n">
        <v>2.836</v>
      </c>
      <c r="Y68" s="65" t="n">
        <v>0.048</v>
      </c>
      <c r="Z68" s="65" t="n">
        <v>0.292</v>
      </c>
      <c r="AA68" s="64" t="n">
        <v>12.3</v>
      </c>
      <c r="AB68" s="66" t="n">
        <v>4970</v>
      </c>
      <c r="AC68" s="64" t="n">
        <v>4.4</v>
      </c>
      <c r="AD68" s="64" t="n">
        <v>4</v>
      </c>
      <c r="AE68" s="66" t="n">
        <v>45</v>
      </c>
      <c r="AF68" s="64" t="n">
        <v>66.6</v>
      </c>
      <c r="AG68" s="65" t="n">
        <v>5.741</v>
      </c>
      <c r="AH68" s="65" t="n">
        <v>0.086</v>
      </c>
      <c r="AI68" s="64" t="n">
        <v>3.1</v>
      </c>
      <c r="AJ68" s="66" t="n">
        <v>45</v>
      </c>
      <c r="AK68" s="64" t="n">
        <v>293.4</v>
      </c>
      <c r="AL68" s="65" t="n">
        <v>13.661</v>
      </c>
      <c r="AM68" s="65" t="n">
        <v>0.047</v>
      </c>
      <c r="AN68" s="64" t="n">
        <v>10.7</v>
      </c>
      <c r="AO68" s="67"/>
      <c r="AP68" s="67"/>
      <c r="AQ68" s="67"/>
      <c r="AR68" s="67"/>
      <c r="AS68" s="66"/>
      <c r="AT68" s="66" t="n">
        <f aca="false">Table2[[#This Row],[Object_A_._head_time]]+Table2[[#This Row],[Object_B_._head_time]]</f>
        <v>120.1</v>
      </c>
      <c r="AU68" s="66" t="n">
        <f aca="false">Table2[[#This Row],[Object_B_._head_time]]-Table2[[#This Row],[Object_A_._head_time]]</f>
        <v>-2.5</v>
      </c>
      <c r="AV68" s="64" t="n">
        <f aca="false">Table2[[#This Row],[D1: Absolute discrimination measure (D1 = B2- A2)]]/Table2[[#This Row],[E2: total exploration time in second trial E2 ( E2 = A2 + B2)]]</f>
        <v>-0.0208159866777685</v>
      </c>
      <c r="AW68" s="52" t="n">
        <f aca="false">(W68/AT68)</f>
        <v>0.489592006661116</v>
      </c>
      <c r="AX68" s="67"/>
      <c r="AY68" s="63"/>
      <c r="AZ68" s="68" t="s">
        <v>131</v>
      </c>
      <c r="BA68" s="63" t="s">
        <v>93</v>
      </c>
      <c r="BB68" s="63" t="n">
        <v>56</v>
      </c>
      <c r="BC68" s="69" t="n">
        <v>1.86666666666667</v>
      </c>
      <c r="BD68" s="63"/>
      <c r="BE68" s="63"/>
      <c r="BF68" s="70"/>
    </row>
    <row r="69" customFormat="false" ht="12" hidden="false" customHeight="true" outlineLevel="0" collapsed="false">
      <c r="A69" s="47" t="n">
        <v>105</v>
      </c>
      <c r="B69" s="48" t="s">
        <v>154</v>
      </c>
      <c r="C69" s="48" t="s">
        <v>172</v>
      </c>
      <c r="D69" s="48" t="s">
        <v>73</v>
      </c>
      <c r="E69" s="48" t="s">
        <v>61</v>
      </c>
      <c r="F69" s="48" t="s">
        <v>211</v>
      </c>
      <c r="G69" s="48" t="s">
        <v>214</v>
      </c>
      <c r="H69" s="49" t="n">
        <v>360</v>
      </c>
      <c r="I69" s="50" t="n">
        <v>7.632</v>
      </c>
      <c r="J69" s="50" t="n">
        <v>0.021</v>
      </c>
      <c r="K69" s="50" t="n">
        <v>0.251</v>
      </c>
      <c r="L69" s="49" t="n">
        <v>135.8</v>
      </c>
      <c r="M69" s="51" t="n">
        <v>21</v>
      </c>
      <c r="N69" s="49" t="n">
        <v>12.5</v>
      </c>
      <c r="O69" s="50" t="n">
        <v>0.193</v>
      </c>
      <c r="P69" s="50" t="n">
        <v>0.015</v>
      </c>
      <c r="Q69" s="50" t="n">
        <v>0.183</v>
      </c>
      <c r="R69" s="49" t="n">
        <v>10.2</v>
      </c>
      <c r="S69" s="51" t="n">
        <v>994</v>
      </c>
      <c r="T69" s="49" t="n">
        <v>0.7</v>
      </c>
      <c r="U69" s="49" t="n">
        <v>11.4</v>
      </c>
      <c r="V69" s="51" t="n">
        <v>4</v>
      </c>
      <c r="W69" s="49" t="n">
        <v>3.8</v>
      </c>
      <c r="X69" s="50" t="n">
        <v>0.131</v>
      </c>
      <c r="Y69" s="50" t="n">
        <v>0.035</v>
      </c>
      <c r="Z69" s="50" t="n">
        <v>0.149</v>
      </c>
      <c r="AA69" s="49" t="n">
        <v>2.7</v>
      </c>
      <c r="AB69" s="51" t="n">
        <v>292</v>
      </c>
      <c r="AC69" s="49" t="n">
        <v>0</v>
      </c>
      <c r="AD69" s="49" t="n">
        <v>2.3</v>
      </c>
      <c r="AE69" s="51" t="n">
        <v>3</v>
      </c>
      <c r="AF69" s="49" t="n">
        <v>8.7</v>
      </c>
      <c r="AG69" s="50" t="n">
        <v>0.44</v>
      </c>
      <c r="AH69" s="50" t="n">
        <v>0.05</v>
      </c>
      <c r="AI69" s="49" t="n">
        <v>0</v>
      </c>
      <c r="AJ69" s="51" t="n">
        <v>3</v>
      </c>
      <c r="AK69" s="49" t="n">
        <v>351.3</v>
      </c>
      <c r="AL69" s="50" t="n">
        <v>7.192</v>
      </c>
      <c r="AM69" s="50" t="n">
        <v>0.02</v>
      </c>
      <c r="AN69" s="49" t="n">
        <v>135.8</v>
      </c>
      <c r="AO69" s="52"/>
      <c r="AP69" s="52"/>
      <c r="AQ69" s="52"/>
      <c r="AR69" s="52"/>
      <c r="AS69" s="53"/>
      <c r="AT69" s="53" t="n">
        <f aca="false">Table2[[#This Row],[Object_A_._head_time]]+Table2[[#This Row],[Object_B_._head_time]]</f>
        <v>16.3</v>
      </c>
      <c r="AU69" s="53" t="n">
        <f aca="false">Table2[[#This Row],[Object_B_._head_time]]-Table2[[#This Row],[Object_A_._head_time]]</f>
        <v>-8.7</v>
      </c>
      <c r="AV69" s="71" t="n">
        <f aca="false">Table2[[#This Row],[D1: Absolute discrimination measure (D1 = B2- A2)]]/Table2[[#This Row],[E2: total exploration time in second trial E2 ( E2 = A2 + B2)]]</f>
        <v>-0.533742331288343</v>
      </c>
      <c r="AW69" s="52" t="n">
        <f aca="false">(W69/AT69)</f>
        <v>0.233128834355828</v>
      </c>
      <c r="AX69" s="56"/>
      <c r="AY69" s="57" t="s">
        <v>79</v>
      </c>
      <c r="AZ69" s="57" t="s">
        <v>123</v>
      </c>
      <c r="BA69" s="57" t="s">
        <v>93</v>
      </c>
      <c r="BB69" s="58" t="n">
        <v>36</v>
      </c>
      <c r="BC69" s="59" t="n">
        <v>1.2</v>
      </c>
      <c r="BD69" s="60" t="s">
        <v>80</v>
      </c>
      <c r="BE69" s="57" t="n">
        <v>3</v>
      </c>
      <c r="BF69" s="61"/>
    </row>
    <row r="70" customFormat="false" ht="12" hidden="false" customHeight="true" outlineLevel="0" collapsed="false">
      <c r="A70" s="47" t="n">
        <v>106</v>
      </c>
      <c r="B70" s="48" t="s">
        <v>157</v>
      </c>
      <c r="C70" s="48" t="s">
        <v>172</v>
      </c>
      <c r="D70" s="48" t="s">
        <v>77</v>
      </c>
      <c r="E70" s="48" t="s">
        <v>61</v>
      </c>
      <c r="F70" s="48" t="s">
        <v>211</v>
      </c>
      <c r="G70" s="48" t="s">
        <v>215</v>
      </c>
      <c r="H70" s="49" t="n">
        <v>360</v>
      </c>
      <c r="I70" s="50" t="n">
        <v>3.727</v>
      </c>
      <c r="J70" s="50" t="n">
        <v>0.01</v>
      </c>
      <c r="K70" s="50" t="n">
        <v>0.193</v>
      </c>
      <c r="L70" s="49" t="n">
        <v>205.7</v>
      </c>
      <c r="M70" s="51" t="n">
        <v>7</v>
      </c>
      <c r="N70" s="49" t="n">
        <v>6.5</v>
      </c>
      <c r="O70" s="50" t="n">
        <v>0.356</v>
      </c>
      <c r="P70" s="50" t="n">
        <v>0.055</v>
      </c>
      <c r="Q70" s="50" t="n">
        <v>0.166</v>
      </c>
      <c r="R70" s="49" t="n">
        <v>1.2</v>
      </c>
      <c r="S70" s="51" t="n">
        <v>490</v>
      </c>
      <c r="T70" s="49" t="n">
        <v>0</v>
      </c>
      <c r="U70" s="49" t="n">
        <v>1.6</v>
      </c>
      <c r="V70" s="51" t="n">
        <v>17</v>
      </c>
      <c r="W70" s="49" t="n">
        <v>12.3</v>
      </c>
      <c r="X70" s="50" t="n">
        <v>0.257</v>
      </c>
      <c r="Y70" s="50" t="n">
        <v>0.021</v>
      </c>
      <c r="Z70" s="50" t="n">
        <v>0.131</v>
      </c>
      <c r="AA70" s="49" t="n">
        <v>6.2</v>
      </c>
      <c r="AB70" s="51" t="n">
        <v>538</v>
      </c>
      <c r="AC70" s="49" t="n">
        <v>1.4</v>
      </c>
      <c r="AD70" s="49" t="n">
        <v>9</v>
      </c>
      <c r="AE70" s="51" t="n">
        <v>2</v>
      </c>
      <c r="AF70" s="49" t="n">
        <v>4.1</v>
      </c>
      <c r="AG70" s="50" t="n">
        <v>0.166</v>
      </c>
      <c r="AH70" s="50" t="n">
        <v>0.041</v>
      </c>
      <c r="AI70" s="49" t="n">
        <v>0</v>
      </c>
      <c r="AJ70" s="51" t="n">
        <v>2</v>
      </c>
      <c r="AK70" s="49" t="n">
        <v>355.9</v>
      </c>
      <c r="AL70" s="50" t="n">
        <v>3.56</v>
      </c>
      <c r="AM70" s="50" t="n">
        <v>0.01</v>
      </c>
      <c r="AN70" s="49" t="n">
        <v>205.7</v>
      </c>
      <c r="AO70" s="52"/>
      <c r="AP70" s="52"/>
      <c r="AQ70" s="52"/>
      <c r="AR70" s="52"/>
      <c r="AS70" s="53"/>
      <c r="AT70" s="53" t="n">
        <f aca="false">Table2[[#This Row],[Object_A_._head_time]]+Table2[[#This Row],[Object_B_._head_time]]</f>
        <v>18.8</v>
      </c>
      <c r="AU70" s="53" t="n">
        <f aca="false">Table2[[#This Row],[Object_B_._head_time]]-Table2[[#This Row],[Object_A_._head_time]]</f>
        <v>5.8</v>
      </c>
      <c r="AV70" s="71" t="n">
        <f aca="false">Table2[[#This Row],[D1: Absolute discrimination measure (D1 = B2- A2)]]/Table2[[#This Row],[E2: total exploration time in second trial E2 ( E2 = A2 + B2)]]</f>
        <v>0.308510638297872</v>
      </c>
      <c r="AW70" s="52" t="n">
        <f aca="false">(W70/AT70)</f>
        <v>0.654255319148936</v>
      </c>
      <c r="AX70" s="56"/>
      <c r="AY70" s="57" t="s">
        <v>79</v>
      </c>
      <c r="AZ70" s="57" t="s">
        <v>123</v>
      </c>
      <c r="BA70" s="57" t="s">
        <v>93</v>
      </c>
      <c r="BB70" s="58" t="n">
        <v>36</v>
      </c>
      <c r="BC70" s="59" t="n">
        <v>1.2</v>
      </c>
      <c r="BD70" s="60" t="s">
        <v>67</v>
      </c>
      <c r="BE70" s="57" t="n">
        <v>4</v>
      </c>
      <c r="BF70" s="61"/>
    </row>
    <row r="71" customFormat="false" ht="12" hidden="false" customHeight="true" outlineLevel="0" collapsed="false">
      <c r="A71" s="47" t="n">
        <v>108</v>
      </c>
      <c r="B71" s="48" t="s">
        <v>159</v>
      </c>
      <c r="C71" s="48" t="s">
        <v>172</v>
      </c>
      <c r="D71" s="48" t="s">
        <v>60</v>
      </c>
      <c r="E71" s="48" t="s">
        <v>61</v>
      </c>
      <c r="F71" s="48" t="s">
        <v>216</v>
      </c>
      <c r="G71" s="48" t="s">
        <v>217</v>
      </c>
      <c r="H71" s="49" t="n">
        <v>360</v>
      </c>
      <c r="I71" s="50" t="n">
        <v>9.325</v>
      </c>
      <c r="J71" s="50" t="n">
        <v>0.026</v>
      </c>
      <c r="K71" s="50" t="n">
        <v>0.246</v>
      </c>
      <c r="L71" s="49" t="n">
        <v>53.3</v>
      </c>
      <c r="M71" s="51" t="n">
        <v>18</v>
      </c>
      <c r="N71" s="49" t="n">
        <v>18.8</v>
      </c>
      <c r="O71" s="50" t="n">
        <v>0.857</v>
      </c>
      <c r="P71" s="50" t="n">
        <v>0.046</v>
      </c>
      <c r="Q71" s="50" t="n">
        <v>0.187</v>
      </c>
      <c r="R71" s="49" t="n">
        <v>5.2</v>
      </c>
      <c r="S71" s="51" t="n">
        <v>1704</v>
      </c>
      <c r="T71" s="49" t="n">
        <v>0</v>
      </c>
      <c r="U71" s="49" t="n">
        <v>4.4</v>
      </c>
      <c r="V71" s="51" t="n">
        <v>13</v>
      </c>
      <c r="W71" s="49" t="n">
        <v>15.9</v>
      </c>
      <c r="X71" s="50" t="n">
        <v>0.99</v>
      </c>
      <c r="Y71" s="50" t="n">
        <v>0.062</v>
      </c>
      <c r="Z71" s="50" t="n">
        <v>0.204</v>
      </c>
      <c r="AA71" s="49" t="n">
        <v>4</v>
      </c>
      <c r="AB71" s="51" t="n">
        <v>1311</v>
      </c>
      <c r="AC71" s="49" t="n">
        <v>0</v>
      </c>
      <c r="AD71" s="49" t="n">
        <v>4.1</v>
      </c>
      <c r="AE71" s="51" t="n">
        <v>13</v>
      </c>
      <c r="AF71" s="49" t="n">
        <v>17.2</v>
      </c>
      <c r="AG71" s="50" t="n">
        <v>1.695</v>
      </c>
      <c r="AH71" s="50" t="n">
        <v>0.098</v>
      </c>
      <c r="AI71" s="49" t="n">
        <v>0</v>
      </c>
      <c r="AJ71" s="51" t="n">
        <v>14</v>
      </c>
      <c r="AK71" s="49" t="n">
        <v>342.8</v>
      </c>
      <c r="AL71" s="50" t="n">
        <v>7.631</v>
      </c>
      <c r="AM71" s="50" t="n">
        <v>0.022</v>
      </c>
      <c r="AN71" s="49" t="n">
        <v>53.3</v>
      </c>
      <c r="AO71" s="52"/>
      <c r="AP71" s="52"/>
      <c r="AQ71" s="52"/>
      <c r="AR71" s="52"/>
      <c r="AS71" s="53"/>
      <c r="AT71" s="53" t="n">
        <f aca="false">Table2[[#This Row],[Object_A_._head_time]]+Table2[[#This Row],[Object_B_._head_time]]</f>
        <v>34.7</v>
      </c>
      <c r="AU71" s="53" t="n">
        <f aca="false">Table2[[#This Row],[Object_B_._head_time]]-Table2[[#This Row],[Object_A_._head_time]]</f>
        <v>-2.9</v>
      </c>
      <c r="AV71" s="71" t="n">
        <f aca="false">Table2[[#This Row],[D1: Absolute discrimination measure (D1 = B2- A2)]]/Table2[[#This Row],[E2: total exploration time in second trial E2 ( E2 = A2 + B2)]]</f>
        <v>-0.0835734870317003</v>
      </c>
      <c r="AW71" s="52" t="n">
        <f aca="false">(W71/AT71)</f>
        <v>0.45821325648415</v>
      </c>
      <c r="AX71" s="56"/>
      <c r="AY71" s="57" t="s">
        <v>64</v>
      </c>
      <c r="AZ71" s="57" t="s">
        <v>123</v>
      </c>
      <c r="BA71" s="57" t="s">
        <v>66</v>
      </c>
      <c r="BB71" s="58" t="n">
        <v>34</v>
      </c>
      <c r="BC71" s="59" t="n">
        <v>1.13333333333333</v>
      </c>
      <c r="BD71" s="60" t="s">
        <v>67</v>
      </c>
      <c r="BE71" s="57" t="n">
        <v>2</v>
      </c>
      <c r="BF71" s="61"/>
    </row>
    <row r="72" customFormat="false" ht="12" hidden="false" customHeight="true" outlineLevel="0" collapsed="false">
      <c r="A72" s="47" t="n">
        <v>107</v>
      </c>
      <c r="B72" s="48" t="s">
        <v>162</v>
      </c>
      <c r="C72" s="48" t="s">
        <v>172</v>
      </c>
      <c r="D72" s="48" t="s">
        <v>70</v>
      </c>
      <c r="E72" s="48" t="s">
        <v>61</v>
      </c>
      <c r="F72" s="48" t="s">
        <v>216</v>
      </c>
      <c r="G72" s="48" t="s">
        <v>218</v>
      </c>
      <c r="H72" s="49" t="n">
        <v>360</v>
      </c>
      <c r="I72" s="50" t="n">
        <v>6.981</v>
      </c>
      <c r="J72" s="50" t="n">
        <v>0.019</v>
      </c>
      <c r="K72" s="50" t="n">
        <v>0.256</v>
      </c>
      <c r="L72" s="49" t="n">
        <v>139</v>
      </c>
      <c r="M72" s="51" t="n">
        <v>7</v>
      </c>
      <c r="N72" s="49" t="n">
        <v>7.6</v>
      </c>
      <c r="O72" s="50" t="n">
        <v>0.156</v>
      </c>
      <c r="P72" s="50" t="n">
        <v>0.021</v>
      </c>
      <c r="Q72" s="50" t="n">
        <v>0.105</v>
      </c>
      <c r="R72" s="49" t="n">
        <v>4.5</v>
      </c>
      <c r="S72" s="51" t="n">
        <v>508</v>
      </c>
      <c r="T72" s="49" t="n">
        <v>0</v>
      </c>
      <c r="U72" s="49" t="n">
        <v>5.4</v>
      </c>
      <c r="V72" s="51" t="n">
        <v>8</v>
      </c>
      <c r="W72" s="49" t="n">
        <v>7.8</v>
      </c>
      <c r="X72" s="50" t="n">
        <v>0.195</v>
      </c>
      <c r="Y72" s="50" t="n">
        <v>0.025</v>
      </c>
      <c r="Z72" s="50" t="n">
        <v>0.129</v>
      </c>
      <c r="AA72" s="49" t="n">
        <v>3.3</v>
      </c>
      <c r="AB72" s="51" t="n">
        <v>474</v>
      </c>
      <c r="AC72" s="49" t="n">
        <v>0</v>
      </c>
      <c r="AD72" s="49" t="n">
        <v>6.9</v>
      </c>
      <c r="AE72" s="51" t="n">
        <v>7</v>
      </c>
      <c r="AF72" s="49" t="n">
        <v>10.6</v>
      </c>
      <c r="AG72" s="50" t="n">
        <v>0.459</v>
      </c>
      <c r="AH72" s="50" t="n">
        <v>0.043</v>
      </c>
      <c r="AI72" s="49" t="n">
        <v>0</v>
      </c>
      <c r="AJ72" s="51" t="n">
        <v>8</v>
      </c>
      <c r="AK72" s="49" t="n">
        <v>349.4</v>
      </c>
      <c r="AL72" s="50" t="n">
        <v>6.522</v>
      </c>
      <c r="AM72" s="50" t="n">
        <v>0.019</v>
      </c>
      <c r="AN72" s="49" t="n">
        <v>139</v>
      </c>
      <c r="AO72" s="52"/>
      <c r="AP72" s="52"/>
      <c r="AQ72" s="52"/>
      <c r="AR72" s="52"/>
      <c r="AS72" s="53"/>
      <c r="AT72" s="53" t="n">
        <f aca="false">Table2[[#This Row],[Object_A_._head_time]]+Table2[[#This Row],[Object_B_._head_time]]</f>
        <v>15.4</v>
      </c>
      <c r="AU72" s="53" t="n">
        <f aca="false">Table2[[#This Row],[Object_B_._head_time]]-Table2[[#This Row],[Object_A_._head_time]]</f>
        <v>0.2</v>
      </c>
      <c r="AV72" s="71" t="n">
        <f aca="false">Table2[[#This Row],[D1: Absolute discrimination measure (D1 = B2- A2)]]/Table2[[#This Row],[E2: total exploration time in second trial E2 ( E2 = A2 + B2)]]</f>
        <v>0.012987012987013</v>
      </c>
      <c r="AW72" s="52" t="n">
        <f aca="false">(W72/AT72)</f>
        <v>0.506493506493507</v>
      </c>
      <c r="AX72" s="56"/>
      <c r="AY72" s="57" t="s">
        <v>64</v>
      </c>
      <c r="AZ72" s="72" t="s">
        <v>119</v>
      </c>
      <c r="BA72" s="57" t="s">
        <v>66</v>
      </c>
      <c r="BB72" s="58" t="n">
        <v>34</v>
      </c>
      <c r="BC72" s="59" t="n">
        <v>1.13333333333333</v>
      </c>
      <c r="BD72" s="60" t="s">
        <v>67</v>
      </c>
      <c r="BE72" s="57" t="n">
        <v>6</v>
      </c>
      <c r="BF72" s="61"/>
    </row>
    <row r="73" customFormat="false" ht="12" hidden="false" customHeight="true" outlineLevel="0" collapsed="false">
      <c r="A73" s="47" t="n">
        <v>109</v>
      </c>
      <c r="B73" s="48" t="s">
        <v>164</v>
      </c>
      <c r="C73" s="48" t="s">
        <v>172</v>
      </c>
      <c r="D73" s="48" t="s">
        <v>73</v>
      </c>
      <c r="E73" s="48" t="s">
        <v>61</v>
      </c>
      <c r="F73" s="48" t="s">
        <v>219</v>
      </c>
      <c r="G73" s="48" t="s">
        <v>220</v>
      </c>
      <c r="H73" s="49" t="n">
        <v>360</v>
      </c>
      <c r="I73" s="50" t="n">
        <v>6.083</v>
      </c>
      <c r="J73" s="50" t="n">
        <v>0.017</v>
      </c>
      <c r="K73" s="50" t="n">
        <v>0.245</v>
      </c>
      <c r="L73" s="49" t="n">
        <v>157.7</v>
      </c>
      <c r="M73" s="51" t="n">
        <v>3</v>
      </c>
      <c r="N73" s="49" t="n">
        <v>1.9</v>
      </c>
      <c r="O73" s="50" t="n">
        <v>0.025</v>
      </c>
      <c r="P73" s="50" t="n">
        <v>0.013</v>
      </c>
      <c r="Q73" s="50" t="n">
        <v>0.089</v>
      </c>
      <c r="R73" s="49" t="n">
        <v>1.5</v>
      </c>
      <c r="S73" s="51" t="n">
        <v>86</v>
      </c>
      <c r="T73" s="49" t="n">
        <v>0</v>
      </c>
      <c r="U73" s="49" t="n">
        <v>1.9</v>
      </c>
      <c r="V73" s="51" t="n">
        <v>2</v>
      </c>
      <c r="W73" s="49" t="n">
        <v>0.9</v>
      </c>
      <c r="X73" s="50" t="n">
        <v>0.025</v>
      </c>
      <c r="Y73" s="50" t="n">
        <v>0.027</v>
      </c>
      <c r="Z73" s="50" t="n">
        <v>0.04</v>
      </c>
      <c r="AA73" s="49" t="n">
        <v>0.5</v>
      </c>
      <c r="AB73" s="51" t="n">
        <v>144</v>
      </c>
      <c r="AC73" s="49" t="n">
        <v>0</v>
      </c>
      <c r="AD73" s="49" t="n">
        <v>0.9</v>
      </c>
      <c r="AE73" s="51" t="n">
        <v>1</v>
      </c>
      <c r="AF73" s="49" t="n">
        <v>2</v>
      </c>
      <c r="AG73" s="50" t="n">
        <v>0.121</v>
      </c>
      <c r="AH73" s="50" t="n">
        <v>0.061</v>
      </c>
      <c r="AI73" s="49" t="n">
        <v>0</v>
      </c>
      <c r="AJ73" s="51" t="n">
        <v>1</v>
      </c>
      <c r="AK73" s="49" t="n">
        <v>358</v>
      </c>
      <c r="AL73" s="50" t="n">
        <v>5.962</v>
      </c>
      <c r="AM73" s="50" t="n">
        <v>0.017</v>
      </c>
      <c r="AN73" s="49" t="n">
        <v>157.7</v>
      </c>
      <c r="AO73" s="52"/>
      <c r="AP73" s="52"/>
      <c r="AQ73" s="52"/>
      <c r="AR73" s="52"/>
      <c r="AS73" s="53"/>
      <c r="AT73" s="53" t="n">
        <f aca="false">Table2[[#This Row],[Object_A_._head_time]]+Table2[[#This Row],[Object_B_._head_time]]</f>
        <v>2.8</v>
      </c>
      <c r="AU73" s="53" t="n">
        <f aca="false">Table2[[#This Row],[Object_B_._head_time]]-Table2[[#This Row],[Object_A_._head_time]]</f>
        <v>-1</v>
      </c>
      <c r="AV73" s="71" t="n">
        <f aca="false">Table2[[#This Row],[D1: Absolute discrimination measure (D1 = B2- A2)]]/Table2[[#This Row],[E2: total exploration time in second trial E2 ( E2 = A2 + B2)]]</f>
        <v>-0.357142857142857</v>
      </c>
      <c r="AW73" s="52" t="n">
        <f aca="false">(W73/AT73)</f>
        <v>0.321428571428571</v>
      </c>
      <c r="AX73" s="56"/>
      <c r="AY73" s="57" t="s">
        <v>64</v>
      </c>
      <c r="AZ73" s="57" t="s">
        <v>123</v>
      </c>
      <c r="BA73" s="57" t="s">
        <v>93</v>
      </c>
      <c r="BB73" s="58" t="n">
        <v>34</v>
      </c>
      <c r="BC73" s="59" t="n">
        <v>1.13333333333333</v>
      </c>
      <c r="BD73" s="60" t="s">
        <v>80</v>
      </c>
      <c r="BE73" s="57" t="n">
        <v>3</v>
      </c>
      <c r="BF73" s="61"/>
    </row>
    <row r="74" customFormat="false" ht="12" hidden="false" customHeight="true" outlineLevel="0" collapsed="false">
      <c r="A74" s="47" t="n">
        <v>110</v>
      </c>
      <c r="B74" s="48" t="s">
        <v>166</v>
      </c>
      <c r="C74" s="48" t="s">
        <v>172</v>
      </c>
      <c r="D74" s="48" t="s">
        <v>77</v>
      </c>
      <c r="E74" s="48" t="s">
        <v>61</v>
      </c>
      <c r="F74" s="48" t="s">
        <v>219</v>
      </c>
      <c r="G74" s="48" t="s">
        <v>221</v>
      </c>
      <c r="H74" s="49" t="n">
        <v>360</v>
      </c>
      <c r="I74" s="50" t="n">
        <v>7.956</v>
      </c>
      <c r="J74" s="50" t="n">
        <v>0.022</v>
      </c>
      <c r="K74" s="50" t="n">
        <v>0.356</v>
      </c>
      <c r="L74" s="49" t="n">
        <v>152.7</v>
      </c>
      <c r="M74" s="51" t="n">
        <v>2</v>
      </c>
      <c r="N74" s="49" t="n">
        <v>0.9</v>
      </c>
      <c r="O74" s="50" t="n">
        <v>0.059</v>
      </c>
      <c r="P74" s="50" t="n">
        <v>0.064</v>
      </c>
      <c r="Q74" s="50" t="n">
        <v>0.084</v>
      </c>
      <c r="R74" s="49" t="n">
        <v>0.5</v>
      </c>
      <c r="S74" s="51" t="n">
        <v>66</v>
      </c>
      <c r="T74" s="49" t="n">
        <v>0</v>
      </c>
      <c r="U74" s="49" t="n">
        <v>0.9</v>
      </c>
      <c r="V74" s="51" t="n">
        <v>4</v>
      </c>
      <c r="W74" s="49" t="n">
        <v>4.7</v>
      </c>
      <c r="X74" s="50" t="n">
        <v>0.085</v>
      </c>
      <c r="Y74" s="50" t="n">
        <v>0.018</v>
      </c>
      <c r="Z74" s="50" t="n">
        <v>0.131</v>
      </c>
      <c r="AA74" s="49" t="n">
        <v>3.6</v>
      </c>
      <c r="AB74" s="51" t="n">
        <v>413</v>
      </c>
      <c r="AC74" s="49" t="n">
        <v>0</v>
      </c>
      <c r="AD74" s="49" t="n">
        <v>3.9</v>
      </c>
      <c r="AE74" s="51" t="n">
        <v>2</v>
      </c>
      <c r="AF74" s="49" t="n">
        <v>4.1</v>
      </c>
      <c r="AG74" s="50" t="n">
        <v>0.365</v>
      </c>
      <c r="AH74" s="50" t="n">
        <v>0.09</v>
      </c>
      <c r="AI74" s="49" t="n">
        <v>0</v>
      </c>
      <c r="AJ74" s="51" t="n">
        <v>2</v>
      </c>
      <c r="AK74" s="49" t="n">
        <v>355.9</v>
      </c>
      <c r="AL74" s="50" t="n">
        <v>7.591</v>
      </c>
      <c r="AM74" s="50" t="n">
        <v>0.021</v>
      </c>
      <c r="AN74" s="49" t="n">
        <v>152.7</v>
      </c>
      <c r="AO74" s="52"/>
      <c r="AP74" s="52"/>
      <c r="AQ74" s="52"/>
      <c r="AR74" s="52"/>
      <c r="AS74" s="53"/>
      <c r="AT74" s="53" t="n">
        <f aca="false">Table2[[#This Row],[Object_A_._head_time]]+Table2[[#This Row],[Object_B_._head_time]]</f>
        <v>5.6</v>
      </c>
      <c r="AU74" s="53" t="n">
        <f aca="false">Table2[[#This Row],[Object_B_._head_time]]-Table2[[#This Row],[Object_A_._head_time]]</f>
        <v>3.8</v>
      </c>
      <c r="AV74" s="71" t="n">
        <f aca="false">Table2[[#This Row],[D1: Absolute discrimination measure (D1 = B2- A2)]]/Table2[[#This Row],[E2: total exploration time in second trial E2 ( E2 = A2 + B2)]]</f>
        <v>0.678571428571429</v>
      </c>
      <c r="AW74" s="52" t="n">
        <f aca="false">(W74/AT74)</f>
        <v>0.839285714285714</v>
      </c>
      <c r="AX74" s="56"/>
      <c r="AY74" s="57" t="s">
        <v>79</v>
      </c>
      <c r="AZ74" s="57" t="s">
        <v>123</v>
      </c>
      <c r="BA74" s="57" t="s">
        <v>93</v>
      </c>
      <c r="BB74" s="58" t="n">
        <v>34</v>
      </c>
      <c r="BC74" s="59" t="n">
        <v>1.13333333333333</v>
      </c>
      <c r="BD74" s="60" t="s">
        <v>67</v>
      </c>
      <c r="BE74" s="57" t="n">
        <v>4</v>
      </c>
      <c r="BF74" s="61"/>
    </row>
    <row r="75" customFormat="false" ht="12" hidden="false" customHeight="true" outlineLevel="0" collapsed="false">
      <c r="A75" s="47" t="n">
        <v>111</v>
      </c>
      <c r="B75" s="48" t="s">
        <v>169</v>
      </c>
      <c r="C75" s="48" t="s">
        <v>172</v>
      </c>
      <c r="D75" s="48" t="s">
        <v>60</v>
      </c>
      <c r="E75" s="48" t="s">
        <v>61</v>
      </c>
      <c r="F75" s="48" t="s">
        <v>222</v>
      </c>
      <c r="G75" s="48" t="s">
        <v>223</v>
      </c>
      <c r="H75" s="49" t="n">
        <v>360</v>
      </c>
      <c r="I75" s="50" t="n">
        <v>14.484</v>
      </c>
      <c r="J75" s="50" t="n">
        <v>0.04</v>
      </c>
      <c r="K75" s="50" t="n">
        <v>0.296</v>
      </c>
      <c r="L75" s="49" t="n">
        <v>44.2</v>
      </c>
      <c r="M75" s="51" t="n">
        <v>27</v>
      </c>
      <c r="N75" s="49" t="n">
        <v>60.3</v>
      </c>
      <c r="O75" s="50" t="n">
        <v>1.647</v>
      </c>
      <c r="P75" s="50" t="n">
        <v>0.027</v>
      </c>
      <c r="Q75" s="50" t="n">
        <v>0.231</v>
      </c>
      <c r="R75" s="49" t="n">
        <v>13</v>
      </c>
      <c r="S75" s="51" t="n">
        <v>4659</v>
      </c>
      <c r="T75" s="49" t="n">
        <v>9.5</v>
      </c>
      <c r="U75" s="49" t="n">
        <v>9.9</v>
      </c>
      <c r="V75" s="51" t="n">
        <v>12</v>
      </c>
      <c r="W75" s="49" t="n">
        <v>25.2</v>
      </c>
      <c r="X75" s="50" t="n">
        <v>1.061</v>
      </c>
      <c r="Y75" s="50" t="n">
        <v>0.042</v>
      </c>
      <c r="Z75" s="50" t="n">
        <v>0.296</v>
      </c>
      <c r="AA75" s="49" t="n">
        <v>8.6</v>
      </c>
      <c r="AB75" s="51" t="n">
        <v>2074</v>
      </c>
      <c r="AC75" s="49" t="n">
        <v>0</v>
      </c>
      <c r="AD75" s="49" t="n">
        <v>3.2</v>
      </c>
      <c r="AE75" s="51" t="n">
        <v>11</v>
      </c>
      <c r="AF75" s="49" t="n">
        <v>14.7</v>
      </c>
      <c r="AG75" s="50" t="n">
        <v>1.518</v>
      </c>
      <c r="AH75" s="50" t="n">
        <v>0.103</v>
      </c>
      <c r="AI75" s="49" t="n">
        <v>0</v>
      </c>
      <c r="AJ75" s="51" t="n">
        <v>12</v>
      </c>
      <c r="AK75" s="49" t="n">
        <v>345.3</v>
      </c>
      <c r="AL75" s="50" t="n">
        <v>12.966</v>
      </c>
      <c r="AM75" s="50" t="n">
        <v>0.038</v>
      </c>
      <c r="AN75" s="49" t="n">
        <v>44.2</v>
      </c>
      <c r="AO75" s="52"/>
      <c r="AP75" s="52"/>
      <c r="AQ75" s="52"/>
      <c r="AR75" s="52"/>
      <c r="AS75" s="53"/>
      <c r="AT75" s="53" t="n">
        <f aca="false">Table2[[#This Row],[Object_A_._head_time]]+Table2[[#This Row],[Object_B_._head_time]]</f>
        <v>85.5</v>
      </c>
      <c r="AU75" s="53" t="n">
        <f aca="false">Table2[[#This Row],[Object_B_._head_time]]-Table2[[#This Row],[Object_A_._head_time]]</f>
        <v>-35.1</v>
      </c>
      <c r="AV75" s="71" t="n">
        <f aca="false">Table2[[#This Row],[D1: Absolute discrimination measure (D1 = B2- A2)]]/Table2[[#This Row],[E2: total exploration time in second trial E2 ( E2 = A2 + B2)]]</f>
        <v>-0.410526315789474</v>
      </c>
      <c r="AW75" s="52" t="n">
        <f aca="false">(W75/AT75)</f>
        <v>0.294736842105263</v>
      </c>
      <c r="AX75" s="56"/>
      <c r="AY75" s="57" t="s">
        <v>79</v>
      </c>
      <c r="AZ75" s="57" t="s">
        <v>123</v>
      </c>
      <c r="BA75" s="57" t="s">
        <v>66</v>
      </c>
      <c r="BB75" s="58" t="n">
        <v>34</v>
      </c>
      <c r="BC75" s="59" t="n">
        <v>1.13333333333333</v>
      </c>
      <c r="BD75" s="60" t="s">
        <v>67</v>
      </c>
      <c r="BE75" s="57" t="n">
        <v>2</v>
      </c>
      <c r="BF75" s="61"/>
    </row>
    <row r="76" customFormat="false" ht="12" hidden="false" customHeight="true" outlineLevel="0" collapsed="false">
      <c r="A76" s="73" t="n">
        <v>2</v>
      </c>
      <c r="B76" s="74" t="s">
        <v>58</v>
      </c>
      <c r="C76" s="74" t="s">
        <v>224</v>
      </c>
      <c r="D76" s="74" t="s">
        <v>60</v>
      </c>
      <c r="E76" s="74" t="s">
        <v>225</v>
      </c>
      <c r="F76" s="74" t="s">
        <v>226</v>
      </c>
      <c r="G76" s="74" t="s">
        <v>227</v>
      </c>
      <c r="H76" s="75" t="n">
        <v>300</v>
      </c>
      <c r="I76" s="76" t="n">
        <v>14.183</v>
      </c>
      <c r="J76" s="76" t="n">
        <v>0.047</v>
      </c>
      <c r="K76" s="76" t="n">
        <v>0.363</v>
      </c>
      <c r="L76" s="75" t="n">
        <v>29.6</v>
      </c>
      <c r="M76" s="77" t="n">
        <v>16</v>
      </c>
      <c r="N76" s="75" t="n">
        <v>8.5</v>
      </c>
      <c r="O76" s="76" t="n">
        <v>0.869</v>
      </c>
      <c r="P76" s="76" t="n">
        <v>0.102</v>
      </c>
      <c r="Q76" s="76" t="n">
        <v>0.332</v>
      </c>
      <c r="R76" s="75" t="n">
        <v>1.6</v>
      </c>
      <c r="S76" s="77" t="n">
        <v>1130</v>
      </c>
      <c r="T76" s="75" t="n">
        <v>0</v>
      </c>
      <c r="U76" s="75" t="n">
        <v>3.3</v>
      </c>
      <c r="V76" s="77" t="n">
        <v>29</v>
      </c>
      <c r="W76" s="75" t="n">
        <v>28.1</v>
      </c>
      <c r="X76" s="76" t="n">
        <v>1.333</v>
      </c>
      <c r="Y76" s="76" t="n">
        <v>0.047</v>
      </c>
      <c r="Z76" s="76" t="n">
        <v>0.31</v>
      </c>
      <c r="AA76" s="75" t="n">
        <v>4.1</v>
      </c>
      <c r="AB76" s="77" t="n">
        <v>2966</v>
      </c>
      <c r="AC76" s="75" t="n">
        <v>3.4</v>
      </c>
      <c r="AD76" s="75" t="n">
        <v>3.9</v>
      </c>
      <c r="AE76" s="77" t="n">
        <v>32</v>
      </c>
      <c r="AF76" s="75" t="n">
        <v>67.3</v>
      </c>
      <c r="AG76" s="76" t="n">
        <v>4.031</v>
      </c>
      <c r="AH76" s="76" t="n">
        <v>0.06</v>
      </c>
      <c r="AI76" s="75" t="n">
        <v>5.9</v>
      </c>
      <c r="AJ76" s="77" t="n">
        <v>33</v>
      </c>
      <c r="AK76" s="75" t="n">
        <v>232.7</v>
      </c>
      <c r="AL76" s="76" t="n">
        <v>10.152</v>
      </c>
      <c r="AM76" s="76" t="n">
        <v>0.044</v>
      </c>
      <c r="AN76" s="75" t="n">
        <v>23.7</v>
      </c>
      <c r="AO76" s="78" t="n">
        <f aca="false">Table2[[#This Row],[Inside_._time]]/Table2[[#This Row],[Duration]]</f>
        <v>0.224333333333333</v>
      </c>
      <c r="AP76" s="78" t="n">
        <f aca="false">Table2[[#This Row],[Outside_._time]]/Table2[[#This Row],[Duration]]</f>
        <v>0.775666666666667</v>
      </c>
      <c r="AQ76" s="78" t="n">
        <f aca="false">Table2[[#This Row],[Inside_._distance]]/Table2[[#This Row],[Distance]]</f>
        <v>0.28421349502926</v>
      </c>
      <c r="AR76" s="5" t="n">
        <f aca="false">Table2[[#This Row],[Outside_._distance]]/Table2[[#This Row],[Distance]]</f>
        <v>0.71578650497074</v>
      </c>
      <c r="AS76" s="79"/>
      <c r="AT76" s="79"/>
      <c r="AU76" s="79"/>
      <c r="AV76" s="80"/>
      <c r="AW76" s="79"/>
      <c r="AX76" s="81"/>
      <c r="AY76" s="82" t="s">
        <v>64</v>
      </c>
      <c r="AZ76" s="82" t="s">
        <v>65</v>
      </c>
      <c r="BA76" s="82" t="s">
        <v>66</v>
      </c>
      <c r="BB76" s="83" t="n">
        <v>110</v>
      </c>
      <c r="BC76" s="84" t="n">
        <v>3.66666666666667</v>
      </c>
      <c r="BD76" s="85" t="s">
        <v>67</v>
      </c>
      <c r="BE76" s="82" t="n">
        <v>2</v>
      </c>
      <c r="BF76" s="86" t="s">
        <v>68</v>
      </c>
    </row>
    <row r="77" s="44" customFormat="true" ht="12" hidden="false" customHeight="true" outlineLevel="0" collapsed="false">
      <c r="A77" s="87" t="n">
        <v>1</v>
      </c>
      <c r="B77" s="88" t="s">
        <v>69</v>
      </c>
      <c r="C77" s="88" t="s">
        <v>224</v>
      </c>
      <c r="D77" s="88" t="s">
        <v>70</v>
      </c>
      <c r="E77" s="88" t="s">
        <v>225</v>
      </c>
      <c r="F77" s="88" t="s">
        <v>228</v>
      </c>
      <c r="G77" s="88" t="s">
        <v>229</v>
      </c>
      <c r="H77" s="89" t="n">
        <v>300</v>
      </c>
      <c r="I77" s="90" t="n">
        <v>6.16</v>
      </c>
      <c r="J77" s="90" t="n">
        <v>0.021</v>
      </c>
      <c r="K77" s="90" t="n">
        <v>0.274</v>
      </c>
      <c r="L77" s="89" t="n">
        <v>137.2</v>
      </c>
      <c r="M77" s="91" t="n">
        <v>27</v>
      </c>
      <c r="N77" s="89" t="n">
        <v>54.8</v>
      </c>
      <c r="O77" s="90" t="n">
        <v>0.538</v>
      </c>
      <c r="P77" s="90" t="n">
        <v>0.01</v>
      </c>
      <c r="Q77" s="90" t="n">
        <v>0.246</v>
      </c>
      <c r="R77" s="89" t="n">
        <v>24.9</v>
      </c>
      <c r="S77" s="91" t="n">
        <v>3891</v>
      </c>
      <c r="T77" s="89" t="n">
        <v>38.2</v>
      </c>
      <c r="U77" s="89" t="n">
        <v>37.7</v>
      </c>
      <c r="V77" s="91" t="n">
        <v>7</v>
      </c>
      <c r="W77" s="89" t="n">
        <v>2.6</v>
      </c>
      <c r="X77" s="90" t="n">
        <v>0.311</v>
      </c>
      <c r="Y77" s="90" t="n">
        <v>0.118</v>
      </c>
      <c r="Z77" s="90" t="n">
        <v>0.259</v>
      </c>
      <c r="AA77" s="89" t="n">
        <v>0.2</v>
      </c>
      <c r="AB77" s="91" t="n">
        <v>317</v>
      </c>
      <c r="AC77" s="89" t="n">
        <v>0</v>
      </c>
      <c r="AD77" s="89" t="n">
        <v>0.8</v>
      </c>
      <c r="AE77" s="91" t="n">
        <v>5</v>
      </c>
      <c r="AF77" s="89" t="n">
        <v>7.4</v>
      </c>
      <c r="AG77" s="90" t="n">
        <v>0.508</v>
      </c>
      <c r="AH77" s="90" t="n">
        <v>0.069</v>
      </c>
      <c r="AI77" s="89" t="n">
        <v>0</v>
      </c>
      <c r="AJ77" s="91" t="n">
        <v>5</v>
      </c>
      <c r="AK77" s="89" t="n">
        <v>292.6</v>
      </c>
      <c r="AL77" s="90" t="n">
        <v>5.652</v>
      </c>
      <c r="AM77" s="90" t="n">
        <v>0.019</v>
      </c>
      <c r="AN77" s="89" t="n">
        <v>137.2</v>
      </c>
      <c r="AO77" s="92" t="n">
        <f aca="false">Table2[[#This Row],[Inside_._time]]/Table2[[#This Row],[Duration]]</f>
        <v>0.0246666666666667</v>
      </c>
      <c r="AP77" s="92" t="n">
        <f aca="false">Table2[[#This Row],[Outside_._time]]/Table2[[#This Row],[Duration]]</f>
        <v>0.975333333333333</v>
      </c>
      <c r="AQ77" s="92" t="n">
        <f aca="false">Table2[[#This Row],[Inside_._distance]]/Table2[[#This Row],[Distance]]</f>
        <v>0.0824675324675325</v>
      </c>
      <c r="AR77" s="93" t="n">
        <f aca="false">Table2[[#This Row],[Outside_._distance]]/Table2[[#This Row],[Distance]]</f>
        <v>0.917532467532467</v>
      </c>
      <c r="AS77" s="91"/>
      <c r="AT77" s="91"/>
      <c r="AU77" s="91"/>
      <c r="AV77" s="89"/>
      <c r="AW77" s="91"/>
      <c r="AX77" s="92"/>
      <c r="AY77" s="88" t="s">
        <v>64</v>
      </c>
      <c r="AZ77" s="94" t="s">
        <v>65</v>
      </c>
      <c r="BA77" s="88" t="s">
        <v>66</v>
      </c>
      <c r="BB77" s="94" t="n">
        <v>110</v>
      </c>
      <c r="BC77" s="95" t="n">
        <v>3.66666666666667</v>
      </c>
      <c r="BD77" s="88"/>
      <c r="BE77" s="88"/>
      <c r="BF77" s="96"/>
    </row>
    <row r="78" customFormat="false" ht="12" hidden="false" customHeight="true" outlineLevel="0" collapsed="false">
      <c r="A78" s="73" t="n">
        <v>3</v>
      </c>
      <c r="B78" s="74" t="s">
        <v>72</v>
      </c>
      <c r="C78" s="74" t="s">
        <v>224</v>
      </c>
      <c r="D78" s="74" t="s">
        <v>73</v>
      </c>
      <c r="E78" s="74" t="s">
        <v>225</v>
      </c>
      <c r="F78" s="74" t="s">
        <v>226</v>
      </c>
      <c r="G78" s="74" t="s">
        <v>230</v>
      </c>
      <c r="H78" s="75" t="n">
        <v>300</v>
      </c>
      <c r="I78" s="76" t="n">
        <v>10.73</v>
      </c>
      <c r="J78" s="76" t="n">
        <v>0.036</v>
      </c>
      <c r="K78" s="76" t="n">
        <v>0.328</v>
      </c>
      <c r="L78" s="75" t="n">
        <v>82.3</v>
      </c>
      <c r="M78" s="77" t="n">
        <v>13</v>
      </c>
      <c r="N78" s="75" t="n">
        <v>7.3</v>
      </c>
      <c r="O78" s="76" t="n">
        <v>0.728</v>
      </c>
      <c r="P78" s="76" t="n">
        <v>0.099</v>
      </c>
      <c r="Q78" s="76" t="n">
        <v>0.257</v>
      </c>
      <c r="R78" s="75" t="n">
        <v>1.8</v>
      </c>
      <c r="S78" s="77" t="n">
        <v>883</v>
      </c>
      <c r="T78" s="75" t="n">
        <v>0</v>
      </c>
      <c r="U78" s="75" t="n">
        <v>3.3</v>
      </c>
      <c r="V78" s="77" t="n">
        <v>25</v>
      </c>
      <c r="W78" s="75" t="n">
        <v>15.3</v>
      </c>
      <c r="X78" s="76" t="n">
        <v>1.3</v>
      </c>
      <c r="Y78" s="76" t="n">
        <v>0.085</v>
      </c>
      <c r="Z78" s="76" t="n">
        <v>0.282</v>
      </c>
      <c r="AA78" s="75" t="n">
        <v>4</v>
      </c>
      <c r="AB78" s="77" t="n">
        <v>1323</v>
      </c>
      <c r="AC78" s="75" t="n">
        <v>0</v>
      </c>
      <c r="AD78" s="75" t="n">
        <v>3.3</v>
      </c>
      <c r="AE78" s="77" t="n">
        <v>18</v>
      </c>
      <c r="AF78" s="75" t="n">
        <v>38.4</v>
      </c>
      <c r="AG78" s="76" t="n">
        <v>2.502</v>
      </c>
      <c r="AH78" s="76" t="n">
        <v>0.065</v>
      </c>
      <c r="AI78" s="75" t="n">
        <v>3.4</v>
      </c>
      <c r="AJ78" s="77" t="n">
        <v>17</v>
      </c>
      <c r="AK78" s="75" t="n">
        <v>261.6</v>
      </c>
      <c r="AL78" s="76" t="n">
        <v>8.228</v>
      </c>
      <c r="AM78" s="76" t="n">
        <v>0.031</v>
      </c>
      <c r="AN78" s="75" t="n">
        <v>78.9</v>
      </c>
      <c r="AO78" s="78" t="n">
        <f aca="false">Table2[[#This Row],[Inside_._time]]/Table2[[#This Row],[Duration]]</f>
        <v>0.128</v>
      </c>
      <c r="AP78" s="78" t="n">
        <f aca="false">Table2[[#This Row],[Outside_._time]]/Table2[[#This Row],[Duration]]</f>
        <v>0.872</v>
      </c>
      <c r="AQ78" s="78" t="n">
        <f aca="false">Table2[[#This Row],[Inside_._distance]]/Table2[[#This Row],[Distance]]</f>
        <v>0.233178005591799</v>
      </c>
      <c r="AR78" s="97" t="n">
        <f aca="false">Table2[[#This Row],[Outside_._distance]]/Table2[[#This Row],[Distance]]</f>
        <v>0.766821994408201</v>
      </c>
      <c r="AS78" s="79"/>
      <c r="AT78" s="79"/>
      <c r="AU78" s="79"/>
      <c r="AV78" s="80"/>
      <c r="AW78" s="79"/>
      <c r="AX78" s="81"/>
      <c r="AY78" s="82" t="s">
        <v>64</v>
      </c>
      <c r="AZ78" s="82" t="s">
        <v>65</v>
      </c>
      <c r="BA78" s="82" t="s">
        <v>66</v>
      </c>
      <c r="BB78" s="83" t="n">
        <v>110</v>
      </c>
      <c r="BC78" s="84" t="n">
        <v>3.66666666666667</v>
      </c>
      <c r="BD78" s="85" t="s">
        <v>67</v>
      </c>
      <c r="BE78" s="82" t="n">
        <v>2</v>
      </c>
      <c r="BF78" s="86" t="s">
        <v>75</v>
      </c>
    </row>
    <row r="79" customFormat="false" ht="12" hidden="false" customHeight="true" outlineLevel="0" collapsed="false">
      <c r="A79" s="73" t="n">
        <v>4</v>
      </c>
      <c r="B79" s="74" t="s">
        <v>76</v>
      </c>
      <c r="C79" s="74" t="s">
        <v>224</v>
      </c>
      <c r="D79" s="74" t="s">
        <v>77</v>
      </c>
      <c r="E79" s="74" t="s">
        <v>225</v>
      </c>
      <c r="F79" s="74" t="s">
        <v>226</v>
      </c>
      <c r="G79" s="74" t="s">
        <v>231</v>
      </c>
      <c r="H79" s="75" t="n">
        <v>300</v>
      </c>
      <c r="I79" s="76" t="n">
        <v>21.368</v>
      </c>
      <c r="J79" s="76" t="n">
        <v>0.071</v>
      </c>
      <c r="K79" s="76" t="n">
        <v>0.314</v>
      </c>
      <c r="L79" s="75" t="n">
        <v>3.3</v>
      </c>
      <c r="M79" s="77" t="n">
        <v>45</v>
      </c>
      <c r="N79" s="75" t="n">
        <v>39.3</v>
      </c>
      <c r="O79" s="76" t="n">
        <v>2.823</v>
      </c>
      <c r="P79" s="76" t="n">
        <v>0.072</v>
      </c>
      <c r="Q79" s="76" t="n">
        <v>0.304</v>
      </c>
      <c r="R79" s="75" t="n">
        <v>7.6</v>
      </c>
      <c r="S79" s="77" t="n">
        <v>6046</v>
      </c>
      <c r="T79" s="75" t="n">
        <v>0</v>
      </c>
      <c r="U79" s="75" t="n">
        <v>10.4</v>
      </c>
      <c r="V79" s="77" t="n">
        <v>41</v>
      </c>
      <c r="W79" s="75" t="n">
        <v>22.6</v>
      </c>
      <c r="X79" s="76" t="n">
        <v>1.824</v>
      </c>
      <c r="Y79" s="76" t="n">
        <v>0.081</v>
      </c>
      <c r="Z79" s="76" t="n">
        <v>0.306</v>
      </c>
      <c r="AA79" s="75" t="n">
        <v>6.6</v>
      </c>
      <c r="AB79" s="77" t="n">
        <v>4025</v>
      </c>
      <c r="AC79" s="75" t="n">
        <v>0</v>
      </c>
      <c r="AD79" s="75" t="n">
        <v>8.3</v>
      </c>
      <c r="AE79" s="77" t="n">
        <v>54</v>
      </c>
      <c r="AF79" s="75" t="n">
        <v>98.4</v>
      </c>
      <c r="AG79" s="76" t="n">
        <v>7.47</v>
      </c>
      <c r="AH79" s="76" t="n">
        <v>0.076</v>
      </c>
      <c r="AI79" s="75" t="n">
        <v>0</v>
      </c>
      <c r="AJ79" s="77" t="n">
        <v>54</v>
      </c>
      <c r="AK79" s="75" t="n">
        <v>201.6</v>
      </c>
      <c r="AL79" s="76" t="n">
        <v>13.898</v>
      </c>
      <c r="AM79" s="76" t="n">
        <v>0.069</v>
      </c>
      <c r="AN79" s="75" t="n">
        <v>3.3</v>
      </c>
      <c r="AO79" s="78" t="n">
        <f aca="false">Table2[[#This Row],[Inside_._time]]/Table2[[#This Row],[Duration]]</f>
        <v>0.328</v>
      </c>
      <c r="AP79" s="78" t="n">
        <f aca="false">Table2[[#This Row],[Outside_._time]]/Table2[[#This Row],[Duration]]</f>
        <v>0.672</v>
      </c>
      <c r="AQ79" s="78" t="n">
        <f aca="false">Table2[[#This Row],[Inside_._distance]]/Table2[[#This Row],[Distance]]</f>
        <v>0.349588169225009</v>
      </c>
      <c r="AR79" s="97" t="n">
        <f aca="false">Table2[[#This Row],[Outside_._distance]]/Table2[[#This Row],[Distance]]</f>
        <v>0.650411830774991</v>
      </c>
      <c r="AS79" s="79"/>
      <c r="AT79" s="79"/>
      <c r="AU79" s="79"/>
      <c r="AV79" s="80"/>
      <c r="AW79" s="79"/>
      <c r="AX79" s="81"/>
      <c r="AY79" s="82" t="s">
        <v>79</v>
      </c>
      <c r="AZ79" s="82" t="s">
        <v>65</v>
      </c>
      <c r="BA79" s="82" t="s">
        <v>66</v>
      </c>
      <c r="BB79" s="83" t="n">
        <v>110</v>
      </c>
      <c r="BC79" s="84" t="n">
        <v>3.66666666666667</v>
      </c>
      <c r="BD79" s="85" t="s">
        <v>80</v>
      </c>
      <c r="BE79" s="82" t="n">
        <v>1</v>
      </c>
      <c r="BF79" s="86" t="s">
        <v>81</v>
      </c>
    </row>
    <row r="80" customFormat="false" ht="12" hidden="false" customHeight="true" outlineLevel="0" collapsed="false">
      <c r="A80" s="73" t="n">
        <v>6</v>
      </c>
      <c r="B80" s="74" t="s">
        <v>82</v>
      </c>
      <c r="C80" s="74" t="s">
        <v>224</v>
      </c>
      <c r="D80" s="74" t="s">
        <v>60</v>
      </c>
      <c r="E80" s="74" t="s">
        <v>225</v>
      </c>
      <c r="F80" s="74" t="s">
        <v>232</v>
      </c>
      <c r="G80" s="74" t="s">
        <v>233</v>
      </c>
      <c r="H80" s="75" t="n">
        <v>300</v>
      </c>
      <c r="I80" s="76" t="n">
        <v>34.346</v>
      </c>
      <c r="J80" s="76" t="n">
        <v>0.114</v>
      </c>
      <c r="K80" s="76" t="n">
        <v>0.386</v>
      </c>
      <c r="L80" s="75" t="n">
        <v>1.4</v>
      </c>
      <c r="M80" s="77" t="n">
        <v>41</v>
      </c>
      <c r="N80" s="75" t="n">
        <v>19.2</v>
      </c>
      <c r="O80" s="76" t="n">
        <v>3.047</v>
      </c>
      <c r="P80" s="76" t="n">
        <v>0.159</v>
      </c>
      <c r="Q80" s="76" t="n">
        <v>0.35</v>
      </c>
      <c r="R80" s="75" t="n">
        <v>3.1</v>
      </c>
      <c r="S80" s="77" t="n">
        <v>1759</v>
      </c>
      <c r="T80" s="75" t="n">
        <v>0</v>
      </c>
      <c r="U80" s="75" t="n">
        <v>4.6</v>
      </c>
      <c r="V80" s="77" t="n">
        <v>27</v>
      </c>
      <c r="W80" s="75" t="n">
        <v>19</v>
      </c>
      <c r="X80" s="76" t="n">
        <v>1.95</v>
      </c>
      <c r="Y80" s="76" t="n">
        <v>0.102</v>
      </c>
      <c r="Z80" s="76" t="n">
        <v>0.325</v>
      </c>
      <c r="AA80" s="75" t="n">
        <v>1.6</v>
      </c>
      <c r="AB80" s="77" t="n">
        <v>1528</v>
      </c>
      <c r="AC80" s="75" t="n">
        <v>1.4</v>
      </c>
      <c r="AD80" s="75" t="n">
        <v>3</v>
      </c>
      <c r="AE80" s="77" t="n">
        <v>41</v>
      </c>
      <c r="AF80" s="75" t="n">
        <v>54.4</v>
      </c>
      <c r="AG80" s="76" t="n">
        <v>6.962</v>
      </c>
      <c r="AH80" s="76" t="n">
        <v>0.128</v>
      </c>
      <c r="AI80" s="75" t="n">
        <v>1.4</v>
      </c>
      <c r="AJ80" s="77" t="n">
        <v>42</v>
      </c>
      <c r="AK80" s="75" t="n">
        <v>245.6</v>
      </c>
      <c r="AL80" s="76" t="n">
        <v>27.384</v>
      </c>
      <c r="AM80" s="76" t="n">
        <v>0.112</v>
      </c>
      <c r="AN80" s="75" t="n">
        <v>0</v>
      </c>
      <c r="AO80" s="78" t="n">
        <f aca="false">Table2[[#This Row],[Inside_._time]]/Table2[[#This Row],[Duration]]</f>
        <v>0.181333333333333</v>
      </c>
      <c r="AP80" s="78" t="n">
        <f aca="false">Table2[[#This Row],[Outside_._time]]/Table2[[#This Row],[Duration]]</f>
        <v>0.818666666666667</v>
      </c>
      <c r="AQ80" s="78" t="n">
        <f aca="false">Table2[[#This Row],[Inside_._distance]]/Table2[[#This Row],[Distance]]</f>
        <v>0.202701915798055</v>
      </c>
      <c r="AR80" s="97" t="n">
        <f aca="false">Table2[[#This Row],[Outside_._distance]]/Table2[[#This Row],[Distance]]</f>
        <v>0.797298084201945</v>
      </c>
      <c r="AS80" s="79"/>
      <c r="AT80" s="79"/>
      <c r="AU80" s="79"/>
      <c r="AV80" s="80"/>
      <c r="AW80" s="79"/>
      <c r="AX80" s="81"/>
      <c r="AY80" s="82" t="s">
        <v>79</v>
      </c>
      <c r="AZ80" s="82" t="s">
        <v>65</v>
      </c>
      <c r="BA80" s="82" t="s">
        <v>66</v>
      </c>
      <c r="BB80" s="83" t="n">
        <v>110</v>
      </c>
      <c r="BC80" s="84" t="n">
        <v>3.66666666666667</v>
      </c>
      <c r="BD80" s="85" t="s">
        <v>67</v>
      </c>
      <c r="BE80" s="82" t="n">
        <v>2</v>
      </c>
      <c r="BF80" s="86" t="s">
        <v>85</v>
      </c>
    </row>
    <row r="81" customFormat="false" ht="12" hidden="false" customHeight="true" outlineLevel="0" collapsed="false">
      <c r="A81" s="73" t="n">
        <v>5</v>
      </c>
      <c r="B81" s="74" t="s">
        <v>86</v>
      </c>
      <c r="C81" s="74" t="s">
        <v>224</v>
      </c>
      <c r="D81" s="74" t="s">
        <v>70</v>
      </c>
      <c r="E81" s="74" t="s">
        <v>225</v>
      </c>
      <c r="F81" s="74" t="s">
        <v>232</v>
      </c>
      <c r="G81" s="74" t="s">
        <v>234</v>
      </c>
      <c r="H81" s="75" t="n">
        <v>300</v>
      </c>
      <c r="I81" s="76" t="n">
        <v>15.92</v>
      </c>
      <c r="J81" s="76" t="n">
        <v>0.053</v>
      </c>
      <c r="K81" s="76" t="n">
        <v>0.246</v>
      </c>
      <c r="L81" s="75" t="n">
        <v>7.7</v>
      </c>
      <c r="M81" s="77" t="n">
        <v>26</v>
      </c>
      <c r="N81" s="75" t="n">
        <v>19.2</v>
      </c>
      <c r="O81" s="76" t="n">
        <v>1.28</v>
      </c>
      <c r="P81" s="76" t="n">
        <v>0.067</v>
      </c>
      <c r="Q81" s="76" t="n">
        <v>0.239</v>
      </c>
      <c r="R81" s="75" t="n">
        <v>5.6</v>
      </c>
      <c r="S81" s="77" t="n">
        <v>1780</v>
      </c>
      <c r="T81" s="75" t="n">
        <v>0</v>
      </c>
      <c r="U81" s="75" t="n">
        <v>8.1</v>
      </c>
      <c r="V81" s="77" t="n">
        <v>33</v>
      </c>
      <c r="W81" s="75" t="n">
        <v>31.9</v>
      </c>
      <c r="X81" s="76" t="n">
        <v>1.786</v>
      </c>
      <c r="Y81" s="76" t="n">
        <v>0.056</v>
      </c>
      <c r="Z81" s="76" t="n">
        <v>0.245</v>
      </c>
      <c r="AA81" s="75" t="n">
        <v>3.5</v>
      </c>
      <c r="AB81" s="77" t="n">
        <v>2625</v>
      </c>
      <c r="AC81" s="75" t="n">
        <v>4.6</v>
      </c>
      <c r="AD81" s="75" t="n">
        <v>6.3</v>
      </c>
      <c r="AE81" s="77" t="n">
        <v>31</v>
      </c>
      <c r="AF81" s="75" t="n">
        <v>80.8</v>
      </c>
      <c r="AG81" s="76" t="n">
        <v>4.179</v>
      </c>
      <c r="AH81" s="76" t="n">
        <v>0.052</v>
      </c>
      <c r="AI81" s="75" t="n">
        <v>4.4</v>
      </c>
      <c r="AJ81" s="77" t="n">
        <v>31</v>
      </c>
      <c r="AK81" s="75" t="n">
        <v>219.2</v>
      </c>
      <c r="AL81" s="76" t="n">
        <v>11.741</v>
      </c>
      <c r="AM81" s="76" t="n">
        <v>0.054</v>
      </c>
      <c r="AN81" s="75" t="n">
        <v>3.3</v>
      </c>
      <c r="AO81" s="78" t="n">
        <f aca="false">Table2[[#This Row],[Inside_._time]]/Table2[[#This Row],[Duration]]</f>
        <v>0.269333333333333</v>
      </c>
      <c r="AP81" s="78" t="n">
        <f aca="false">Table2[[#This Row],[Outside_._time]]/Table2[[#This Row],[Duration]]</f>
        <v>0.730666666666667</v>
      </c>
      <c r="AQ81" s="78" t="n">
        <f aca="false">Table2[[#This Row],[Inside_._distance]]/Table2[[#This Row],[Distance]]</f>
        <v>0.2625</v>
      </c>
      <c r="AR81" s="97" t="n">
        <f aca="false">Table2[[#This Row],[Outside_._distance]]/Table2[[#This Row],[Distance]]</f>
        <v>0.7375</v>
      </c>
      <c r="AS81" s="79"/>
      <c r="AT81" s="79"/>
      <c r="AU81" s="79"/>
      <c r="AV81" s="80"/>
      <c r="AW81" s="79"/>
      <c r="AX81" s="81"/>
      <c r="AY81" s="82" t="s">
        <v>64</v>
      </c>
      <c r="AZ81" s="82" t="s">
        <v>65</v>
      </c>
      <c r="BA81" s="82" t="s">
        <v>66</v>
      </c>
      <c r="BB81" s="83" t="n">
        <v>100</v>
      </c>
      <c r="BC81" s="84" t="n">
        <v>3.33333333333333</v>
      </c>
      <c r="BD81" s="85" t="s">
        <v>80</v>
      </c>
      <c r="BE81" s="82" t="n">
        <v>1</v>
      </c>
      <c r="BF81" s="86"/>
    </row>
    <row r="82" customFormat="false" ht="12" hidden="false" customHeight="true" outlineLevel="0" collapsed="false">
      <c r="A82" s="73" t="n">
        <v>7</v>
      </c>
      <c r="B82" s="74" t="s">
        <v>89</v>
      </c>
      <c r="C82" s="74" t="s">
        <v>224</v>
      </c>
      <c r="D82" s="74" t="s">
        <v>73</v>
      </c>
      <c r="E82" s="74" t="s">
        <v>225</v>
      </c>
      <c r="F82" s="74" t="s">
        <v>235</v>
      </c>
      <c r="G82" s="74" t="s">
        <v>236</v>
      </c>
      <c r="H82" s="75" t="n">
        <v>300</v>
      </c>
      <c r="I82" s="76" t="n">
        <v>16.03</v>
      </c>
      <c r="J82" s="76" t="n">
        <v>0.053</v>
      </c>
      <c r="K82" s="76" t="n">
        <v>0.291</v>
      </c>
      <c r="L82" s="75" t="n">
        <v>3.4</v>
      </c>
      <c r="M82" s="77" t="n">
        <v>32</v>
      </c>
      <c r="N82" s="75" t="n">
        <v>35.5</v>
      </c>
      <c r="O82" s="76" t="n">
        <v>2.056</v>
      </c>
      <c r="P82" s="76" t="n">
        <v>0.058</v>
      </c>
      <c r="Q82" s="76" t="n">
        <v>0.252</v>
      </c>
      <c r="R82" s="75" t="n">
        <v>10.1</v>
      </c>
      <c r="S82" s="77" t="n">
        <v>2983</v>
      </c>
      <c r="T82" s="75" t="n">
        <v>0</v>
      </c>
      <c r="U82" s="75" t="n">
        <v>11.4</v>
      </c>
      <c r="V82" s="77" t="n">
        <v>23</v>
      </c>
      <c r="W82" s="75" t="n">
        <v>11.9</v>
      </c>
      <c r="X82" s="76" t="n">
        <v>1.398</v>
      </c>
      <c r="Y82" s="76" t="n">
        <v>0.117</v>
      </c>
      <c r="Z82" s="76" t="n">
        <v>0.288</v>
      </c>
      <c r="AA82" s="75" t="n">
        <v>2.1</v>
      </c>
      <c r="AB82" s="77" t="n">
        <v>1141</v>
      </c>
      <c r="AC82" s="75" t="n">
        <v>0</v>
      </c>
      <c r="AD82" s="75" t="n">
        <v>4.4</v>
      </c>
      <c r="AE82" s="77" t="n">
        <v>33</v>
      </c>
      <c r="AF82" s="75" t="n">
        <v>85.4</v>
      </c>
      <c r="AG82" s="76" t="n">
        <v>5.314</v>
      </c>
      <c r="AH82" s="76" t="n">
        <v>0.062</v>
      </c>
      <c r="AI82" s="75" t="n">
        <v>0</v>
      </c>
      <c r="AJ82" s="77" t="n">
        <v>32</v>
      </c>
      <c r="AK82" s="75" t="n">
        <v>214.6</v>
      </c>
      <c r="AL82" s="76" t="n">
        <v>10.716</v>
      </c>
      <c r="AM82" s="76" t="n">
        <v>0.05</v>
      </c>
      <c r="AN82" s="75" t="n">
        <v>3.4</v>
      </c>
      <c r="AO82" s="78" t="n">
        <f aca="false">Table2[[#This Row],[Inside_._time]]/Table2[[#This Row],[Duration]]</f>
        <v>0.284666666666667</v>
      </c>
      <c r="AP82" s="78" t="n">
        <f aca="false">Table2[[#This Row],[Outside_._time]]/Table2[[#This Row],[Duration]]</f>
        <v>0.715333333333333</v>
      </c>
      <c r="AQ82" s="78" t="n">
        <f aca="false">Table2[[#This Row],[Inside_._distance]]/Table2[[#This Row],[Distance]]</f>
        <v>0.33150343106675</v>
      </c>
      <c r="AR82" s="97" t="n">
        <f aca="false">Table2[[#This Row],[Outside_._distance]]/Table2[[#This Row],[Distance]]</f>
        <v>0.66849656893325</v>
      </c>
      <c r="AS82" s="79"/>
      <c r="AT82" s="79"/>
      <c r="AU82" s="79"/>
      <c r="AV82" s="80"/>
      <c r="AW82" s="79"/>
      <c r="AX82" s="81"/>
      <c r="AY82" s="82" t="s">
        <v>64</v>
      </c>
      <c r="AZ82" s="82" t="s">
        <v>65</v>
      </c>
      <c r="BA82" s="82" t="s">
        <v>66</v>
      </c>
      <c r="BB82" s="83" t="n">
        <v>100</v>
      </c>
      <c r="BC82" s="84" t="n">
        <v>3.33333333333333</v>
      </c>
      <c r="BD82" s="85" t="s">
        <v>67</v>
      </c>
      <c r="BE82" s="82" t="n">
        <v>2</v>
      </c>
      <c r="BF82" s="86"/>
    </row>
    <row r="83" customFormat="false" ht="12" hidden="false" customHeight="true" outlineLevel="0" collapsed="false">
      <c r="A83" s="73" t="n">
        <v>8</v>
      </c>
      <c r="B83" s="74" t="s">
        <v>91</v>
      </c>
      <c r="C83" s="74" t="s">
        <v>224</v>
      </c>
      <c r="D83" s="74" t="s">
        <v>77</v>
      </c>
      <c r="E83" s="74" t="s">
        <v>225</v>
      </c>
      <c r="F83" s="74" t="s">
        <v>235</v>
      </c>
      <c r="G83" s="74" t="s">
        <v>237</v>
      </c>
      <c r="H83" s="75" t="n">
        <v>300</v>
      </c>
      <c r="I83" s="76" t="n">
        <v>20.843</v>
      </c>
      <c r="J83" s="76" t="n">
        <v>0.069</v>
      </c>
      <c r="K83" s="76" t="n">
        <v>0.296</v>
      </c>
      <c r="L83" s="75" t="n">
        <v>6.5</v>
      </c>
      <c r="M83" s="77" t="n">
        <v>45</v>
      </c>
      <c r="N83" s="75" t="n">
        <v>35.9</v>
      </c>
      <c r="O83" s="76" t="n">
        <v>3.6</v>
      </c>
      <c r="P83" s="76" t="n">
        <v>0.1</v>
      </c>
      <c r="Q83" s="76" t="n">
        <v>0.296</v>
      </c>
      <c r="R83" s="75" t="n">
        <v>10</v>
      </c>
      <c r="S83" s="77" t="n">
        <v>3703</v>
      </c>
      <c r="T83" s="75" t="n">
        <v>0</v>
      </c>
      <c r="U83" s="75" t="n">
        <v>13</v>
      </c>
      <c r="V83" s="77" t="n">
        <v>18</v>
      </c>
      <c r="W83" s="75" t="n">
        <v>12.1</v>
      </c>
      <c r="X83" s="76" t="n">
        <v>0.952</v>
      </c>
      <c r="Y83" s="76" t="n">
        <v>0.079</v>
      </c>
      <c r="Z83" s="76" t="n">
        <v>0.271</v>
      </c>
      <c r="AA83" s="75" t="n">
        <v>3.8</v>
      </c>
      <c r="AB83" s="77" t="n">
        <v>1086</v>
      </c>
      <c r="AC83" s="75" t="n">
        <v>0</v>
      </c>
      <c r="AD83" s="75" t="n">
        <v>6.3</v>
      </c>
      <c r="AE83" s="77" t="n">
        <v>67</v>
      </c>
      <c r="AF83" s="75" t="n">
        <v>105.7</v>
      </c>
      <c r="AG83" s="76" t="n">
        <v>8.421</v>
      </c>
      <c r="AH83" s="76" t="n">
        <v>0.08</v>
      </c>
      <c r="AI83" s="75" t="n">
        <v>5.2</v>
      </c>
      <c r="AJ83" s="77" t="n">
        <v>67</v>
      </c>
      <c r="AK83" s="75" t="n">
        <v>194.3</v>
      </c>
      <c r="AL83" s="76" t="n">
        <v>12.422</v>
      </c>
      <c r="AM83" s="76" t="n">
        <v>0.064</v>
      </c>
      <c r="AN83" s="75" t="n">
        <v>1.3</v>
      </c>
      <c r="AO83" s="78" t="n">
        <f aca="false">Table2[[#This Row],[Inside_._time]]/Table2[[#This Row],[Duration]]</f>
        <v>0.352333333333333</v>
      </c>
      <c r="AP83" s="78" t="n">
        <f aca="false">Table2[[#This Row],[Outside_._time]]/Table2[[#This Row],[Duration]]</f>
        <v>0.647666666666667</v>
      </c>
      <c r="AQ83" s="78" t="n">
        <f aca="false">Table2[[#This Row],[Inside_._distance]]/Table2[[#This Row],[Distance]]</f>
        <v>0.404020534472005</v>
      </c>
      <c r="AR83" s="97" t="n">
        <f aca="false">Table2[[#This Row],[Outside_._distance]]/Table2[[#This Row],[Distance]]</f>
        <v>0.595979465527995</v>
      </c>
      <c r="AS83" s="79"/>
      <c r="AT83" s="79"/>
      <c r="AU83" s="79"/>
      <c r="AV83" s="80"/>
      <c r="AW83" s="79"/>
      <c r="AX83" s="81"/>
      <c r="AY83" s="82" t="s">
        <v>64</v>
      </c>
      <c r="AZ83" s="82" t="s">
        <v>65</v>
      </c>
      <c r="BA83" s="82" t="s">
        <v>93</v>
      </c>
      <c r="BB83" s="83" t="n">
        <v>100</v>
      </c>
      <c r="BC83" s="84" t="n">
        <v>3.33333333333333</v>
      </c>
      <c r="BD83" s="85" t="s">
        <v>67</v>
      </c>
      <c r="BE83" s="82" t="n">
        <v>4</v>
      </c>
      <c r="BF83" s="86" t="s">
        <v>94</v>
      </c>
    </row>
    <row r="84" customFormat="false" ht="12" hidden="false" customHeight="true" outlineLevel="0" collapsed="false">
      <c r="A84" s="73" t="n">
        <v>10</v>
      </c>
      <c r="B84" s="74" t="s">
        <v>95</v>
      </c>
      <c r="C84" s="74" t="s">
        <v>224</v>
      </c>
      <c r="D84" s="74" t="s">
        <v>60</v>
      </c>
      <c r="E84" s="74" t="s">
        <v>225</v>
      </c>
      <c r="F84" s="74" t="s">
        <v>238</v>
      </c>
      <c r="G84" s="74" t="s">
        <v>239</v>
      </c>
      <c r="H84" s="75" t="n">
        <v>300</v>
      </c>
      <c r="I84" s="76" t="n">
        <v>12.598</v>
      </c>
      <c r="J84" s="76" t="n">
        <v>0.042</v>
      </c>
      <c r="K84" s="76" t="n">
        <v>0.319</v>
      </c>
      <c r="L84" s="75" t="n">
        <v>39.6</v>
      </c>
      <c r="M84" s="77" t="n">
        <v>42</v>
      </c>
      <c r="N84" s="75" t="n">
        <v>27.3</v>
      </c>
      <c r="O84" s="76" t="n">
        <v>1.477</v>
      </c>
      <c r="P84" s="76" t="n">
        <v>0.054</v>
      </c>
      <c r="Q84" s="76" t="n">
        <v>0.319</v>
      </c>
      <c r="R84" s="75" t="n">
        <v>7.4</v>
      </c>
      <c r="S84" s="77" t="n">
        <v>2753</v>
      </c>
      <c r="T84" s="75" t="n">
        <v>2.2</v>
      </c>
      <c r="U84" s="75" t="n">
        <v>12</v>
      </c>
      <c r="V84" s="77" t="n">
        <v>12</v>
      </c>
      <c r="W84" s="75" t="n">
        <v>7.6</v>
      </c>
      <c r="X84" s="76" t="n">
        <v>0.726</v>
      </c>
      <c r="Y84" s="76" t="n">
        <v>0.095</v>
      </c>
      <c r="Z84" s="76" t="n">
        <v>0.259</v>
      </c>
      <c r="AA84" s="75" t="n">
        <v>2</v>
      </c>
      <c r="AB84" s="77" t="n">
        <v>986</v>
      </c>
      <c r="AC84" s="75" t="n">
        <v>0</v>
      </c>
      <c r="AD84" s="75" t="n">
        <v>2.7</v>
      </c>
      <c r="AE84" s="77" t="n">
        <v>18</v>
      </c>
      <c r="AF84" s="75" t="n">
        <v>65</v>
      </c>
      <c r="AG84" s="76" t="n">
        <v>2.371</v>
      </c>
      <c r="AH84" s="76" t="n">
        <v>0.036</v>
      </c>
      <c r="AI84" s="75" t="n">
        <v>8.4</v>
      </c>
      <c r="AJ84" s="77" t="n">
        <v>18</v>
      </c>
      <c r="AK84" s="75" t="n">
        <v>235</v>
      </c>
      <c r="AL84" s="76" t="n">
        <v>10.227</v>
      </c>
      <c r="AM84" s="76" t="n">
        <v>0.044</v>
      </c>
      <c r="AN84" s="75" t="n">
        <v>31.2</v>
      </c>
      <c r="AO84" s="78" t="n">
        <f aca="false">Table2[[#This Row],[Inside_._time]]/Table2[[#This Row],[Duration]]</f>
        <v>0.216666666666667</v>
      </c>
      <c r="AP84" s="78" t="n">
        <f aca="false">Table2[[#This Row],[Outside_._time]]/Table2[[#This Row],[Duration]]</f>
        <v>0.783333333333333</v>
      </c>
      <c r="AQ84" s="78" t="n">
        <f aca="false">Table2[[#This Row],[Inside_._distance]]/Table2[[#This Row],[Distance]]</f>
        <v>0.188204476901095</v>
      </c>
      <c r="AR84" s="97" t="n">
        <f aca="false">Table2[[#This Row],[Outside_._distance]]/Table2[[#This Row],[Distance]]</f>
        <v>0.811795523098905</v>
      </c>
      <c r="AS84" s="79"/>
      <c r="AT84" s="79"/>
      <c r="AU84" s="79"/>
      <c r="AV84" s="80"/>
      <c r="AW84" s="79"/>
      <c r="AX84" s="81"/>
      <c r="AY84" s="82" t="s">
        <v>79</v>
      </c>
      <c r="AZ84" s="82" t="s">
        <v>65</v>
      </c>
      <c r="BA84" s="82" t="s">
        <v>93</v>
      </c>
      <c r="BB84" s="83" t="n">
        <v>100</v>
      </c>
      <c r="BC84" s="84" t="n">
        <v>3.33333333333333</v>
      </c>
      <c r="BD84" s="85" t="s">
        <v>67</v>
      </c>
      <c r="BE84" s="82" t="n">
        <v>4</v>
      </c>
      <c r="BF84" s="86"/>
    </row>
    <row r="85" customFormat="false" ht="12" hidden="false" customHeight="true" outlineLevel="0" collapsed="false">
      <c r="A85" s="73" t="n">
        <v>9</v>
      </c>
      <c r="B85" s="74" t="s">
        <v>98</v>
      </c>
      <c r="C85" s="74" t="s">
        <v>224</v>
      </c>
      <c r="D85" s="74" t="s">
        <v>70</v>
      </c>
      <c r="E85" s="74" t="s">
        <v>225</v>
      </c>
      <c r="F85" s="74" t="s">
        <v>238</v>
      </c>
      <c r="G85" s="74" t="s">
        <v>240</v>
      </c>
      <c r="H85" s="75" t="n">
        <v>300</v>
      </c>
      <c r="I85" s="76" t="n">
        <v>20.174</v>
      </c>
      <c r="J85" s="76" t="n">
        <v>0.067</v>
      </c>
      <c r="K85" s="76" t="n">
        <v>0.315</v>
      </c>
      <c r="L85" s="75" t="n">
        <v>26.1</v>
      </c>
      <c r="M85" s="77" t="n">
        <v>27</v>
      </c>
      <c r="N85" s="75" t="n">
        <v>22.1</v>
      </c>
      <c r="O85" s="76" t="n">
        <v>1.735</v>
      </c>
      <c r="P85" s="76" t="n">
        <v>0.079</v>
      </c>
      <c r="Q85" s="76" t="n">
        <v>0.29</v>
      </c>
      <c r="R85" s="75" t="n">
        <v>4.8</v>
      </c>
      <c r="S85" s="77" t="n">
        <v>2563</v>
      </c>
      <c r="T85" s="75" t="n">
        <v>1.1</v>
      </c>
      <c r="U85" s="75" t="n">
        <v>7</v>
      </c>
      <c r="V85" s="77" t="n">
        <v>33</v>
      </c>
      <c r="W85" s="75" t="n">
        <v>18.4</v>
      </c>
      <c r="X85" s="76" t="n">
        <v>2.109</v>
      </c>
      <c r="Y85" s="76" t="n">
        <v>0.115</v>
      </c>
      <c r="Z85" s="76" t="n">
        <v>0.282</v>
      </c>
      <c r="AA85" s="75" t="n">
        <v>4</v>
      </c>
      <c r="AB85" s="77" t="n">
        <v>2239</v>
      </c>
      <c r="AC85" s="75" t="n">
        <v>0</v>
      </c>
      <c r="AD85" s="75" t="n">
        <v>5.4</v>
      </c>
      <c r="AE85" s="77" t="n">
        <v>33</v>
      </c>
      <c r="AF85" s="75" t="n">
        <v>65.4</v>
      </c>
      <c r="AG85" s="76" t="n">
        <v>4.912</v>
      </c>
      <c r="AH85" s="76" t="n">
        <v>0.075</v>
      </c>
      <c r="AI85" s="75" t="n">
        <v>5.2</v>
      </c>
      <c r="AJ85" s="77" t="n">
        <v>32</v>
      </c>
      <c r="AK85" s="75" t="n">
        <v>234.6</v>
      </c>
      <c r="AL85" s="76" t="n">
        <v>15.262</v>
      </c>
      <c r="AM85" s="76" t="n">
        <v>0.065</v>
      </c>
      <c r="AN85" s="75" t="n">
        <v>20.9</v>
      </c>
      <c r="AO85" s="78" t="n">
        <f aca="false">Table2[[#This Row],[Inside_._time]]/Table2[[#This Row],[Duration]]</f>
        <v>0.218</v>
      </c>
      <c r="AP85" s="78" t="n">
        <f aca="false">Table2[[#This Row],[Outside_._time]]/Table2[[#This Row],[Duration]]</f>
        <v>0.782</v>
      </c>
      <c r="AQ85" s="78" t="n">
        <f aca="false">Table2[[#This Row],[Inside_._distance]]/Table2[[#This Row],[Distance]]</f>
        <v>0.243481709130564</v>
      </c>
      <c r="AR85" s="97" t="n">
        <f aca="false">Table2[[#This Row],[Outside_._distance]]/Table2[[#This Row],[Distance]]</f>
        <v>0.756518290869436</v>
      </c>
      <c r="AS85" s="79"/>
      <c r="AT85" s="79"/>
      <c r="AU85" s="79"/>
      <c r="AV85" s="80"/>
      <c r="AW85" s="79"/>
      <c r="AX85" s="81"/>
      <c r="AY85" s="82" t="s">
        <v>79</v>
      </c>
      <c r="AZ85" s="82" t="s">
        <v>65</v>
      </c>
      <c r="BA85" s="82" t="s">
        <v>66</v>
      </c>
      <c r="BB85" s="83" t="n">
        <v>95</v>
      </c>
      <c r="BC85" s="84" t="n">
        <v>3.16666666666667</v>
      </c>
      <c r="BD85" s="85" t="s">
        <v>80</v>
      </c>
      <c r="BE85" s="82" t="n">
        <v>1</v>
      </c>
      <c r="BF85" s="86"/>
    </row>
    <row r="86" customFormat="false" ht="12" hidden="false" customHeight="true" outlineLevel="0" collapsed="false">
      <c r="A86" s="73" t="n">
        <v>11</v>
      </c>
      <c r="B86" s="74" t="s">
        <v>100</v>
      </c>
      <c r="C86" s="74" t="s">
        <v>224</v>
      </c>
      <c r="D86" s="74" t="s">
        <v>73</v>
      </c>
      <c r="E86" s="74" t="s">
        <v>225</v>
      </c>
      <c r="F86" s="74" t="s">
        <v>241</v>
      </c>
      <c r="G86" s="74" t="s">
        <v>242</v>
      </c>
      <c r="H86" s="75" t="n">
        <v>300</v>
      </c>
      <c r="I86" s="76" t="n">
        <v>16.052</v>
      </c>
      <c r="J86" s="76" t="n">
        <v>0.054</v>
      </c>
      <c r="K86" s="76" t="n">
        <v>0.387</v>
      </c>
      <c r="L86" s="75" t="n">
        <v>16.2</v>
      </c>
      <c r="M86" s="77" t="n">
        <v>22</v>
      </c>
      <c r="N86" s="75" t="n">
        <v>7</v>
      </c>
      <c r="O86" s="76" t="n">
        <v>0.989</v>
      </c>
      <c r="P86" s="76" t="n">
        <v>0.141</v>
      </c>
      <c r="Q86" s="76" t="n">
        <v>0.291</v>
      </c>
      <c r="R86" s="75" t="n">
        <v>1.3</v>
      </c>
      <c r="S86" s="77" t="n">
        <v>940</v>
      </c>
      <c r="T86" s="75" t="n">
        <v>0</v>
      </c>
      <c r="U86" s="75" t="n">
        <v>2.9</v>
      </c>
      <c r="V86" s="77" t="n">
        <v>36</v>
      </c>
      <c r="W86" s="75" t="n">
        <v>24.3</v>
      </c>
      <c r="X86" s="76" t="n">
        <v>2.084</v>
      </c>
      <c r="Y86" s="76" t="n">
        <v>0.086</v>
      </c>
      <c r="Z86" s="76" t="n">
        <v>0.315</v>
      </c>
      <c r="AA86" s="75" t="n">
        <v>6.5</v>
      </c>
      <c r="AB86" s="77" t="n">
        <v>2658</v>
      </c>
      <c r="AC86" s="75" t="n">
        <v>0</v>
      </c>
      <c r="AD86" s="75" t="n">
        <v>9.3</v>
      </c>
      <c r="AE86" s="77" t="n">
        <v>34</v>
      </c>
      <c r="AF86" s="75" t="n">
        <v>61.4</v>
      </c>
      <c r="AG86" s="76" t="n">
        <v>4.749</v>
      </c>
      <c r="AH86" s="76" t="n">
        <v>0.077</v>
      </c>
      <c r="AI86" s="75" t="n">
        <v>0</v>
      </c>
      <c r="AJ86" s="77" t="n">
        <v>34</v>
      </c>
      <c r="AK86" s="75" t="n">
        <v>238.6</v>
      </c>
      <c r="AL86" s="76" t="n">
        <v>11.303</v>
      </c>
      <c r="AM86" s="76" t="n">
        <v>0.047</v>
      </c>
      <c r="AN86" s="75" t="n">
        <v>16.2</v>
      </c>
      <c r="AO86" s="78" t="n">
        <f aca="false">Table2[[#This Row],[Inside_._time]]/Table2[[#This Row],[Duration]]</f>
        <v>0.204666666666667</v>
      </c>
      <c r="AP86" s="78" t="n">
        <f aca="false">Table2[[#This Row],[Outside_._time]]/Table2[[#This Row],[Duration]]</f>
        <v>0.795333333333333</v>
      </c>
      <c r="AQ86" s="78" t="n">
        <f aca="false">Table2[[#This Row],[Inside_._distance]]/Table2[[#This Row],[Distance]]</f>
        <v>0.295850984301022</v>
      </c>
      <c r="AR86" s="78" t="n">
        <f aca="false">Table2[[#This Row],[Outside_._distance]]/Table2[[#This Row],[Distance]]</f>
        <v>0.704149015698978</v>
      </c>
      <c r="AS86" s="79"/>
      <c r="AT86" s="79"/>
      <c r="AU86" s="79"/>
      <c r="AV86" s="80"/>
      <c r="AW86" s="79"/>
      <c r="AX86" s="81"/>
      <c r="AY86" s="82" t="s">
        <v>64</v>
      </c>
      <c r="AZ86" s="82" t="s">
        <v>65</v>
      </c>
      <c r="BA86" s="82" t="s">
        <v>93</v>
      </c>
      <c r="BB86" s="83" t="n">
        <v>95</v>
      </c>
      <c r="BC86" s="84" t="n">
        <v>3.16666666666667</v>
      </c>
      <c r="BD86" s="85" t="s">
        <v>80</v>
      </c>
      <c r="BE86" s="82" t="n">
        <v>3</v>
      </c>
      <c r="BF86" s="86"/>
    </row>
    <row r="87" customFormat="false" ht="12" hidden="false" customHeight="true" outlineLevel="0" collapsed="false">
      <c r="A87" s="73" t="n">
        <v>12</v>
      </c>
      <c r="B87" s="74" t="s">
        <v>103</v>
      </c>
      <c r="C87" s="74" t="s">
        <v>224</v>
      </c>
      <c r="D87" s="74" t="s">
        <v>77</v>
      </c>
      <c r="E87" s="74" t="s">
        <v>225</v>
      </c>
      <c r="F87" s="74" t="s">
        <v>241</v>
      </c>
      <c r="G87" s="74" t="s">
        <v>243</v>
      </c>
      <c r="H87" s="75" t="n">
        <v>300</v>
      </c>
      <c r="I87" s="76" t="n">
        <v>11.085</v>
      </c>
      <c r="J87" s="76" t="n">
        <v>0.037</v>
      </c>
      <c r="K87" s="76" t="n">
        <v>0.294</v>
      </c>
      <c r="L87" s="75" t="n">
        <v>98</v>
      </c>
      <c r="M87" s="77" t="n">
        <v>18</v>
      </c>
      <c r="N87" s="75" t="n">
        <v>14.3</v>
      </c>
      <c r="O87" s="76" t="n">
        <v>1.135</v>
      </c>
      <c r="P87" s="76" t="n">
        <v>0.079</v>
      </c>
      <c r="Q87" s="76" t="n">
        <v>0.267</v>
      </c>
      <c r="R87" s="75" t="n">
        <v>3.7</v>
      </c>
      <c r="S87" s="77" t="n">
        <v>1411</v>
      </c>
      <c r="T87" s="75" t="n">
        <v>0.9</v>
      </c>
      <c r="U87" s="75" t="n">
        <v>5.2</v>
      </c>
      <c r="V87" s="77" t="n">
        <v>17</v>
      </c>
      <c r="W87" s="75" t="n">
        <v>20.5</v>
      </c>
      <c r="X87" s="76" t="n">
        <v>0.415</v>
      </c>
      <c r="Y87" s="76" t="n">
        <v>0.02</v>
      </c>
      <c r="Z87" s="76" t="n">
        <v>0.268</v>
      </c>
      <c r="AA87" s="75" t="n">
        <v>10.8</v>
      </c>
      <c r="AB87" s="77" t="n">
        <v>1876</v>
      </c>
      <c r="AC87" s="75" t="n">
        <v>7.5</v>
      </c>
      <c r="AD87" s="75" t="n">
        <v>12.5</v>
      </c>
      <c r="AE87" s="77" t="n">
        <v>9</v>
      </c>
      <c r="AF87" s="75" t="n">
        <v>40.4</v>
      </c>
      <c r="AG87" s="76" t="n">
        <v>1.324</v>
      </c>
      <c r="AH87" s="76" t="n">
        <v>0.033</v>
      </c>
      <c r="AI87" s="75" t="n">
        <v>10.1</v>
      </c>
      <c r="AJ87" s="77" t="n">
        <v>8</v>
      </c>
      <c r="AK87" s="75" t="n">
        <v>259.6</v>
      </c>
      <c r="AL87" s="76" t="n">
        <v>9.761</v>
      </c>
      <c r="AM87" s="76" t="n">
        <v>0.038</v>
      </c>
      <c r="AN87" s="75" t="n">
        <v>87.9</v>
      </c>
      <c r="AO87" s="78" t="n">
        <f aca="false">Table2[[#This Row],[Inside_._time]]/Table2[[#This Row],[Duration]]</f>
        <v>0.134666666666667</v>
      </c>
      <c r="AP87" s="78" t="n">
        <f aca="false">Table2[[#This Row],[Outside_._time]]/Table2[[#This Row],[Duration]]</f>
        <v>0.865333333333333</v>
      </c>
      <c r="AQ87" s="78" t="n">
        <f aca="false">Table2[[#This Row],[Inside_._distance]]/Table2[[#This Row],[Distance]]</f>
        <v>0.119440685611186</v>
      </c>
      <c r="AR87" s="78" t="n">
        <f aca="false">Table2[[#This Row],[Outside_._distance]]/Table2[[#This Row],[Distance]]</f>
        <v>0.880559314388814</v>
      </c>
      <c r="AS87" s="79"/>
      <c r="AT87" s="79"/>
      <c r="AU87" s="79"/>
      <c r="AV87" s="80"/>
      <c r="AW87" s="79"/>
      <c r="AX87" s="81"/>
      <c r="AY87" s="82" t="s">
        <v>64</v>
      </c>
      <c r="AZ87" s="82" t="s">
        <v>105</v>
      </c>
      <c r="BA87" s="82" t="s">
        <v>66</v>
      </c>
      <c r="BB87" s="83" t="n">
        <v>95</v>
      </c>
      <c r="BC87" s="84" t="n">
        <v>3.16666666666667</v>
      </c>
      <c r="BD87" s="85" t="s">
        <v>67</v>
      </c>
      <c r="BE87" s="82" t="n">
        <v>6</v>
      </c>
      <c r="BF87" s="86"/>
    </row>
    <row r="88" customFormat="false" ht="12" hidden="false" customHeight="true" outlineLevel="0" collapsed="false">
      <c r="A88" s="73" t="n">
        <v>14</v>
      </c>
      <c r="B88" s="74" t="s">
        <v>106</v>
      </c>
      <c r="C88" s="74" t="s">
        <v>224</v>
      </c>
      <c r="D88" s="74" t="s">
        <v>60</v>
      </c>
      <c r="E88" s="74" t="s">
        <v>225</v>
      </c>
      <c r="F88" s="74" t="s">
        <v>244</v>
      </c>
      <c r="G88" s="74" t="s">
        <v>245</v>
      </c>
      <c r="H88" s="75" t="n">
        <v>300</v>
      </c>
      <c r="I88" s="76" t="n">
        <v>16.679</v>
      </c>
      <c r="J88" s="76" t="n">
        <v>0.056</v>
      </c>
      <c r="K88" s="76" t="n">
        <v>0.37</v>
      </c>
      <c r="L88" s="75" t="n">
        <v>39</v>
      </c>
      <c r="M88" s="77" t="n">
        <v>22</v>
      </c>
      <c r="N88" s="75" t="n">
        <v>33.6</v>
      </c>
      <c r="O88" s="76" t="n">
        <v>1.282</v>
      </c>
      <c r="P88" s="76" t="n">
        <v>0.038</v>
      </c>
      <c r="Q88" s="76" t="n">
        <v>0.289</v>
      </c>
      <c r="R88" s="75" t="n">
        <v>4.3</v>
      </c>
      <c r="S88" s="77" t="n">
        <v>3392</v>
      </c>
      <c r="T88" s="75" t="n">
        <v>2.2</v>
      </c>
      <c r="U88" s="75" t="n">
        <v>5.7</v>
      </c>
      <c r="V88" s="77" t="n">
        <v>22</v>
      </c>
      <c r="W88" s="75" t="n">
        <v>16.7</v>
      </c>
      <c r="X88" s="76" t="n">
        <v>1.193</v>
      </c>
      <c r="Y88" s="76" t="n">
        <v>0.071</v>
      </c>
      <c r="Z88" s="76" t="n">
        <v>0.31</v>
      </c>
      <c r="AA88" s="75" t="n">
        <v>5.2</v>
      </c>
      <c r="AB88" s="77" t="n">
        <v>1674</v>
      </c>
      <c r="AC88" s="75" t="n">
        <v>0</v>
      </c>
      <c r="AD88" s="75" t="n">
        <v>5</v>
      </c>
      <c r="AE88" s="77" t="n">
        <v>31</v>
      </c>
      <c r="AF88" s="75" t="n">
        <v>108.9</v>
      </c>
      <c r="AG88" s="76" t="n">
        <v>4.794</v>
      </c>
      <c r="AH88" s="76" t="n">
        <v>0.044</v>
      </c>
      <c r="AI88" s="75" t="n">
        <v>29.1</v>
      </c>
      <c r="AJ88" s="77" t="n">
        <v>30</v>
      </c>
      <c r="AK88" s="75" t="n">
        <v>191.1</v>
      </c>
      <c r="AL88" s="76" t="n">
        <v>11.885</v>
      </c>
      <c r="AM88" s="76" t="n">
        <v>0.062</v>
      </c>
      <c r="AN88" s="75" t="n">
        <v>9.9</v>
      </c>
      <c r="AO88" s="78" t="n">
        <f aca="false">Table2[[#This Row],[Inside_._time]]/Table2[[#This Row],[Duration]]</f>
        <v>0.363</v>
      </c>
      <c r="AP88" s="78" t="n">
        <f aca="false">Table2[[#This Row],[Outside_._time]]/Table2[[#This Row],[Duration]]</f>
        <v>0.637</v>
      </c>
      <c r="AQ88" s="78" t="n">
        <f aca="false">Table2[[#This Row],[Inside_._distance]]/Table2[[#This Row],[Distance]]</f>
        <v>0.287427303795192</v>
      </c>
      <c r="AR88" s="78" t="n">
        <f aca="false">Table2[[#This Row],[Outside_._distance]]/Table2[[#This Row],[Distance]]</f>
        <v>0.712572696204808</v>
      </c>
      <c r="AS88" s="79"/>
      <c r="AT88" s="79"/>
      <c r="AU88" s="79"/>
      <c r="AV88" s="80"/>
      <c r="AW88" s="79"/>
      <c r="AX88" s="81"/>
      <c r="AY88" s="82" t="s">
        <v>79</v>
      </c>
      <c r="AZ88" s="82" t="s">
        <v>65</v>
      </c>
      <c r="BA88" s="82" t="s">
        <v>93</v>
      </c>
      <c r="BB88" s="83" t="n">
        <v>85</v>
      </c>
      <c r="BC88" s="84" t="n">
        <v>2.83333333333333</v>
      </c>
      <c r="BD88" s="85" t="s">
        <v>80</v>
      </c>
      <c r="BE88" s="82" t="n">
        <v>3</v>
      </c>
      <c r="BF88" s="86"/>
    </row>
    <row r="89" customFormat="false" ht="12" hidden="false" customHeight="true" outlineLevel="0" collapsed="false">
      <c r="A89" s="73" t="n">
        <v>13</v>
      </c>
      <c r="B89" s="74" t="s">
        <v>109</v>
      </c>
      <c r="C89" s="74" t="s">
        <v>224</v>
      </c>
      <c r="D89" s="74" t="s">
        <v>70</v>
      </c>
      <c r="E89" s="74" t="s">
        <v>225</v>
      </c>
      <c r="F89" s="74" t="s">
        <v>244</v>
      </c>
      <c r="G89" s="74" t="s">
        <v>246</v>
      </c>
      <c r="H89" s="75" t="n">
        <v>300</v>
      </c>
      <c r="I89" s="76" t="n">
        <v>10.502</v>
      </c>
      <c r="J89" s="76" t="n">
        <v>0.035</v>
      </c>
      <c r="K89" s="76" t="n">
        <v>0.268</v>
      </c>
      <c r="L89" s="75" t="n">
        <v>88.3</v>
      </c>
      <c r="M89" s="77" t="n">
        <v>14</v>
      </c>
      <c r="N89" s="75" t="n">
        <v>11.1</v>
      </c>
      <c r="O89" s="76" t="n">
        <v>0.824</v>
      </c>
      <c r="P89" s="76" t="n">
        <v>0.074</v>
      </c>
      <c r="Q89" s="76" t="n">
        <v>0.2</v>
      </c>
      <c r="R89" s="75" t="n">
        <v>3</v>
      </c>
      <c r="S89" s="77" t="n">
        <v>1290</v>
      </c>
      <c r="T89" s="75" t="n">
        <v>1.4</v>
      </c>
      <c r="U89" s="75" t="n">
        <v>4.8</v>
      </c>
      <c r="V89" s="77" t="n">
        <v>13</v>
      </c>
      <c r="W89" s="75" t="n">
        <v>75.2</v>
      </c>
      <c r="X89" s="76" t="n">
        <v>0.815</v>
      </c>
      <c r="Y89" s="76" t="n">
        <v>0.011</v>
      </c>
      <c r="Z89" s="76" t="n">
        <v>0.268</v>
      </c>
      <c r="AA89" s="75" t="n">
        <v>4.3</v>
      </c>
      <c r="AB89" s="77" t="n">
        <v>7176</v>
      </c>
      <c r="AC89" s="75" t="n">
        <v>40.1</v>
      </c>
      <c r="AD89" s="75" t="n">
        <v>4.9</v>
      </c>
      <c r="AE89" s="77" t="n">
        <v>23</v>
      </c>
      <c r="AF89" s="75" t="n">
        <v>34.2</v>
      </c>
      <c r="AG89" s="76" t="n">
        <v>2.578</v>
      </c>
      <c r="AH89" s="76" t="n">
        <v>0.075</v>
      </c>
      <c r="AI89" s="75" t="n">
        <v>5.2</v>
      </c>
      <c r="AJ89" s="77" t="n">
        <v>23</v>
      </c>
      <c r="AK89" s="75" t="n">
        <v>265.8</v>
      </c>
      <c r="AL89" s="76" t="n">
        <v>7.924</v>
      </c>
      <c r="AM89" s="76" t="n">
        <v>0.03</v>
      </c>
      <c r="AN89" s="75" t="n">
        <v>83</v>
      </c>
      <c r="AO89" s="78" t="n">
        <f aca="false">Table2[[#This Row],[Inside_._time]]/Table2[[#This Row],[Duration]]</f>
        <v>0.114</v>
      </c>
      <c r="AP89" s="78" t="n">
        <f aca="false">Table2[[#This Row],[Outside_._time]]/Table2[[#This Row],[Duration]]</f>
        <v>0.886</v>
      </c>
      <c r="AQ89" s="78" t="n">
        <f aca="false">Table2[[#This Row],[Inside_._distance]]/Table2[[#This Row],[Distance]]</f>
        <v>0.245477051990097</v>
      </c>
      <c r="AR89" s="78" t="n">
        <f aca="false">Table2[[#This Row],[Outside_._distance]]/Table2[[#This Row],[Distance]]</f>
        <v>0.754522948009903</v>
      </c>
      <c r="AS89" s="79"/>
      <c r="AT89" s="79"/>
      <c r="AU89" s="79"/>
      <c r="AV89" s="80"/>
      <c r="AW89" s="79"/>
      <c r="AX89" s="81"/>
      <c r="AY89" s="82" t="s">
        <v>79</v>
      </c>
      <c r="AZ89" s="82" t="s">
        <v>65</v>
      </c>
      <c r="BA89" s="82" t="s">
        <v>66</v>
      </c>
      <c r="BB89" s="83" t="n">
        <v>85</v>
      </c>
      <c r="BC89" s="84" t="n">
        <v>2.83333333333333</v>
      </c>
      <c r="BD89" s="85" t="s">
        <v>67</v>
      </c>
      <c r="BE89" s="82" t="n">
        <v>2</v>
      </c>
      <c r="BF89" s="86"/>
    </row>
    <row r="90" customFormat="false" ht="12" hidden="false" customHeight="true" outlineLevel="0" collapsed="false">
      <c r="A90" s="73" t="n">
        <v>15</v>
      </c>
      <c r="B90" s="74" t="s">
        <v>111</v>
      </c>
      <c r="C90" s="74" t="s">
        <v>224</v>
      </c>
      <c r="D90" s="74" t="s">
        <v>73</v>
      </c>
      <c r="E90" s="74" t="s">
        <v>225</v>
      </c>
      <c r="F90" s="74" t="s">
        <v>247</v>
      </c>
      <c r="G90" s="74" t="s">
        <v>248</v>
      </c>
      <c r="H90" s="75" t="n">
        <v>300</v>
      </c>
      <c r="I90" s="76" t="n">
        <v>9.271</v>
      </c>
      <c r="J90" s="76" t="n">
        <v>0.031</v>
      </c>
      <c r="K90" s="76" t="n">
        <v>0.274</v>
      </c>
      <c r="L90" s="75" t="n">
        <v>54</v>
      </c>
      <c r="M90" s="77" t="n">
        <v>20</v>
      </c>
      <c r="N90" s="75" t="n">
        <v>18.6</v>
      </c>
      <c r="O90" s="76" t="n">
        <v>0.898</v>
      </c>
      <c r="P90" s="76" t="n">
        <v>0.048</v>
      </c>
      <c r="Q90" s="76" t="n">
        <v>0.228</v>
      </c>
      <c r="R90" s="75" t="n">
        <v>5.8</v>
      </c>
      <c r="S90" s="77" t="n">
        <v>1465</v>
      </c>
      <c r="T90" s="75" t="n">
        <v>0</v>
      </c>
      <c r="U90" s="75" t="n">
        <v>7</v>
      </c>
      <c r="V90" s="77" t="n">
        <v>12</v>
      </c>
      <c r="W90" s="75" t="n">
        <v>7.5</v>
      </c>
      <c r="X90" s="76" t="n">
        <v>0.558</v>
      </c>
      <c r="Y90" s="76" t="n">
        <v>0.075</v>
      </c>
      <c r="Z90" s="76" t="n">
        <v>0.204</v>
      </c>
      <c r="AA90" s="75" t="n">
        <v>3.6</v>
      </c>
      <c r="AB90" s="77" t="n">
        <v>900</v>
      </c>
      <c r="AC90" s="75" t="n">
        <v>0</v>
      </c>
      <c r="AD90" s="75" t="n">
        <v>4.3</v>
      </c>
      <c r="AE90" s="77" t="n">
        <v>15</v>
      </c>
      <c r="AF90" s="75" t="n">
        <v>41.9</v>
      </c>
      <c r="AG90" s="76" t="n">
        <v>1.826</v>
      </c>
      <c r="AH90" s="76" t="n">
        <v>0.044</v>
      </c>
      <c r="AI90" s="75" t="n">
        <v>0</v>
      </c>
      <c r="AJ90" s="77" t="n">
        <v>14</v>
      </c>
      <c r="AK90" s="75" t="n">
        <v>258.1</v>
      </c>
      <c r="AL90" s="76" t="n">
        <v>7.445</v>
      </c>
      <c r="AM90" s="76" t="n">
        <v>0.029</v>
      </c>
      <c r="AN90" s="75" t="n">
        <v>54</v>
      </c>
      <c r="AO90" s="78" t="n">
        <f aca="false">Table2[[#This Row],[Inside_._time]]/Table2[[#This Row],[Duration]]</f>
        <v>0.139666666666667</v>
      </c>
      <c r="AP90" s="78" t="n">
        <f aca="false">Table2[[#This Row],[Outside_._time]]/Table2[[#This Row],[Duration]]</f>
        <v>0.860333333333333</v>
      </c>
      <c r="AQ90" s="78" t="n">
        <f aca="false">Table2[[#This Row],[Inside_._distance]]/Table2[[#This Row],[Distance]]</f>
        <v>0.196958256930212</v>
      </c>
      <c r="AR90" s="78" t="n">
        <f aca="false">Table2[[#This Row],[Outside_._distance]]/Table2[[#This Row],[Distance]]</f>
        <v>0.803041743069787</v>
      </c>
      <c r="AS90" s="79"/>
      <c r="AT90" s="79"/>
      <c r="AU90" s="79"/>
      <c r="AV90" s="80"/>
      <c r="AW90" s="79"/>
      <c r="AX90" s="81"/>
      <c r="AY90" s="82" t="s">
        <v>79</v>
      </c>
      <c r="AZ90" s="82" t="s">
        <v>65</v>
      </c>
      <c r="BA90" s="82" t="s">
        <v>93</v>
      </c>
      <c r="BB90" s="83" t="n">
        <v>85</v>
      </c>
      <c r="BC90" s="84" t="n">
        <v>2.83333333333333</v>
      </c>
      <c r="BD90" s="85" t="s">
        <v>67</v>
      </c>
      <c r="BE90" s="82" t="n">
        <v>4</v>
      </c>
      <c r="BF90" s="86"/>
    </row>
    <row r="91" customFormat="false" ht="12" hidden="false" customHeight="true" outlineLevel="0" collapsed="false">
      <c r="A91" s="73" t="n">
        <v>16</v>
      </c>
      <c r="B91" s="74" t="s">
        <v>113</v>
      </c>
      <c r="C91" s="74" t="s">
        <v>224</v>
      </c>
      <c r="D91" s="74" t="s">
        <v>77</v>
      </c>
      <c r="E91" s="74" t="s">
        <v>225</v>
      </c>
      <c r="F91" s="74" t="s">
        <v>247</v>
      </c>
      <c r="G91" s="74" t="s">
        <v>249</v>
      </c>
      <c r="H91" s="75" t="n">
        <v>300</v>
      </c>
      <c r="I91" s="76" t="n">
        <v>10.235</v>
      </c>
      <c r="J91" s="76" t="n">
        <v>0.034</v>
      </c>
      <c r="K91" s="76" t="n">
        <v>0.298</v>
      </c>
      <c r="L91" s="75" t="n">
        <v>62.7</v>
      </c>
      <c r="M91" s="77" t="n">
        <v>46</v>
      </c>
      <c r="N91" s="75" t="n">
        <v>55</v>
      </c>
      <c r="O91" s="76" t="n">
        <v>1.224</v>
      </c>
      <c r="P91" s="76" t="n">
        <v>0.022</v>
      </c>
      <c r="Q91" s="76" t="n">
        <v>0.25</v>
      </c>
      <c r="R91" s="75" t="n">
        <v>10.3</v>
      </c>
      <c r="S91" s="77" t="n">
        <v>4902</v>
      </c>
      <c r="T91" s="75" t="n">
        <v>18.1</v>
      </c>
      <c r="U91" s="75" t="n">
        <v>12.3</v>
      </c>
      <c r="V91" s="77" t="n">
        <v>29</v>
      </c>
      <c r="W91" s="75" t="n">
        <v>45.7</v>
      </c>
      <c r="X91" s="76" t="n">
        <v>0.975</v>
      </c>
      <c r="Y91" s="76" t="n">
        <v>0.021</v>
      </c>
      <c r="Z91" s="76" t="n">
        <v>0.25</v>
      </c>
      <c r="AA91" s="75" t="n">
        <v>12.7</v>
      </c>
      <c r="AB91" s="77" t="n">
        <v>4922</v>
      </c>
      <c r="AC91" s="75" t="n">
        <v>20.4</v>
      </c>
      <c r="AD91" s="75" t="n">
        <v>12.5</v>
      </c>
      <c r="AE91" s="77" t="n">
        <v>22</v>
      </c>
      <c r="AF91" s="75" t="n">
        <v>79.7</v>
      </c>
      <c r="AG91" s="76" t="n">
        <v>2.488</v>
      </c>
      <c r="AH91" s="76" t="n">
        <v>0.031</v>
      </c>
      <c r="AI91" s="75" t="n">
        <v>15.8</v>
      </c>
      <c r="AJ91" s="77" t="n">
        <v>22</v>
      </c>
      <c r="AK91" s="75" t="n">
        <v>220.3</v>
      </c>
      <c r="AL91" s="76" t="n">
        <v>7.748</v>
      </c>
      <c r="AM91" s="76" t="n">
        <v>0.035</v>
      </c>
      <c r="AN91" s="75" t="n">
        <v>46.8</v>
      </c>
      <c r="AO91" s="78" t="n">
        <f aca="false">Table2[[#This Row],[Inside_._time]]/Table2[[#This Row],[Duration]]</f>
        <v>0.265666666666667</v>
      </c>
      <c r="AP91" s="78" t="n">
        <f aca="false">Table2[[#This Row],[Outside_._time]]/Table2[[#This Row],[Duration]]</f>
        <v>0.734333333333333</v>
      </c>
      <c r="AQ91" s="78" t="n">
        <f aca="false">Table2[[#This Row],[Inside_._distance]]/Table2[[#This Row],[Distance]]</f>
        <v>0.243087445041524</v>
      </c>
      <c r="AR91" s="78" t="n">
        <f aca="false">Table2[[#This Row],[Outside_._distance]]/Table2[[#This Row],[Distance]]</f>
        <v>0.757010258915486</v>
      </c>
      <c r="AS91" s="79"/>
      <c r="AT91" s="79"/>
      <c r="AU91" s="79"/>
      <c r="AV91" s="80"/>
      <c r="AW91" s="79"/>
      <c r="AX91" s="81"/>
      <c r="AY91" s="82" t="s">
        <v>79</v>
      </c>
      <c r="AZ91" s="82" t="s">
        <v>65</v>
      </c>
      <c r="BA91" s="82" t="s">
        <v>93</v>
      </c>
      <c r="BB91" s="83" t="n">
        <v>85</v>
      </c>
      <c r="BC91" s="84" t="n">
        <v>2.83333333333333</v>
      </c>
      <c r="BD91" s="85" t="s">
        <v>80</v>
      </c>
      <c r="BE91" s="82" t="n">
        <v>3</v>
      </c>
      <c r="BF91" s="86"/>
    </row>
    <row r="92" customFormat="false" ht="12" hidden="false" customHeight="true" outlineLevel="0" collapsed="false">
      <c r="A92" s="73" t="n">
        <v>18</v>
      </c>
      <c r="B92" s="74" t="s">
        <v>116</v>
      </c>
      <c r="C92" s="74" t="s">
        <v>224</v>
      </c>
      <c r="D92" s="74" t="s">
        <v>60</v>
      </c>
      <c r="E92" s="74" t="s">
        <v>225</v>
      </c>
      <c r="F92" s="74" t="s">
        <v>250</v>
      </c>
      <c r="G92" s="74" t="s">
        <v>251</v>
      </c>
      <c r="H92" s="75" t="n">
        <v>300</v>
      </c>
      <c r="I92" s="76" t="n">
        <v>7.655</v>
      </c>
      <c r="J92" s="76" t="n">
        <v>0.026</v>
      </c>
      <c r="K92" s="76" t="n">
        <v>0.268</v>
      </c>
      <c r="L92" s="75" t="n">
        <v>115.2</v>
      </c>
      <c r="M92" s="77" t="n">
        <v>20</v>
      </c>
      <c r="N92" s="75" t="n">
        <v>9</v>
      </c>
      <c r="O92" s="76" t="n">
        <v>0.904</v>
      </c>
      <c r="P92" s="76" t="n">
        <v>0.101</v>
      </c>
      <c r="Q92" s="76" t="n">
        <v>0.264</v>
      </c>
      <c r="R92" s="75" t="n">
        <v>1.6</v>
      </c>
      <c r="S92" s="77" t="n">
        <v>773</v>
      </c>
      <c r="T92" s="75" t="n">
        <v>0</v>
      </c>
      <c r="U92" s="75" t="n">
        <v>2.6</v>
      </c>
      <c r="V92" s="77" t="n">
        <v>3</v>
      </c>
      <c r="W92" s="75" t="n">
        <v>3.4</v>
      </c>
      <c r="X92" s="76" t="n">
        <v>0.325</v>
      </c>
      <c r="Y92" s="76" t="n">
        <v>0.094</v>
      </c>
      <c r="Z92" s="76" t="n">
        <v>0.159</v>
      </c>
      <c r="AA92" s="75" t="n">
        <v>2.3</v>
      </c>
      <c r="AB92" s="77" t="n">
        <v>381</v>
      </c>
      <c r="AC92" s="75" t="n">
        <v>0</v>
      </c>
      <c r="AD92" s="75" t="n">
        <v>2.1</v>
      </c>
      <c r="AE92" s="77" t="n">
        <v>5</v>
      </c>
      <c r="AF92" s="75" t="n">
        <v>9.3</v>
      </c>
      <c r="AG92" s="76" t="n">
        <v>0.678</v>
      </c>
      <c r="AH92" s="76" t="n">
        <v>0.073</v>
      </c>
      <c r="AI92" s="75" t="n">
        <v>0</v>
      </c>
      <c r="AJ92" s="77" t="n">
        <v>5</v>
      </c>
      <c r="AK92" s="75" t="n">
        <v>290.7</v>
      </c>
      <c r="AL92" s="76" t="n">
        <v>6.977</v>
      </c>
      <c r="AM92" s="76" t="n">
        <v>0.024</v>
      </c>
      <c r="AN92" s="75" t="n">
        <v>115.2</v>
      </c>
      <c r="AO92" s="78" t="n">
        <f aca="false">Table2[[#This Row],[Inside_._time]]/Table2[[#This Row],[Duration]]</f>
        <v>0.031</v>
      </c>
      <c r="AP92" s="78" t="n">
        <f aca="false">Table2[[#This Row],[Outside_._time]]/Table2[[#This Row],[Duration]]</f>
        <v>0.969</v>
      </c>
      <c r="AQ92" s="78" t="n">
        <f aca="false">Table2[[#This Row],[Inside_._distance]]/Table2[[#This Row],[Distance]]</f>
        <v>0.088569562377531</v>
      </c>
      <c r="AR92" s="78" t="n">
        <f aca="false">Table2[[#This Row],[Outside_._distance]]/Table2[[#This Row],[Distance]]</f>
        <v>0.911430437622469</v>
      </c>
      <c r="AS92" s="79"/>
      <c r="AT92" s="79"/>
      <c r="AU92" s="79"/>
      <c r="AV92" s="80"/>
      <c r="AW92" s="79"/>
      <c r="AX92" s="81"/>
      <c r="AY92" s="82" t="s">
        <v>79</v>
      </c>
      <c r="AZ92" s="82" t="s">
        <v>119</v>
      </c>
      <c r="BA92" s="82" t="s">
        <v>66</v>
      </c>
      <c r="BB92" s="83" t="n">
        <v>78</v>
      </c>
      <c r="BC92" s="84" t="n">
        <v>2.6</v>
      </c>
      <c r="BD92" s="85" t="s">
        <v>67</v>
      </c>
      <c r="BE92" s="82" t="n">
        <v>6</v>
      </c>
      <c r="BF92" s="86" t="s">
        <v>120</v>
      </c>
    </row>
    <row r="93" customFormat="false" ht="12" hidden="false" customHeight="true" outlineLevel="0" collapsed="false">
      <c r="A93" s="73" t="n">
        <v>17</v>
      </c>
      <c r="B93" s="74" t="s">
        <v>121</v>
      </c>
      <c r="C93" s="74" t="s">
        <v>224</v>
      </c>
      <c r="D93" s="74" t="s">
        <v>70</v>
      </c>
      <c r="E93" s="74" t="s">
        <v>225</v>
      </c>
      <c r="F93" s="74" t="s">
        <v>250</v>
      </c>
      <c r="G93" s="74" t="s">
        <v>252</v>
      </c>
      <c r="H93" s="75" t="n">
        <v>300</v>
      </c>
      <c r="I93" s="76" t="n">
        <v>5.938</v>
      </c>
      <c r="J93" s="76" t="n">
        <v>0.02</v>
      </c>
      <c r="K93" s="76" t="n">
        <v>0.228</v>
      </c>
      <c r="L93" s="75" t="n">
        <v>88.4</v>
      </c>
      <c r="M93" s="77" t="n">
        <v>8</v>
      </c>
      <c r="N93" s="75" t="n">
        <v>5</v>
      </c>
      <c r="O93" s="76" t="n">
        <v>0.501</v>
      </c>
      <c r="P93" s="76" t="n">
        <v>0.101</v>
      </c>
      <c r="Q93" s="76" t="n">
        <v>0.217</v>
      </c>
      <c r="R93" s="75" t="n">
        <v>3.1</v>
      </c>
      <c r="S93" s="77" t="n">
        <v>431</v>
      </c>
      <c r="T93" s="75" t="n">
        <v>0</v>
      </c>
      <c r="U93" s="75" t="n">
        <v>2.7</v>
      </c>
      <c r="V93" s="77" t="n">
        <v>37</v>
      </c>
      <c r="W93" s="75" t="n">
        <v>35.9</v>
      </c>
      <c r="X93" s="76" t="n">
        <v>1.045</v>
      </c>
      <c r="Y93" s="76" t="n">
        <v>0.029</v>
      </c>
      <c r="Z93" s="76" t="n">
        <v>0.219</v>
      </c>
      <c r="AA93" s="75" t="n">
        <v>8.4</v>
      </c>
      <c r="AB93" s="77" t="n">
        <v>3615</v>
      </c>
      <c r="AC93" s="75" t="n">
        <v>0.9</v>
      </c>
      <c r="AD93" s="75" t="n">
        <v>6.6</v>
      </c>
      <c r="AE93" s="77" t="n">
        <v>10</v>
      </c>
      <c r="AF93" s="75" t="n">
        <v>123.9</v>
      </c>
      <c r="AG93" s="76" t="n">
        <v>2.097</v>
      </c>
      <c r="AH93" s="76" t="n">
        <v>0.017</v>
      </c>
      <c r="AI93" s="75" t="n">
        <v>51.2</v>
      </c>
      <c r="AJ93" s="77" t="n">
        <v>9</v>
      </c>
      <c r="AK93" s="75" t="n">
        <v>176.1</v>
      </c>
      <c r="AL93" s="76" t="n">
        <v>3.84</v>
      </c>
      <c r="AM93" s="76" t="n">
        <v>0.022</v>
      </c>
      <c r="AN93" s="75" t="n">
        <v>37.1</v>
      </c>
      <c r="AO93" s="78" t="n">
        <f aca="false">Table2[[#This Row],[Inside_._time]]/Table2[[#This Row],[Duration]]</f>
        <v>0.413</v>
      </c>
      <c r="AP93" s="78" t="n">
        <f aca="false">Table2[[#This Row],[Outside_._time]]/Table2[[#This Row],[Duration]]</f>
        <v>0.587</v>
      </c>
      <c r="AQ93" s="78" t="n">
        <f aca="false">Table2[[#This Row],[Inside_._distance]]/Table2[[#This Row],[Distance]]</f>
        <v>0.353149208487706</v>
      </c>
      <c r="AR93" s="78" t="n">
        <f aca="false">Table2[[#This Row],[Outside_._distance]]/Table2[[#This Row],[Distance]]</f>
        <v>0.646682384641293</v>
      </c>
      <c r="AS93" s="79"/>
      <c r="AT93" s="79"/>
      <c r="AU93" s="79"/>
      <c r="AV93" s="80"/>
      <c r="AW93" s="79"/>
      <c r="AX93" s="81"/>
      <c r="AY93" s="82" t="s">
        <v>79</v>
      </c>
      <c r="AZ93" s="82" t="s">
        <v>123</v>
      </c>
      <c r="BA93" s="82" t="s">
        <v>93</v>
      </c>
      <c r="BB93" s="83" t="n">
        <v>78</v>
      </c>
      <c r="BC93" s="84" t="n">
        <v>2.6</v>
      </c>
      <c r="BD93" s="82" t="s">
        <v>67</v>
      </c>
      <c r="BE93" s="82" t="n">
        <v>4</v>
      </c>
      <c r="BF93" s="86" t="s">
        <v>120</v>
      </c>
    </row>
    <row r="94" customFormat="false" ht="12" hidden="false" customHeight="true" outlineLevel="0" collapsed="false">
      <c r="A94" s="73" t="n">
        <v>19</v>
      </c>
      <c r="B94" s="74" t="s">
        <v>124</v>
      </c>
      <c r="C94" s="74" t="s">
        <v>224</v>
      </c>
      <c r="D94" s="74" t="s">
        <v>73</v>
      </c>
      <c r="E94" s="74" t="s">
        <v>225</v>
      </c>
      <c r="F94" s="74" t="s">
        <v>250</v>
      </c>
      <c r="G94" s="74" t="s">
        <v>253</v>
      </c>
      <c r="H94" s="75" t="n">
        <v>300</v>
      </c>
      <c r="I94" s="76" t="n">
        <v>11.415</v>
      </c>
      <c r="J94" s="76" t="n">
        <v>0.038</v>
      </c>
      <c r="K94" s="76" t="n">
        <v>0.314</v>
      </c>
      <c r="L94" s="75" t="n">
        <v>13.2</v>
      </c>
      <c r="M94" s="77" t="n">
        <v>3</v>
      </c>
      <c r="N94" s="75" t="n">
        <v>12.1</v>
      </c>
      <c r="O94" s="76" t="n">
        <v>0.439</v>
      </c>
      <c r="P94" s="76" t="n">
        <v>0.036</v>
      </c>
      <c r="Q94" s="76" t="n">
        <v>0.203</v>
      </c>
      <c r="R94" s="75" t="n">
        <v>0</v>
      </c>
      <c r="S94" s="77" t="n">
        <v>179</v>
      </c>
      <c r="T94" s="75" t="n">
        <v>0</v>
      </c>
      <c r="U94" s="75" t="n">
        <v>0.1</v>
      </c>
      <c r="V94" s="77" t="n">
        <v>12</v>
      </c>
      <c r="W94" s="75" t="n">
        <v>32.8</v>
      </c>
      <c r="X94" s="76" t="n">
        <v>1.38</v>
      </c>
      <c r="Y94" s="76" t="n">
        <v>0.042</v>
      </c>
      <c r="Z94" s="76" t="n">
        <v>0.246</v>
      </c>
      <c r="AA94" s="75" t="n">
        <v>5.3</v>
      </c>
      <c r="AB94" s="77" t="n">
        <v>720</v>
      </c>
      <c r="AC94" s="75" t="n">
        <v>0</v>
      </c>
      <c r="AD94" s="75" t="n">
        <v>9.1</v>
      </c>
      <c r="AE94" s="77" t="n">
        <v>6</v>
      </c>
      <c r="AF94" s="75" t="n">
        <v>18.5</v>
      </c>
      <c r="AG94" s="76" t="n">
        <v>0.859</v>
      </c>
      <c r="AH94" s="76" t="n">
        <v>0.046</v>
      </c>
      <c r="AI94" s="75" t="n">
        <v>0</v>
      </c>
      <c r="AJ94" s="77" t="n">
        <v>6</v>
      </c>
      <c r="AK94" s="75" t="n">
        <v>281.5</v>
      </c>
      <c r="AL94" s="76" t="n">
        <v>10.556</v>
      </c>
      <c r="AM94" s="76" t="n">
        <v>0.038</v>
      </c>
      <c r="AN94" s="75" t="n">
        <v>13.2</v>
      </c>
      <c r="AO94" s="78" t="n">
        <f aca="false">Table2[[#This Row],[Inside_._time]]/Table2[[#This Row],[Duration]]</f>
        <v>0.0616666666666667</v>
      </c>
      <c r="AP94" s="78" t="n">
        <f aca="false">Table2[[#This Row],[Outside_._time]]/Table2[[#This Row],[Duration]]</f>
        <v>0.938333333333333</v>
      </c>
      <c r="AQ94" s="78" t="n">
        <f aca="false">Table2[[#This Row],[Inside_._distance]]/Table2[[#This Row],[Distance]]</f>
        <v>0.0752518615856329</v>
      </c>
      <c r="AR94" s="78" t="n">
        <f aca="false">Table2[[#This Row],[Outside_._distance]]/Table2[[#This Row],[Distance]]</f>
        <v>0.924748138414367</v>
      </c>
      <c r="AS94" s="79"/>
      <c r="AT94" s="79"/>
      <c r="AU94" s="79"/>
      <c r="AV94" s="80"/>
      <c r="AW94" s="79"/>
      <c r="AX94" s="81"/>
      <c r="AY94" s="82" t="s">
        <v>64</v>
      </c>
      <c r="AZ94" s="82" t="s">
        <v>105</v>
      </c>
      <c r="BA94" s="82" t="s">
        <v>66</v>
      </c>
      <c r="BB94" s="83" t="n">
        <v>60</v>
      </c>
      <c r="BC94" s="84" t="n">
        <v>2</v>
      </c>
      <c r="BD94" s="85" t="s">
        <v>80</v>
      </c>
      <c r="BE94" s="82" t="n">
        <v>5</v>
      </c>
      <c r="BF94" s="86"/>
    </row>
    <row r="95" customFormat="false" ht="12" hidden="false" customHeight="true" outlineLevel="0" collapsed="false">
      <c r="A95" s="73" t="n">
        <v>20</v>
      </c>
      <c r="B95" s="74" t="s">
        <v>126</v>
      </c>
      <c r="C95" s="74" t="s">
        <v>224</v>
      </c>
      <c r="D95" s="74" t="s">
        <v>77</v>
      </c>
      <c r="E95" s="74" t="s">
        <v>225</v>
      </c>
      <c r="F95" s="74" t="s">
        <v>250</v>
      </c>
      <c r="G95" s="74" t="s">
        <v>254</v>
      </c>
      <c r="H95" s="75" t="n">
        <v>300</v>
      </c>
      <c r="I95" s="76" t="n">
        <v>19.273</v>
      </c>
      <c r="J95" s="76" t="n">
        <v>0.064</v>
      </c>
      <c r="K95" s="76" t="n">
        <v>0.377</v>
      </c>
      <c r="L95" s="75" t="n">
        <v>26.3</v>
      </c>
      <c r="M95" s="77" t="n">
        <v>24</v>
      </c>
      <c r="N95" s="75" t="n">
        <v>11.5</v>
      </c>
      <c r="O95" s="76" t="n">
        <v>1.763</v>
      </c>
      <c r="P95" s="76" t="n">
        <v>0.153</v>
      </c>
      <c r="Q95" s="76" t="n">
        <v>0.347</v>
      </c>
      <c r="R95" s="75" t="n">
        <v>2.6</v>
      </c>
      <c r="S95" s="77" t="n">
        <v>1349</v>
      </c>
      <c r="T95" s="75" t="n">
        <v>0</v>
      </c>
      <c r="U95" s="75" t="n">
        <v>3</v>
      </c>
      <c r="V95" s="77" t="n">
        <v>16</v>
      </c>
      <c r="W95" s="75" t="n">
        <v>11.7</v>
      </c>
      <c r="X95" s="76" t="n">
        <v>1.246</v>
      </c>
      <c r="Y95" s="76" t="n">
        <v>0.106</v>
      </c>
      <c r="Z95" s="76" t="n">
        <v>0.268</v>
      </c>
      <c r="AA95" s="75" t="n">
        <v>1.9</v>
      </c>
      <c r="AB95" s="77" t="n">
        <v>1172</v>
      </c>
      <c r="AC95" s="75" t="n">
        <v>0</v>
      </c>
      <c r="AD95" s="75" t="n">
        <v>1.8</v>
      </c>
      <c r="AE95" s="77" t="n">
        <v>18</v>
      </c>
      <c r="AF95" s="75" t="n">
        <v>18.9</v>
      </c>
      <c r="AG95" s="76" t="n">
        <v>2.073</v>
      </c>
      <c r="AH95" s="76" t="n">
        <v>0.11</v>
      </c>
      <c r="AI95" s="75" t="n">
        <v>0</v>
      </c>
      <c r="AJ95" s="77" t="n">
        <v>18</v>
      </c>
      <c r="AK95" s="75" t="n">
        <v>281.1</v>
      </c>
      <c r="AL95" s="76" t="n">
        <v>17.2</v>
      </c>
      <c r="AM95" s="76" t="n">
        <v>0.061</v>
      </c>
      <c r="AN95" s="75" t="n">
        <v>26.3</v>
      </c>
      <c r="AO95" s="78" t="n">
        <f aca="false">Table2[[#This Row],[Inside_._time]]/Table2[[#This Row],[Duration]]</f>
        <v>0.063</v>
      </c>
      <c r="AP95" s="78" t="n">
        <f aca="false">Table2[[#This Row],[Outside_._time]]/Table2[[#This Row],[Duration]]</f>
        <v>0.937</v>
      </c>
      <c r="AQ95" s="78" t="n">
        <f aca="false">Table2[[#This Row],[Inside_._distance]]/Table2[[#This Row],[Distance]]</f>
        <v>0.107559798682094</v>
      </c>
      <c r="AR95" s="78" t="n">
        <f aca="false">Table2[[#This Row],[Outside_._distance]]/Table2[[#This Row],[Distance]]</f>
        <v>0.892440201317906</v>
      </c>
      <c r="AS95" s="79"/>
      <c r="AT95" s="79"/>
      <c r="AU95" s="79"/>
      <c r="AV95" s="80"/>
      <c r="AW95" s="79"/>
      <c r="AX95" s="81"/>
      <c r="AY95" s="82" t="s">
        <v>64</v>
      </c>
      <c r="AZ95" s="82" t="s">
        <v>105</v>
      </c>
      <c r="BA95" s="82" t="s">
        <v>66</v>
      </c>
      <c r="BB95" s="83" t="n">
        <v>58</v>
      </c>
      <c r="BC95" s="84" t="n">
        <v>1.93333333333333</v>
      </c>
      <c r="BD95" s="85" t="s">
        <v>67</v>
      </c>
      <c r="BE95" s="82" t="n">
        <v>6</v>
      </c>
      <c r="BF95" s="86" t="s">
        <v>94</v>
      </c>
    </row>
    <row r="96" customFormat="false" ht="12" hidden="false" customHeight="true" outlineLevel="0" collapsed="false">
      <c r="A96" s="73" t="n">
        <v>22</v>
      </c>
      <c r="B96" s="74" t="s">
        <v>128</v>
      </c>
      <c r="C96" s="74" t="s">
        <v>224</v>
      </c>
      <c r="D96" s="74" t="s">
        <v>60</v>
      </c>
      <c r="E96" s="74" t="s">
        <v>225</v>
      </c>
      <c r="F96" s="74" t="s">
        <v>255</v>
      </c>
      <c r="G96" s="74" t="s">
        <v>256</v>
      </c>
      <c r="H96" s="75" t="n">
        <v>300</v>
      </c>
      <c r="I96" s="76" t="n">
        <v>10.196</v>
      </c>
      <c r="J96" s="76" t="n">
        <v>0.034</v>
      </c>
      <c r="K96" s="76" t="n">
        <v>0.248</v>
      </c>
      <c r="L96" s="75" t="n">
        <v>39.6</v>
      </c>
      <c r="M96" s="77" t="n">
        <v>35</v>
      </c>
      <c r="N96" s="75" t="n">
        <v>28.8</v>
      </c>
      <c r="O96" s="76" t="n">
        <v>1.049</v>
      </c>
      <c r="P96" s="76" t="n">
        <v>0.036</v>
      </c>
      <c r="Q96" s="76" t="n">
        <v>0.245</v>
      </c>
      <c r="R96" s="75" t="n">
        <v>4.1</v>
      </c>
      <c r="S96" s="77" t="n">
        <v>2164</v>
      </c>
      <c r="T96" s="75" t="n">
        <v>6.6</v>
      </c>
      <c r="U96" s="75" t="n">
        <v>6.3</v>
      </c>
      <c r="V96" s="77" t="n">
        <v>8</v>
      </c>
      <c r="W96" s="75" t="n">
        <v>10.6</v>
      </c>
      <c r="X96" s="76" t="n">
        <v>0.833</v>
      </c>
      <c r="Y96" s="76" t="n">
        <v>0.079</v>
      </c>
      <c r="Z96" s="76" t="n">
        <v>0.172</v>
      </c>
      <c r="AA96" s="75" t="n">
        <v>1.9</v>
      </c>
      <c r="AB96" s="77" t="n">
        <v>816</v>
      </c>
      <c r="AC96" s="75" t="n">
        <v>0</v>
      </c>
      <c r="AD96" s="75" t="n">
        <v>2.7</v>
      </c>
      <c r="AE96" s="77" t="n">
        <v>15</v>
      </c>
      <c r="AF96" s="75" t="n">
        <v>15.4</v>
      </c>
      <c r="AG96" s="76" t="n">
        <v>0.934</v>
      </c>
      <c r="AH96" s="76" t="n">
        <v>0.06</v>
      </c>
      <c r="AI96" s="75" t="n">
        <v>0</v>
      </c>
      <c r="AJ96" s="77" t="n">
        <v>15</v>
      </c>
      <c r="AK96" s="75" t="n">
        <v>284.6</v>
      </c>
      <c r="AL96" s="76" t="n">
        <v>9.262</v>
      </c>
      <c r="AM96" s="76" t="n">
        <v>0.033</v>
      </c>
      <c r="AN96" s="75" t="n">
        <v>39.6</v>
      </c>
      <c r="AO96" s="78" t="n">
        <f aca="false">Table2[[#This Row],[Inside_._time]]/Table2[[#This Row],[Duration]]</f>
        <v>0.0513333333333333</v>
      </c>
      <c r="AP96" s="78" t="n">
        <f aca="false">Table2[[#This Row],[Outside_._time]]/Table2[[#This Row],[Duration]]</f>
        <v>0.948666666666667</v>
      </c>
      <c r="AQ96" s="78" t="n">
        <f aca="false">Table2[[#This Row],[Inside_._distance]]/Table2[[#This Row],[Distance]]</f>
        <v>0.091604550804237</v>
      </c>
      <c r="AR96" s="78" t="n">
        <f aca="false">Table2[[#This Row],[Outside_._distance]]/Table2[[#This Row],[Distance]]</f>
        <v>0.908395449195763</v>
      </c>
      <c r="AS96" s="79"/>
      <c r="AT96" s="79"/>
      <c r="AU96" s="79"/>
      <c r="AV96" s="80"/>
      <c r="AW96" s="79"/>
      <c r="AX96" s="81"/>
      <c r="AY96" s="82" t="s">
        <v>64</v>
      </c>
      <c r="AZ96" s="82" t="s">
        <v>131</v>
      </c>
      <c r="BA96" s="82" t="s">
        <v>93</v>
      </c>
      <c r="BB96" s="83" t="n">
        <v>55</v>
      </c>
      <c r="BC96" s="84" t="n">
        <v>1.83333333333333</v>
      </c>
      <c r="BD96" s="85" t="s">
        <v>67</v>
      </c>
      <c r="BE96" s="82" t="n">
        <v>8</v>
      </c>
      <c r="BF96" s="86"/>
    </row>
    <row r="97" customFormat="false" ht="12" hidden="false" customHeight="true" outlineLevel="0" collapsed="false">
      <c r="A97" s="73" t="n">
        <v>21</v>
      </c>
      <c r="B97" s="74" t="s">
        <v>132</v>
      </c>
      <c r="C97" s="74" t="s">
        <v>224</v>
      </c>
      <c r="D97" s="74" t="s">
        <v>70</v>
      </c>
      <c r="E97" s="74" t="s">
        <v>225</v>
      </c>
      <c r="F97" s="74" t="s">
        <v>255</v>
      </c>
      <c r="G97" s="74" t="s">
        <v>257</v>
      </c>
      <c r="H97" s="75" t="n">
        <v>300</v>
      </c>
      <c r="I97" s="76" t="n">
        <v>10.225</v>
      </c>
      <c r="J97" s="76" t="n">
        <v>0.034</v>
      </c>
      <c r="K97" s="76" t="n">
        <v>0.235</v>
      </c>
      <c r="L97" s="75" t="n">
        <v>41</v>
      </c>
      <c r="M97" s="77" t="n">
        <v>13</v>
      </c>
      <c r="N97" s="75" t="n">
        <v>9.1</v>
      </c>
      <c r="O97" s="76" t="n">
        <v>0.791</v>
      </c>
      <c r="P97" s="76" t="n">
        <v>0.087</v>
      </c>
      <c r="Q97" s="76" t="n">
        <v>0.185</v>
      </c>
      <c r="R97" s="75" t="n">
        <v>0.4</v>
      </c>
      <c r="S97" s="77" t="n">
        <v>1113</v>
      </c>
      <c r="T97" s="75" t="n">
        <v>0</v>
      </c>
      <c r="U97" s="75" t="n">
        <v>1.3</v>
      </c>
      <c r="V97" s="77" t="n">
        <v>18</v>
      </c>
      <c r="W97" s="75" t="n">
        <v>59.7</v>
      </c>
      <c r="X97" s="76" t="n">
        <v>0.74</v>
      </c>
      <c r="Y97" s="76" t="n">
        <v>0.012</v>
      </c>
      <c r="Z97" s="76" t="n">
        <v>0.171</v>
      </c>
      <c r="AA97" s="75" t="n">
        <v>10.2</v>
      </c>
      <c r="AB97" s="77" t="n">
        <v>3936</v>
      </c>
      <c r="AC97" s="75" t="n">
        <v>20.3</v>
      </c>
      <c r="AD97" s="75" t="n">
        <v>3</v>
      </c>
      <c r="AE97" s="77" t="n">
        <v>15</v>
      </c>
      <c r="AF97" s="75" t="n">
        <v>73.1</v>
      </c>
      <c r="AG97" s="76" t="n">
        <v>2.378</v>
      </c>
      <c r="AH97" s="76" t="n">
        <v>0.033</v>
      </c>
      <c r="AI97" s="75" t="n">
        <v>16</v>
      </c>
      <c r="AJ97" s="77" t="n">
        <v>15</v>
      </c>
      <c r="AK97" s="75" t="n">
        <v>226.9</v>
      </c>
      <c r="AL97" s="76" t="n">
        <v>7.847</v>
      </c>
      <c r="AM97" s="76" t="n">
        <v>0.035</v>
      </c>
      <c r="AN97" s="75" t="n">
        <v>25</v>
      </c>
      <c r="AO97" s="78" t="n">
        <f aca="false">Table2[[#This Row],[Inside_._time]]/Table2[[#This Row],[Duration]]</f>
        <v>0.243666666666667</v>
      </c>
      <c r="AP97" s="78" t="n">
        <f aca="false">Table2[[#This Row],[Outside_._time]]/Table2[[#This Row],[Duration]]</f>
        <v>0.756333333333333</v>
      </c>
      <c r="AQ97" s="78" t="n">
        <f aca="false">Table2[[#This Row],[Inside_._distance]]/Table2[[#This Row],[Distance]]</f>
        <v>0.232567237163814</v>
      </c>
      <c r="AR97" s="78" t="n">
        <f aca="false">Table2[[#This Row],[Outside_._distance]]/Table2[[#This Row],[Distance]]</f>
        <v>0.767432762836186</v>
      </c>
      <c r="AS97" s="79"/>
      <c r="AT97" s="79"/>
      <c r="AU97" s="79"/>
      <c r="AV97" s="80"/>
      <c r="AW97" s="79"/>
      <c r="AX97" s="81"/>
      <c r="AY97" s="82" t="s">
        <v>64</v>
      </c>
      <c r="AZ97" s="82" t="s">
        <v>131</v>
      </c>
      <c r="BA97" s="82" t="s">
        <v>93</v>
      </c>
      <c r="BB97" s="83" t="n">
        <v>55</v>
      </c>
      <c r="BC97" s="84" t="n">
        <v>1.83333333333333</v>
      </c>
      <c r="BD97" s="85" t="s">
        <v>80</v>
      </c>
      <c r="BE97" s="82" t="n">
        <v>7</v>
      </c>
      <c r="BF97" s="86"/>
    </row>
    <row r="98" customFormat="false" ht="12" hidden="false" customHeight="true" outlineLevel="0" collapsed="false">
      <c r="A98" s="73" t="n">
        <v>23</v>
      </c>
      <c r="B98" s="74" t="s">
        <v>134</v>
      </c>
      <c r="C98" s="74" t="s">
        <v>224</v>
      </c>
      <c r="D98" s="74" t="s">
        <v>73</v>
      </c>
      <c r="E98" s="74" t="s">
        <v>225</v>
      </c>
      <c r="F98" s="74" t="s">
        <v>258</v>
      </c>
      <c r="G98" s="74" t="s">
        <v>259</v>
      </c>
      <c r="H98" s="75" t="n">
        <v>300</v>
      </c>
      <c r="I98" s="76" t="n">
        <v>8.882</v>
      </c>
      <c r="J98" s="76" t="n">
        <v>0.03</v>
      </c>
      <c r="K98" s="76" t="n">
        <v>0.231</v>
      </c>
      <c r="L98" s="75" t="n">
        <v>23.5</v>
      </c>
      <c r="M98" s="77" t="n">
        <v>15</v>
      </c>
      <c r="N98" s="75" t="n">
        <v>46.7</v>
      </c>
      <c r="O98" s="76" t="n">
        <v>1.035</v>
      </c>
      <c r="P98" s="76" t="n">
        <v>0.022</v>
      </c>
      <c r="Q98" s="76" t="n">
        <v>0.214</v>
      </c>
      <c r="R98" s="75" t="n">
        <v>1.1</v>
      </c>
      <c r="S98" s="77" t="n">
        <v>2473</v>
      </c>
      <c r="T98" s="75" t="n">
        <v>2.5</v>
      </c>
      <c r="U98" s="75" t="n">
        <v>1.4</v>
      </c>
      <c r="V98" s="77" t="n">
        <v>20</v>
      </c>
      <c r="W98" s="75" t="n">
        <v>28.9</v>
      </c>
      <c r="X98" s="76" t="n">
        <v>0.998</v>
      </c>
      <c r="Y98" s="76" t="n">
        <v>0.035</v>
      </c>
      <c r="Z98" s="76" t="n">
        <v>0.198</v>
      </c>
      <c r="AA98" s="75" t="n">
        <v>1.4</v>
      </c>
      <c r="AB98" s="77" t="n">
        <v>1324</v>
      </c>
      <c r="AC98" s="75" t="n">
        <v>0</v>
      </c>
      <c r="AD98" s="75" t="n">
        <v>14.4</v>
      </c>
      <c r="AE98" s="77" t="n">
        <v>13</v>
      </c>
      <c r="AF98" s="75" t="n">
        <v>54.6</v>
      </c>
      <c r="AG98" s="76" t="n">
        <v>2.343</v>
      </c>
      <c r="AH98" s="76" t="n">
        <v>0.043</v>
      </c>
      <c r="AI98" s="75" t="n">
        <v>1.4</v>
      </c>
      <c r="AJ98" s="77" t="n">
        <v>13</v>
      </c>
      <c r="AK98" s="75" t="n">
        <v>245.4</v>
      </c>
      <c r="AL98" s="76" t="n">
        <v>6.539</v>
      </c>
      <c r="AM98" s="76" t="n">
        <v>0.027</v>
      </c>
      <c r="AN98" s="75" t="n">
        <v>22</v>
      </c>
      <c r="AO98" s="78" t="n">
        <f aca="false">Table2[[#This Row],[Inside_._time]]/Table2[[#This Row],[Duration]]</f>
        <v>0.182</v>
      </c>
      <c r="AP98" s="78" t="n">
        <f aca="false">Table2[[#This Row],[Outside_._time]]/Table2[[#This Row],[Duration]]</f>
        <v>0.818</v>
      </c>
      <c r="AQ98" s="78" t="n">
        <f aca="false">Table2[[#This Row],[Inside_._distance]]/Table2[[#This Row],[Distance]]</f>
        <v>0.263791938752533</v>
      </c>
      <c r="AR98" s="78" t="n">
        <f aca="false">Table2[[#This Row],[Outside_._distance]]/Table2[[#This Row],[Distance]]</f>
        <v>0.736208061247467</v>
      </c>
      <c r="AS98" s="79"/>
      <c r="AT98" s="79"/>
      <c r="AU98" s="79"/>
      <c r="AV98" s="80"/>
      <c r="AW98" s="79"/>
      <c r="AX98" s="81"/>
      <c r="AY98" s="82" t="s">
        <v>64</v>
      </c>
      <c r="AZ98" s="82" t="s">
        <v>131</v>
      </c>
      <c r="BA98" s="82" t="s">
        <v>93</v>
      </c>
      <c r="BB98" s="83" t="n">
        <v>55</v>
      </c>
      <c r="BC98" s="84" t="n">
        <v>1.83333333333333</v>
      </c>
      <c r="BD98" s="85" t="s">
        <v>67</v>
      </c>
      <c r="BE98" s="82" t="n">
        <v>8</v>
      </c>
      <c r="BF98" s="86"/>
    </row>
    <row r="99" customFormat="false" ht="12" hidden="false" customHeight="true" outlineLevel="0" collapsed="false">
      <c r="A99" s="73" t="n">
        <v>24</v>
      </c>
      <c r="B99" s="74" t="s">
        <v>137</v>
      </c>
      <c r="C99" s="74" t="s">
        <v>224</v>
      </c>
      <c r="D99" s="74" t="s">
        <v>77</v>
      </c>
      <c r="E99" s="74" t="s">
        <v>225</v>
      </c>
      <c r="F99" s="74" t="s">
        <v>258</v>
      </c>
      <c r="G99" s="74" t="s">
        <v>260</v>
      </c>
      <c r="H99" s="75" t="n">
        <v>300</v>
      </c>
      <c r="I99" s="76" t="n">
        <v>18.055</v>
      </c>
      <c r="J99" s="76" t="n">
        <v>0.06</v>
      </c>
      <c r="K99" s="76" t="n">
        <v>0.3</v>
      </c>
      <c r="L99" s="75" t="n">
        <v>22.9</v>
      </c>
      <c r="M99" s="77" t="n">
        <v>19</v>
      </c>
      <c r="N99" s="75" t="n">
        <v>9.6</v>
      </c>
      <c r="O99" s="76" t="n">
        <v>1.204</v>
      </c>
      <c r="P99" s="76" t="n">
        <v>0.125</v>
      </c>
      <c r="Q99" s="76" t="n">
        <v>0.27</v>
      </c>
      <c r="R99" s="75" t="n">
        <v>1.5</v>
      </c>
      <c r="S99" s="77" t="n">
        <v>987</v>
      </c>
      <c r="T99" s="75" t="n">
        <v>0</v>
      </c>
      <c r="U99" s="75" t="n">
        <v>1.8</v>
      </c>
      <c r="V99" s="77" t="n">
        <v>28</v>
      </c>
      <c r="W99" s="75" t="n">
        <v>25.4</v>
      </c>
      <c r="X99" s="76" t="n">
        <v>1.693</v>
      </c>
      <c r="Y99" s="76" t="n">
        <v>0.067</v>
      </c>
      <c r="Z99" s="76" t="n">
        <v>0.278</v>
      </c>
      <c r="AA99" s="75" t="n">
        <v>6.5</v>
      </c>
      <c r="AB99" s="77" t="n">
        <v>2380</v>
      </c>
      <c r="AC99" s="75" t="n">
        <v>1.1</v>
      </c>
      <c r="AD99" s="75" t="n">
        <v>9.4</v>
      </c>
      <c r="AE99" s="77" t="n">
        <v>26</v>
      </c>
      <c r="AF99" s="75" t="n">
        <v>22.8</v>
      </c>
      <c r="AG99" s="76" t="n">
        <v>3.209</v>
      </c>
      <c r="AH99" s="76" t="n">
        <v>0.141</v>
      </c>
      <c r="AI99" s="75" t="n">
        <v>0</v>
      </c>
      <c r="AJ99" s="77" t="n">
        <v>26</v>
      </c>
      <c r="AK99" s="75" t="n">
        <v>277.2</v>
      </c>
      <c r="AL99" s="76" t="n">
        <v>14.846</v>
      </c>
      <c r="AM99" s="76" t="n">
        <v>0.054</v>
      </c>
      <c r="AN99" s="75" t="n">
        <v>22.9</v>
      </c>
      <c r="AO99" s="78" t="n">
        <f aca="false">Table2[[#This Row],[Inside_._time]]/Table2[[#This Row],[Duration]]</f>
        <v>0.076</v>
      </c>
      <c r="AP99" s="78" t="n">
        <f aca="false">Table2[[#This Row],[Outside_._time]]/Table2[[#This Row],[Duration]]</f>
        <v>0.924</v>
      </c>
      <c r="AQ99" s="78" t="n">
        <f aca="false">Table2[[#This Row],[Inside_._distance]]/Table2[[#This Row],[Distance]]</f>
        <v>0.177734699529216</v>
      </c>
      <c r="AR99" s="78" t="n">
        <f aca="false">Table2[[#This Row],[Outside_._distance]]/Table2[[#This Row],[Distance]]</f>
        <v>0.822265300470784</v>
      </c>
      <c r="AS99" s="79"/>
      <c r="AT99" s="79"/>
      <c r="AU99" s="79"/>
      <c r="AV99" s="80"/>
      <c r="AW99" s="79"/>
      <c r="AX99" s="81"/>
      <c r="AY99" s="82" t="s">
        <v>79</v>
      </c>
      <c r="AZ99" s="82" t="s">
        <v>131</v>
      </c>
      <c r="BA99" s="82" t="s">
        <v>93</v>
      </c>
      <c r="BB99" s="83" t="n">
        <v>55</v>
      </c>
      <c r="BC99" s="84" t="n">
        <v>1.83333333333333</v>
      </c>
      <c r="BD99" s="85" t="s">
        <v>67</v>
      </c>
      <c r="BE99" s="82" t="n">
        <v>8</v>
      </c>
      <c r="BF99" s="86"/>
    </row>
    <row r="100" customFormat="false" ht="12" hidden="false" customHeight="true" outlineLevel="0" collapsed="false">
      <c r="A100" s="73" t="n">
        <v>26</v>
      </c>
      <c r="B100" s="74" t="s">
        <v>139</v>
      </c>
      <c r="C100" s="74" t="s">
        <v>224</v>
      </c>
      <c r="D100" s="74" t="s">
        <v>60</v>
      </c>
      <c r="E100" s="74" t="s">
        <v>225</v>
      </c>
      <c r="F100" s="74" t="s">
        <v>261</v>
      </c>
      <c r="G100" s="74" t="s">
        <v>262</v>
      </c>
      <c r="H100" s="75" t="n">
        <v>300</v>
      </c>
      <c r="I100" s="76" t="n">
        <v>8.604</v>
      </c>
      <c r="J100" s="76" t="n">
        <v>0.029</v>
      </c>
      <c r="K100" s="76" t="n">
        <v>0.263</v>
      </c>
      <c r="L100" s="75" t="n">
        <v>45.5</v>
      </c>
      <c r="M100" s="77" t="n">
        <v>8</v>
      </c>
      <c r="N100" s="75" t="n">
        <v>2.8</v>
      </c>
      <c r="O100" s="76" t="n">
        <v>0.488</v>
      </c>
      <c r="P100" s="76" t="n">
        <v>0.173</v>
      </c>
      <c r="Q100" s="76" t="n">
        <v>0.234</v>
      </c>
      <c r="R100" s="75" t="n">
        <v>0.5</v>
      </c>
      <c r="S100" s="77" t="n">
        <v>245</v>
      </c>
      <c r="T100" s="75" t="n">
        <v>0</v>
      </c>
      <c r="U100" s="75" t="n">
        <v>0.4</v>
      </c>
      <c r="V100" s="77" t="n">
        <v>15</v>
      </c>
      <c r="W100" s="75" t="n">
        <v>16.5</v>
      </c>
      <c r="X100" s="76" t="n">
        <v>1.041</v>
      </c>
      <c r="Y100" s="76" t="n">
        <v>0.063</v>
      </c>
      <c r="Z100" s="76" t="n">
        <v>0.224</v>
      </c>
      <c r="AA100" s="75" t="n">
        <v>2.1</v>
      </c>
      <c r="AB100" s="77" t="n">
        <v>1192</v>
      </c>
      <c r="AC100" s="75" t="n">
        <v>2.3</v>
      </c>
      <c r="AD100" s="75" t="n">
        <v>2.1</v>
      </c>
      <c r="AE100" s="77" t="n">
        <v>15</v>
      </c>
      <c r="AF100" s="75" t="n">
        <v>15.2</v>
      </c>
      <c r="AG100" s="76" t="n">
        <v>1.512</v>
      </c>
      <c r="AH100" s="76" t="n">
        <v>0.099</v>
      </c>
      <c r="AI100" s="75" t="n">
        <v>0</v>
      </c>
      <c r="AJ100" s="77" t="n">
        <v>15</v>
      </c>
      <c r="AK100" s="75" t="n">
        <v>284.8</v>
      </c>
      <c r="AL100" s="76" t="n">
        <v>7.092</v>
      </c>
      <c r="AM100" s="76" t="n">
        <v>0.025</v>
      </c>
      <c r="AN100" s="75" t="n">
        <v>45.5</v>
      </c>
      <c r="AO100" s="78" t="n">
        <f aca="false">Table2[[#This Row],[Inside_._time]]/Table2[[#This Row],[Duration]]</f>
        <v>0.0506666666666667</v>
      </c>
      <c r="AP100" s="78" t="n">
        <f aca="false">Table2[[#This Row],[Outside_._time]]/Table2[[#This Row],[Duration]]</f>
        <v>0.949333333333333</v>
      </c>
      <c r="AQ100" s="78" t="n">
        <f aca="false">Table2[[#This Row],[Inside_._distance]]/Table2[[#This Row],[Distance]]</f>
        <v>0.175732217573222</v>
      </c>
      <c r="AR100" s="78" t="n">
        <f aca="false">Table2[[#This Row],[Outside_._distance]]/Table2[[#This Row],[Distance]]</f>
        <v>0.824267782426778</v>
      </c>
      <c r="AS100" s="79"/>
      <c r="AT100" s="79"/>
      <c r="AU100" s="79"/>
      <c r="AV100" s="80"/>
      <c r="AW100" s="79"/>
      <c r="AX100" s="81"/>
      <c r="AY100" s="82" t="s">
        <v>79</v>
      </c>
      <c r="AZ100" s="82" t="s">
        <v>119</v>
      </c>
      <c r="BA100" s="82" t="s">
        <v>66</v>
      </c>
      <c r="BB100" s="83" t="n">
        <v>55</v>
      </c>
      <c r="BC100" s="84" t="n">
        <v>1.83333333333333</v>
      </c>
      <c r="BD100" s="85" t="s">
        <v>80</v>
      </c>
      <c r="BE100" s="82" t="n">
        <v>5</v>
      </c>
      <c r="BF100" s="86"/>
    </row>
    <row r="101" customFormat="false" ht="12" hidden="false" customHeight="true" outlineLevel="0" collapsed="false">
      <c r="A101" s="73" t="n">
        <v>25</v>
      </c>
      <c r="B101" s="74" t="s">
        <v>142</v>
      </c>
      <c r="C101" s="74" t="s">
        <v>224</v>
      </c>
      <c r="D101" s="74" t="s">
        <v>70</v>
      </c>
      <c r="E101" s="74" t="s">
        <v>225</v>
      </c>
      <c r="F101" s="74" t="s">
        <v>261</v>
      </c>
      <c r="G101" s="74" t="s">
        <v>263</v>
      </c>
      <c r="H101" s="75" t="n">
        <v>300</v>
      </c>
      <c r="I101" s="76" t="n">
        <v>14.376</v>
      </c>
      <c r="J101" s="76" t="n">
        <v>0.048</v>
      </c>
      <c r="K101" s="76" t="n">
        <v>0.279</v>
      </c>
      <c r="L101" s="75" t="n">
        <v>18.3</v>
      </c>
      <c r="M101" s="77" t="n">
        <v>23</v>
      </c>
      <c r="N101" s="75" t="n">
        <v>24.9</v>
      </c>
      <c r="O101" s="76" t="n">
        <v>1.166</v>
      </c>
      <c r="P101" s="76" t="n">
        <v>0.047</v>
      </c>
      <c r="Q101" s="76" t="n">
        <v>0.182</v>
      </c>
      <c r="R101" s="75" t="n">
        <v>12.2</v>
      </c>
      <c r="S101" s="77" t="n">
        <v>1910</v>
      </c>
      <c r="T101" s="75" t="n">
        <v>2.5</v>
      </c>
      <c r="U101" s="75" t="n">
        <v>14.2</v>
      </c>
      <c r="V101" s="77" t="n">
        <v>16</v>
      </c>
      <c r="W101" s="75" t="n">
        <v>9.4</v>
      </c>
      <c r="X101" s="76" t="n">
        <v>1.351</v>
      </c>
      <c r="Y101" s="76" t="n">
        <v>0.143</v>
      </c>
      <c r="Z101" s="76" t="n">
        <v>0.251</v>
      </c>
      <c r="AA101" s="75" t="n">
        <v>1.9</v>
      </c>
      <c r="AB101" s="77" t="n">
        <v>972</v>
      </c>
      <c r="AC101" s="75" t="n">
        <v>0</v>
      </c>
      <c r="AD101" s="75" t="n">
        <v>3</v>
      </c>
      <c r="AE101" s="77" t="n">
        <v>19</v>
      </c>
      <c r="AF101" s="75" t="n">
        <v>21.2</v>
      </c>
      <c r="AG101" s="76" t="n">
        <v>2.757</v>
      </c>
      <c r="AH101" s="76" t="n">
        <v>0.13</v>
      </c>
      <c r="AI101" s="75" t="n">
        <v>2</v>
      </c>
      <c r="AJ101" s="77" t="n">
        <v>19</v>
      </c>
      <c r="AK101" s="75" t="n">
        <v>278.8</v>
      </c>
      <c r="AL101" s="76" t="n">
        <v>11.619</v>
      </c>
      <c r="AM101" s="76" t="n">
        <v>0.042</v>
      </c>
      <c r="AN101" s="75" t="n">
        <v>16.3</v>
      </c>
      <c r="AO101" s="78" t="n">
        <f aca="false">Table2[[#This Row],[Inside_._time]]/Table2[[#This Row],[Duration]]</f>
        <v>0.0706666666666667</v>
      </c>
      <c r="AP101" s="78" t="n">
        <f aca="false">Table2[[#This Row],[Outside_._time]]/Table2[[#This Row],[Duration]]</f>
        <v>0.929333333333333</v>
      </c>
      <c r="AQ101" s="78" t="n">
        <f aca="false">Table2[[#This Row],[Inside_._distance]]/Table2[[#This Row],[Distance]]</f>
        <v>0.19177796327212</v>
      </c>
      <c r="AR101" s="78" t="n">
        <f aca="false">Table2[[#This Row],[Outside_._distance]]/Table2[[#This Row],[Distance]]</f>
        <v>0.80822203672788</v>
      </c>
      <c r="AS101" s="79"/>
      <c r="AT101" s="79"/>
      <c r="AU101" s="79"/>
      <c r="AV101" s="80"/>
      <c r="AW101" s="79"/>
      <c r="AX101" s="81"/>
      <c r="AY101" s="82" t="s">
        <v>79</v>
      </c>
      <c r="AZ101" s="82" t="s">
        <v>131</v>
      </c>
      <c r="BA101" s="82" t="s">
        <v>93</v>
      </c>
      <c r="BB101" s="83" t="n">
        <v>55</v>
      </c>
      <c r="BC101" s="84" t="n">
        <v>1.83333333333333</v>
      </c>
      <c r="BD101" s="85" t="s">
        <v>80</v>
      </c>
      <c r="BE101" s="82" t="n">
        <v>7</v>
      </c>
      <c r="BF101" s="86"/>
    </row>
    <row r="102" customFormat="false" ht="12" hidden="false" customHeight="true" outlineLevel="0" collapsed="false">
      <c r="A102" s="73" t="n">
        <v>27</v>
      </c>
      <c r="B102" s="74" t="s">
        <v>144</v>
      </c>
      <c r="C102" s="74" t="s">
        <v>224</v>
      </c>
      <c r="D102" s="74" t="s">
        <v>73</v>
      </c>
      <c r="E102" s="74" t="s">
        <v>225</v>
      </c>
      <c r="F102" s="74" t="s">
        <v>261</v>
      </c>
      <c r="G102" s="74" t="s">
        <v>264</v>
      </c>
      <c r="H102" s="75" t="n">
        <v>300</v>
      </c>
      <c r="I102" s="76" t="n">
        <v>15.96</v>
      </c>
      <c r="J102" s="76" t="n">
        <v>0.053</v>
      </c>
      <c r="K102" s="76" t="n">
        <v>0.309</v>
      </c>
      <c r="L102" s="75" t="n">
        <v>22.1</v>
      </c>
      <c r="M102" s="77" t="n">
        <v>15</v>
      </c>
      <c r="N102" s="75" t="n">
        <v>10.8</v>
      </c>
      <c r="O102" s="76" t="n">
        <v>1.591</v>
      </c>
      <c r="P102" s="76" t="n">
        <v>0.148</v>
      </c>
      <c r="Q102" s="76" t="n">
        <v>0.278</v>
      </c>
      <c r="R102" s="75" t="n">
        <v>1.5</v>
      </c>
      <c r="S102" s="77" t="n">
        <v>924</v>
      </c>
      <c r="T102" s="75" t="n">
        <v>0</v>
      </c>
      <c r="U102" s="75" t="n">
        <v>1.7</v>
      </c>
      <c r="V102" s="77" t="n">
        <v>27</v>
      </c>
      <c r="W102" s="75" t="n">
        <v>28.2</v>
      </c>
      <c r="X102" s="76" t="n">
        <v>2.147</v>
      </c>
      <c r="Y102" s="76" t="n">
        <v>0.076</v>
      </c>
      <c r="Z102" s="76" t="n">
        <v>0.213</v>
      </c>
      <c r="AA102" s="75" t="n">
        <v>4.6</v>
      </c>
      <c r="AB102" s="77" t="n">
        <v>2078</v>
      </c>
      <c r="AC102" s="75" t="n">
        <v>3.1</v>
      </c>
      <c r="AD102" s="75" t="n">
        <v>5.3</v>
      </c>
      <c r="AE102" s="77" t="n">
        <v>27</v>
      </c>
      <c r="AF102" s="75" t="n">
        <v>47.8</v>
      </c>
      <c r="AG102" s="76" t="n">
        <v>3.632</v>
      </c>
      <c r="AH102" s="76" t="n">
        <v>0.076</v>
      </c>
      <c r="AI102" s="75" t="n">
        <v>0</v>
      </c>
      <c r="AJ102" s="77" t="n">
        <v>28</v>
      </c>
      <c r="AK102" s="75" t="n">
        <v>252.2</v>
      </c>
      <c r="AL102" s="76" t="n">
        <v>12.329</v>
      </c>
      <c r="AM102" s="76" t="n">
        <v>0.049</v>
      </c>
      <c r="AN102" s="75" t="n">
        <v>22.1</v>
      </c>
      <c r="AO102" s="78" t="n">
        <f aca="false">Table2[[#This Row],[Inside_._time]]/Table2[[#This Row],[Duration]]</f>
        <v>0.159333333333333</v>
      </c>
      <c r="AP102" s="78" t="n">
        <f aca="false">Table2[[#This Row],[Outside_._time]]/Table2[[#This Row],[Duration]]</f>
        <v>0.840666666666667</v>
      </c>
      <c r="AQ102" s="78" t="n">
        <f aca="false">Table2[[#This Row],[Inside_._distance]]/Table2[[#This Row],[Distance]]</f>
        <v>0.227568922305764</v>
      </c>
      <c r="AR102" s="78" t="n">
        <f aca="false">Table2[[#This Row],[Outside_._distance]]/Table2[[#This Row],[Distance]]</f>
        <v>0.77249373433584</v>
      </c>
      <c r="AS102" s="79"/>
      <c r="AT102" s="79"/>
      <c r="AU102" s="79"/>
      <c r="AV102" s="80"/>
      <c r="AW102" s="79"/>
      <c r="AX102" s="81"/>
      <c r="AY102" s="82" t="s">
        <v>79</v>
      </c>
      <c r="AZ102" s="82" t="s">
        <v>105</v>
      </c>
      <c r="BA102" s="82" t="s">
        <v>66</v>
      </c>
      <c r="BB102" s="83" t="n">
        <v>55</v>
      </c>
      <c r="BC102" s="84" t="n">
        <v>1.83333333333333</v>
      </c>
      <c r="BD102" s="85" t="s">
        <v>67</v>
      </c>
      <c r="BE102" s="82" t="n">
        <v>6</v>
      </c>
      <c r="BF102" s="86"/>
    </row>
    <row r="103" s="44" customFormat="true" ht="12" hidden="false" customHeight="true" outlineLevel="0" collapsed="false">
      <c r="A103" s="87" t="n">
        <v>28</v>
      </c>
      <c r="B103" s="88" t="s">
        <v>146</v>
      </c>
      <c r="C103" s="88" t="s">
        <v>224</v>
      </c>
      <c r="D103" s="88" t="s">
        <v>77</v>
      </c>
      <c r="E103" s="88" t="s">
        <v>225</v>
      </c>
      <c r="F103" s="88" t="s">
        <v>265</v>
      </c>
      <c r="G103" s="88" t="s">
        <v>266</v>
      </c>
      <c r="H103" s="89" t="n">
        <v>300</v>
      </c>
      <c r="I103" s="90" t="n">
        <v>13.091</v>
      </c>
      <c r="J103" s="90" t="n">
        <v>0.044</v>
      </c>
      <c r="K103" s="90" t="n">
        <v>0.256</v>
      </c>
      <c r="L103" s="89" t="n">
        <v>28.6</v>
      </c>
      <c r="M103" s="91" t="n">
        <v>20</v>
      </c>
      <c r="N103" s="89" t="n">
        <v>16.5</v>
      </c>
      <c r="O103" s="90" t="n">
        <v>1.221</v>
      </c>
      <c r="P103" s="90" t="n">
        <v>0.074</v>
      </c>
      <c r="Q103" s="90" t="n">
        <v>0.207</v>
      </c>
      <c r="R103" s="89" t="n">
        <v>1.9</v>
      </c>
      <c r="S103" s="91" t="n">
        <v>1488</v>
      </c>
      <c r="T103" s="89" t="n">
        <v>0</v>
      </c>
      <c r="U103" s="89" t="n">
        <v>2.8</v>
      </c>
      <c r="V103" s="91" t="n">
        <v>16</v>
      </c>
      <c r="W103" s="89" t="n">
        <v>21</v>
      </c>
      <c r="X103" s="90" t="n">
        <v>1.145</v>
      </c>
      <c r="Y103" s="90" t="n">
        <v>0.055</v>
      </c>
      <c r="Z103" s="90" t="n">
        <v>0.256</v>
      </c>
      <c r="AA103" s="89" t="n">
        <v>7.8</v>
      </c>
      <c r="AB103" s="91" t="n">
        <v>2175</v>
      </c>
      <c r="AC103" s="89" t="n">
        <v>1.3</v>
      </c>
      <c r="AD103" s="89" t="n">
        <v>3.5</v>
      </c>
      <c r="AE103" s="91" t="n">
        <v>18</v>
      </c>
      <c r="AF103" s="89" t="n">
        <v>38.8</v>
      </c>
      <c r="AG103" s="90" t="n">
        <v>2.95</v>
      </c>
      <c r="AH103" s="90" t="n">
        <v>0.076</v>
      </c>
      <c r="AI103" s="89" t="n">
        <v>3.6</v>
      </c>
      <c r="AJ103" s="91" t="n">
        <v>19</v>
      </c>
      <c r="AK103" s="89" t="n">
        <v>261.2</v>
      </c>
      <c r="AL103" s="90" t="n">
        <v>10.142</v>
      </c>
      <c r="AM103" s="90" t="n">
        <v>0.039</v>
      </c>
      <c r="AN103" s="89" t="n">
        <v>24.9</v>
      </c>
      <c r="AO103" s="92" t="n">
        <f aca="false">Table2[[#This Row],[Inside_._time]]/Table2[[#This Row],[Duration]]</f>
        <v>0.129333333333333</v>
      </c>
      <c r="AP103" s="92" t="n">
        <f aca="false">Table2[[#This Row],[Outside_._time]]/Table2[[#This Row],[Duration]]</f>
        <v>0.870666666666667</v>
      </c>
      <c r="AQ103" s="92" t="n">
        <f aca="false">Table2[[#This Row],[Inside_._distance]]/Table2[[#This Row],[Distance]]</f>
        <v>0.225345657321824</v>
      </c>
      <c r="AR103" s="92" t="n">
        <f aca="false">Table2[[#This Row],[Outside_._distance]]/Table2[[#This Row],[Distance]]</f>
        <v>0.77473073103659</v>
      </c>
      <c r="AS103" s="91"/>
      <c r="AT103" s="91"/>
      <c r="AU103" s="91"/>
      <c r="AV103" s="89"/>
      <c r="AW103" s="91"/>
      <c r="AX103" s="92"/>
      <c r="AY103" s="88"/>
      <c r="AZ103" s="94" t="s">
        <v>131</v>
      </c>
      <c r="BA103" s="88" t="s">
        <v>93</v>
      </c>
      <c r="BB103" s="88" t="n">
        <v>56</v>
      </c>
      <c r="BC103" s="95" t="n">
        <v>1.86666666666667</v>
      </c>
      <c r="BD103" s="88"/>
      <c r="BE103" s="88"/>
      <c r="BF103" s="96"/>
    </row>
    <row r="104" customFormat="false" ht="12" hidden="false" customHeight="true" outlineLevel="0" collapsed="false">
      <c r="A104" s="73" t="n">
        <v>30</v>
      </c>
      <c r="B104" s="74" t="s">
        <v>149</v>
      </c>
      <c r="C104" s="74" t="s">
        <v>224</v>
      </c>
      <c r="D104" s="74" t="s">
        <v>60</v>
      </c>
      <c r="E104" s="74" t="s">
        <v>225</v>
      </c>
      <c r="F104" s="74" t="s">
        <v>267</v>
      </c>
      <c r="G104" s="74" t="s">
        <v>268</v>
      </c>
      <c r="H104" s="75" t="n">
        <v>300</v>
      </c>
      <c r="I104" s="76" t="n">
        <v>11.464</v>
      </c>
      <c r="J104" s="76" t="n">
        <v>0.038</v>
      </c>
      <c r="K104" s="76" t="n">
        <v>0.319</v>
      </c>
      <c r="L104" s="75" t="n">
        <v>71.8</v>
      </c>
      <c r="M104" s="77" t="n">
        <v>15</v>
      </c>
      <c r="N104" s="75" t="n">
        <v>10.4</v>
      </c>
      <c r="O104" s="76" t="n">
        <v>0.913</v>
      </c>
      <c r="P104" s="76" t="n">
        <v>0.088</v>
      </c>
      <c r="Q104" s="76" t="n">
        <v>0.293</v>
      </c>
      <c r="R104" s="75" t="n">
        <v>3</v>
      </c>
      <c r="S104" s="77" t="n">
        <v>1193</v>
      </c>
      <c r="T104" s="75" t="n">
        <v>0</v>
      </c>
      <c r="U104" s="75" t="n">
        <v>3.3</v>
      </c>
      <c r="V104" s="77" t="n">
        <v>34</v>
      </c>
      <c r="W104" s="75" t="n">
        <v>24.2</v>
      </c>
      <c r="X104" s="76" t="n">
        <v>1.042</v>
      </c>
      <c r="Y104" s="76" t="n">
        <v>0.043</v>
      </c>
      <c r="Z104" s="76" t="n">
        <v>0.263</v>
      </c>
      <c r="AA104" s="75" t="n">
        <v>4</v>
      </c>
      <c r="AB104" s="77" t="n">
        <v>2302</v>
      </c>
      <c r="AC104" s="75" t="n">
        <v>4.6</v>
      </c>
      <c r="AD104" s="75" t="n">
        <v>4.7</v>
      </c>
      <c r="AE104" s="77" t="n">
        <v>19</v>
      </c>
      <c r="AF104" s="75" t="n">
        <v>130</v>
      </c>
      <c r="AG104" s="76" t="n">
        <v>3.796</v>
      </c>
      <c r="AH104" s="76" t="n">
        <v>0.029</v>
      </c>
      <c r="AI104" s="75" t="n">
        <v>39.8</v>
      </c>
      <c r="AJ104" s="77" t="n">
        <v>18</v>
      </c>
      <c r="AK104" s="75" t="n">
        <v>170</v>
      </c>
      <c r="AL104" s="76" t="n">
        <v>7.668</v>
      </c>
      <c r="AM104" s="76" t="n">
        <v>0.045</v>
      </c>
      <c r="AN104" s="75" t="n">
        <v>32</v>
      </c>
      <c r="AO104" s="78" t="n">
        <f aca="false">Table2[[#This Row],[Inside_._time]]/Table2[[#This Row],[Duration]]</f>
        <v>0.433333333333333</v>
      </c>
      <c r="AP104" s="78" t="n">
        <f aca="false">Table2[[#This Row],[Outside_._time]]/Table2[[#This Row],[Duration]]</f>
        <v>0.566666666666667</v>
      </c>
      <c r="AQ104" s="78" t="n">
        <f aca="false">Table2[[#This Row],[Inside_._distance]]/Table2[[#This Row],[Distance]]</f>
        <v>0.331123517096999</v>
      </c>
      <c r="AR104" s="78" t="n">
        <f aca="false">Table2[[#This Row],[Outside_._distance]]/Table2[[#This Row],[Distance]]</f>
        <v>0.668876482903001</v>
      </c>
      <c r="AS104" s="79"/>
      <c r="AT104" s="79"/>
      <c r="AU104" s="79"/>
      <c r="AV104" s="80"/>
      <c r="AW104" s="79"/>
      <c r="AX104" s="81"/>
      <c r="AY104" s="82" t="s">
        <v>64</v>
      </c>
      <c r="AZ104" s="82" t="s">
        <v>123</v>
      </c>
      <c r="BA104" s="82" t="s">
        <v>66</v>
      </c>
      <c r="BB104" s="83" t="n">
        <v>56</v>
      </c>
      <c r="BC104" s="84" t="n">
        <v>1.86666666666667</v>
      </c>
      <c r="BD104" s="85" t="s">
        <v>80</v>
      </c>
      <c r="BE104" s="82" t="n">
        <v>1</v>
      </c>
      <c r="BF104" s="86" t="s">
        <v>94</v>
      </c>
    </row>
    <row r="105" s="44" customFormat="true" ht="12" hidden="false" customHeight="true" outlineLevel="0" collapsed="false">
      <c r="A105" s="87" t="n">
        <v>29</v>
      </c>
      <c r="B105" s="88" t="s">
        <v>152</v>
      </c>
      <c r="C105" s="88" t="s">
        <v>224</v>
      </c>
      <c r="D105" s="88" t="s">
        <v>70</v>
      </c>
      <c r="E105" s="88" t="s">
        <v>225</v>
      </c>
      <c r="F105" s="88" t="s">
        <v>267</v>
      </c>
      <c r="G105" s="88" t="s">
        <v>269</v>
      </c>
      <c r="H105" s="89" t="n">
        <v>300</v>
      </c>
      <c r="I105" s="90" t="n">
        <v>14.813</v>
      </c>
      <c r="J105" s="90" t="n">
        <v>0.049</v>
      </c>
      <c r="K105" s="90" t="n">
        <v>0.313</v>
      </c>
      <c r="L105" s="89" t="n">
        <v>30.7</v>
      </c>
      <c r="M105" s="91" t="n">
        <v>9</v>
      </c>
      <c r="N105" s="89" t="n">
        <v>12.3</v>
      </c>
      <c r="O105" s="90" t="n">
        <v>0.907</v>
      </c>
      <c r="P105" s="90" t="n">
        <v>0.074</v>
      </c>
      <c r="Q105" s="90" t="n">
        <v>0.311</v>
      </c>
      <c r="R105" s="89" t="n">
        <v>1.6</v>
      </c>
      <c r="S105" s="91" t="n">
        <v>1355</v>
      </c>
      <c r="T105" s="89" t="n">
        <v>1.3</v>
      </c>
      <c r="U105" s="89" t="n">
        <v>1.1</v>
      </c>
      <c r="V105" s="91" t="n">
        <v>44</v>
      </c>
      <c r="W105" s="89" t="n">
        <v>38.3</v>
      </c>
      <c r="X105" s="90" t="n">
        <v>1.718</v>
      </c>
      <c r="Y105" s="90" t="n">
        <v>0.045</v>
      </c>
      <c r="Z105" s="90" t="n">
        <v>0.29</v>
      </c>
      <c r="AA105" s="89" t="n">
        <v>5.4</v>
      </c>
      <c r="AB105" s="91" t="n">
        <v>3689</v>
      </c>
      <c r="AC105" s="89" t="n">
        <v>7</v>
      </c>
      <c r="AD105" s="89" t="n">
        <v>3.4</v>
      </c>
      <c r="AE105" s="91" t="n">
        <v>19</v>
      </c>
      <c r="AF105" s="89" t="n">
        <v>22</v>
      </c>
      <c r="AG105" s="90" t="n">
        <v>1.78</v>
      </c>
      <c r="AH105" s="90" t="n">
        <v>0.081</v>
      </c>
      <c r="AI105" s="89" t="n">
        <v>0</v>
      </c>
      <c r="AJ105" s="91" t="n">
        <v>19</v>
      </c>
      <c r="AK105" s="89" t="n">
        <v>278</v>
      </c>
      <c r="AL105" s="90" t="n">
        <v>13.033</v>
      </c>
      <c r="AM105" s="90" t="n">
        <v>0.047</v>
      </c>
      <c r="AN105" s="89" t="n">
        <v>30.7</v>
      </c>
      <c r="AO105" s="92" t="n">
        <f aca="false">Table2[[#This Row],[Inside_._time]]/Table2[[#This Row],[Duration]]</f>
        <v>0.0733333333333333</v>
      </c>
      <c r="AP105" s="92" t="n">
        <f aca="false">Table2[[#This Row],[Outside_._time]]/Table2[[#This Row],[Duration]]</f>
        <v>0.926666666666667</v>
      </c>
      <c r="AQ105" s="92" t="n">
        <f aca="false">Table2[[#This Row],[Inside_._distance]]/Table2[[#This Row],[Distance]]</f>
        <v>0.120164720178222</v>
      </c>
      <c r="AR105" s="92" t="n">
        <f aca="false">Table2[[#This Row],[Outside_._distance]]/Table2[[#This Row],[Distance]]</f>
        <v>0.879835279821778</v>
      </c>
      <c r="AS105" s="91"/>
      <c r="AT105" s="91"/>
      <c r="AU105" s="91"/>
      <c r="AV105" s="89"/>
      <c r="AW105" s="91"/>
      <c r="AX105" s="92"/>
      <c r="AY105" s="88"/>
      <c r="AZ105" s="94" t="s">
        <v>131</v>
      </c>
      <c r="BA105" s="88" t="s">
        <v>93</v>
      </c>
      <c r="BB105" s="88" t="n">
        <v>56</v>
      </c>
      <c r="BC105" s="95" t="n">
        <v>1.86666666666667</v>
      </c>
      <c r="BD105" s="88"/>
      <c r="BE105" s="88"/>
      <c r="BF105" s="96"/>
    </row>
    <row r="106" customFormat="false" ht="12" hidden="false" customHeight="true" outlineLevel="0" collapsed="false">
      <c r="A106" s="73" t="n">
        <v>31</v>
      </c>
      <c r="B106" s="74" t="s">
        <v>154</v>
      </c>
      <c r="C106" s="74" t="s">
        <v>224</v>
      </c>
      <c r="D106" s="74" t="s">
        <v>73</v>
      </c>
      <c r="E106" s="74" t="s">
        <v>225</v>
      </c>
      <c r="F106" s="74" t="s">
        <v>267</v>
      </c>
      <c r="G106" s="74" t="s">
        <v>270</v>
      </c>
      <c r="H106" s="75" t="n">
        <v>300</v>
      </c>
      <c r="I106" s="76" t="n">
        <v>0.781</v>
      </c>
      <c r="J106" s="76" t="n">
        <v>0.003</v>
      </c>
      <c r="K106" s="76" t="n">
        <v>0.115</v>
      </c>
      <c r="L106" s="75" t="n">
        <v>31.3</v>
      </c>
      <c r="M106" s="77" t="n">
        <v>0</v>
      </c>
      <c r="N106" s="75" t="n">
        <v>0</v>
      </c>
      <c r="O106" s="76" t="n">
        <v>0</v>
      </c>
      <c r="P106" s="76"/>
      <c r="Q106" s="76"/>
      <c r="R106" s="75" t="n">
        <v>0</v>
      </c>
      <c r="S106" s="77" t="n">
        <v>0</v>
      </c>
      <c r="T106" s="75" t="n">
        <v>0</v>
      </c>
      <c r="U106" s="75"/>
      <c r="V106" s="77" t="n">
        <v>0</v>
      </c>
      <c r="W106" s="75" t="n">
        <v>0</v>
      </c>
      <c r="X106" s="76" t="n">
        <v>0</v>
      </c>
      <c r="Y106" s="76"/>
      <c r="Z106" s="76"/>
      <c r="AA106" s="75" t="n">
        <v>0</v>
      </c>
      <c r="AB106" s="77" t="n">
        <v>0</v>
      </c>
      <c r="AC106" s="75" t="n">
        <v>0</v>
      </c>
      <c r="AD106" s="75"/>
      <c r="AE106" s="77" t="n">
        <v>1</v>
      </c>
      <c r="AF106" s="75" t="n">
        <v>43.1</v>
      </c>
      <c r="AG106" s="76" t="n">
        <v>0.202</v>
      </c>
      <c r="AH106" s="76" t="n">
        <v>0.005</v>
      </c>
      <c r="AI106" s="75" t="n">
        <v>0</v>
      </c>
      <c r="AJ106" s="77" t="n">
        <v>1</v>
      </c>
      <c r="AK106" s="75" t="n">
        <v>256.9</v>
      </c>
      <c r="AL106" s="76" t="n">
        <v>0.579</v>
      </c>
      <c r="AM106" s="76" t="n">
        <v>0.002</v>
      </c>
      <c r="AN106" s="75" t="n">
        <v>31.3</v>
      </c>
      <c r="AO106" s="78" t="n">
        <f aca="false">Table2[[#This Row],[Inside_._time]]/Table2[[#This Row],[Duration]]</f>
        <v>0.143666666666667</v>
      </c>
      <c r="AP106" s="78" t="n">
        <f aca="false">Table2[[#This Row],[Outside_._time]]/Table2[[#This Row],[Duration]]</f>
        <v>0.856333333333333</v>
      </c>
      <c r="AQ106" s="78" t="n">
        <f aca="false">Table2[[#This Row],[Inside_._distance]]/Table2[[#This Row],[Distance]]</f>
        <v>0.258642765685019</v>
      </c>
      <c r="AR106" s="78" t="n">
        <f aca="false">Table2[[#This Row],[Outside_._distance]]/Table2[[#This Row],[Distance]]</f>
        <v>0.741357234314981</v>
      </c>
      <c r="AS106" s="79"/>
      <c r="AT106" s="79"/>
      <c r="AU106" s="79"/>
      <c r="AV106" s="80"/>
      <c r="AW106" s="79"/>
      <c r="AX106" s="81"/>
      <c r="AY106" s="82" t="s">
        <v>79</v>
      </c>
      <c r="AZ106" s="82" t="s">
        <v>123</v>
      </c>
      <c r="BA106" s="82" t="s">
        <v>93</v>
      </c>
      <c r="BB106" s="83" t="n">
        <v>36</v>
      </c>
      <c r="BC106" s="84" t="n">
        <v>1.2</v>
      </c>
      <c r="BD106" s="85" t="s">
        <v>80</v>
      </c>
      <c r="BE106" s="82" t="n">
        <v>3</v>
      </c>
      <c r="BF106" s="86"/>
    </row>
    <row r="107" customFormat="false" ht="12" hidden="false" customHeight="true" outlineLevel="0" collapsed="false">
      <c r="A107" s="73" t="n">
        <v>32</v>
      </c>
      <c r="B107" s="74" t="s">
        <v>157</v>
      </c>
      <c r="C107" s="74" t="s">
        <v>224</v>
      </c>
      <c r="D107" s="74" t="s">
        <v>77</v>
      </c>
      <c r="E107" s="74" t="s">
        <v>225</v>
      </c>
      <c r="F107" s="74" t="s">
        <v>271</v>
      </c>
      <c r="G107" s="74" t="s">
        <v>272</v>
      </c>
      <c r="H107" s="75" t="n">
        <v>300</v>
      </c>
      <c r="I107" s="76" t="n">
        <v>10.026</v>
      </c>
      <c r="J107" s="76" t="n">
        <v>0.033</v>
      </c>
      <c r="K107" s="76" t="n">
        <v>0.238</v>
      </c>
      <c r="L107" s="75" t="n">
        <v>49.9</v>
      </c>
      <c r="M107" s="77" t="n">
        <v>17</v>
      </c>
      <c r="N107" s="75" t="n">
        <v>8.6</v>
      </c>
      <c r="O107" s="76" t="n">
        <v>0.63</v>
      </c>
      <c r="P107" s="76" t="n">
        <v>0.073</v>
      </c>
      <c r="Q107" s="76" t="n">
        <v>0.192</v>
      </c>
      <c r="R107" s="75" t="n">
        <v>2.7</v>
      </c>
      <c r="S107" s="77" t="n">
        <v>1350</v>
      </c>
      <c r="T107" s="75" t="n">
        <v>1.1</v>
      </c>
      <c r="U107" s="75" t="n">
        <v>2.9</v>
      </c>
      <c r="V107" s="77" t="n">
        <v>29</v>
      </c>
      <c r="W107" s="75" t="n">
        <v>51.4</v>
      </c>
      <c r="X107" s="76" t="n">
        <v>1.273</v>
      </c>
      <c r="Y107" s="76" t="n">
        <v>0.025</v>
      </c>
      <c r="Z107" s="76" t="n">
        <v>0.228</v>
      </c>
      <c r="AA107" s="75" t="n">
        <v>11.2</v>
      </c>
      <c r="AB107" s="77" t="n">
        <v>5622</v>
      </c>
      <c r="AC107" s="75" t="n">
        <v>13.8</v>
      </c>
      <c r="AD107" s="75" t="n">
        <v>14.3</v>
      </c>
      <c r="AE107" s="77" t="n">
        <v>26</v>
      </c>
      <c r="AF107" s="75" t="n">
        <v>77.7</v>
      </c>
      <c r="AG107" s="76" t="n">
        <v>2.621</v>
      </c>
      <c r="AH107" s="76" t="n">
        <v>0.034</v>
      </c>
      <c r="AI107" s="75" t="n">
        <v>16.7</v>
      </c>
      <c r="AJ107" s="77" t="n">
        <v>25</v>
      </c>
      <c r="AK107" s="75" t="n">
        <v>222.3</v>
      </c>
      <c r="AL107" s="76" t="n">
        <v>7.405</v>
      </c>
      <c r="AM107" s="76" t="n">
        <v>0.033</v>
      </c>
      <c r="AN107" s="75" t="n">
        <v>33.2</v>
      </c>
      <c r="AO107" s="78" t="n">
        <f aca="false">Table2[[#This Row],[Inside_._time]]/Table2[[#This Row],[Duration]]</f>
        <v>0.259</v>
      </c>
      <c r="AP107" s="78" t="n">
        <f aca="false">Table2[[#This Row],[Outside_._time]]/Table2[[#This Row],[Duration]]</f>
        <v>0.741</v>
      </c>
      <c r="AQ107" s="78" t="n">
        <f aca="false">Table2[[#This Row],[Inside_._distance]]/Table2[[#This Row],[Distance]]</f>
        <v>0.261420307201277</v>
      </c>
      <c r="AR107" s="78" t="n">
        <f aca="false">Table2[[#This Row],[Outside_._distance]]/Table2[[#This Row],[Distance]]</f>
        <v>0.738579692798723</v>
      </c>
      <c r="AS107" s="79"/>
      <c r="AT107" s="79"/>
      <c r="AU107" s="79"/>
      <c r="AV107" s="80"/>
      <c r="AW107" s="79"/>
      <c r="AX107" s="81"/>
      <c r="AY107" s="82" t="s">
        <v>79</v>
      </c>
      <c r="AZ107" s="82" t="s">
        <v>123</v>
      </c>
      <c r="BA107" s="82" t="s">
        <v>93</v>
      </c>
      <c r="BB107" s="83" t="n">
        <v>36</v>
      </c>
      <c r="BC107" s="84" t="n">
        <v>1.2</v>
      </c>
      <c r="BD107" s="85" t="s">
        <v>67</v>
      </c>
      <c r="BE107" s="82" t="n">
        <v>4</v>
      </c>
      <c r="BF107" s="86"/>
    </row>
    <row r="108" customFormat="false" ht="12" hidden="false" customHeight="true" outlineLevel="0" collapsed="false">
      <c r="A108" s="73" t="n">
        <v>34</v>
      </c>
      <c r="B108" s="74" t="s">
        <v>159</v>
      </c>
      <c r="C108" s="74" t="s">
        <v>224</v>
      </c>
      <c r="D108" s="74" t="s">
        <v>60</v>
      </c>
      <c r="E108" s="74" t="s">
        <v>225</v>
      </c>
      <c r="F108" s="74" t="s">
        <v>273</v>
      </c>
      <c r="G108" s="74" t="s">
        <v>274</v>
      </c>
      <c r="H108" s="75" t="n">
        <v>300</v>
      </c>
      <c r="I108" s="76" t="n">
        <v>5.56</v>
      </c>
      <c r="J108" s="76" t="n">
        <v>0.019</v>
      </c>
      <c r="K108" s="76" t="n">
        <v>0.248</v>
      </c>
      <c r="L108" s="75" t="n">
        <v>43.3</v>
      </c>
      <c r="M108" s="77" t="n">
        <v>18</v>
      </c>
      <c r="N108" s="75" t="n">
        <v>22.8</v>
      </c>
      <c r="O108" s="76" t="n">
        <v>0.372</v>
      </c>
      <c r="P108" s="76" t="n">
        <v>0.016</v>
      </c>
      <c r="Q108" s="76" t="n">
        <v>0.217</v>
      </c>
      <c r="R108" s="75" t="n">
        <v>8.1</v>
      </c>
      <c r="S108" s="77" t="n">
        <v>1811</v>
      </c>
      <c r="T108" s="75" t="n">
        <v>1.3</v>
      </c>
      <c r="U108" s="75" t="n">
        <v>5.6</v>
      </c>
      <c r="V108" s="77" t="n">
        <v>10</v>
      </c>
      <c r="W108" s="75" t="n">
        <v>10.6</v>
      </c>
      <c r="X108" s="76" t="n">
        <v>0.533</v>
      </c>
      <c r="Y108" s="76" t="n">
        <v>0.05</v>
      </c>
      <c r="Z108" s="76" t="n">
        <v>0.212</v>
      </c>
      <c r="AA108" s="75" t="n">
        <v>2.6</v>
      </c>
      <c r="AB108" s="77" t="n">
        <v>819</v>
      </c>
      <c r="AC108" s="75" t="n">
        <v>0</v>
      </c>
      <c r="AD108" s="75" t="n">
        <v>3.5</v>
      </c>
      <c r="AE108" s="77" t="n">
        <v>4</v>
      </c>
      <c r="AF108" s="75" t="n">
        <v>9.3</v>
      </c>
      <c r="AG108" s="76" t="n">
        <v>0.592</v>
      </c>
      <c r="AH108" s="76" t="n">
        <v>0.064</v>
      </c>
      <c r="AI108" s="75" t="n">
        <v>0</v>
      </c>
      <c r="AJ108" s="77" t="n">
        <v>5</v>
      </c>
      <c r="AK108" s="75" t="n">
        <v>290.7</v>
      </c>
      <c r="AL108" s="76" t="n">
        <v>4.968</v>
      </c>
      <c r="AM108" s="76" t="n">
        <v>0.017</v>
      </c>
      <c r="AN108" s="75" t="n">
        <v>43.3</v>
      </c>
      <c r="AO108" s="78" t="n">
        <f aca="false">Table2[[#This Row],[Inside_._time]]/Table2[[#This Row],[Duration]]</f>
        <v>0.031</v>
      </c>
      <c r="AP108" s="78" t="n">
        <f aca="false">Table2[[#This Row],[Outside_._time]]/Table2[[#This Row],[Duration]]</f>
        <v>0.969</v>
      </c>
      <c r="AQ108" s="78" t="n">
        <f aca="false">Table2[[#This Row],[Inside_._distance]]/Table2[[#This Row],[Distance]]</f>
        <v>0.106474820143885</v>
      </c>
      <c r="AR108" s="78" t="n">
        <f aca="false">Table2[[#This Row],[Outside_._distance]]/Table2[[#This Row],[Distance]]</f>
        <v>0.893525179856115</v>
      </c>
      <c r="AS108" s="79"/>
      <c r="AT108" s="79"/>
      <c r="AU108" s="79"/>
      <c r="AV108" s="80"/>
      <c r="AW108" s="79"/>
      <c r="AX108" s="81"/>
      <c r="AY108" s="82" t="s">
        <v>64</v>
      </c>
      <c r="AZ108" s="82" t="s">
        <v>123</v>
      </c>
      <c r="BA108" s="82" t="s">
        <v>66</v>
      </c>
      <c r="BB108" s="83" t="n">
        <v>34</v>
      </c>
      <c r="BC108" s="84" t="n">
        <v>1.13333333333333</v>
      </c>
      <c r="BD108" s="85" t="s">
        <v>67</v>
      </c>
      <c r="BE108" s="82" t="n">
        <v>2</v>
      </c>
      <c r="BF108" s="86"/>
    </row>
    <row r="109" customFormat="false" ht="12" hidden="false" customHeight="true" outlineLevel="0" collapsed="false">
      <c r="A109" s="73" t="n">
        <v>33</v>
      </c>
      <c r="B109" s="74" t="s">
        <v>162</v>
      </c>
      <c r="C109" s="74" t="s">
        <v>224</v>
      </c>
      <c r="D109" s="74" t="s">
        <v>70</v>
      </c>
      <c r="E109" s="74" t="s">
        <v>225</v>
      </c>
      <c r="F109" s="74" t="s">
        <v>273</v>
      </c>
      <c r="G109" s="74" t="s">
        <v>275</v>
      </c>
      <c r="H109" s="75" t="n">
        <v>300</v>
      </c>
      <c r="I109" s="76" t="n">
        <v>9.491</v>
      </c>
      <c r="J109" s="76" t="n">
        <v>0.032</v>
      </c>
      <c r="K109" s="76" t="n">
        <v>0.206</v>
      </c>
      <c r="L109" s="75" t="n">
        <v>22.4</v>
      </c>
      <c r="M109" s="77" t="n">
        <v>7</v>
      </c>
      <c r="N109" s="75" t="n">
        <v>8.4</v>
      </c>
      <c r="O109" s="76" t="n">
        <v>0.81</v>
      </c>
      <c r="P109" s="76" t="n">
        <v>0.096</v>
      </c>
      <c r="Q109" s="76" t="n">
        <v>0.183</v>
      </c>
      <c r="R109" s="75" t="n">
        <v>2</v>
      </c>
      <c r="S109" s="77" t="n">
        <v>512</v>
      </c>
      <c r="T109" s="75" t="n">
        <v>0</v>
      </c>
      <c r="U109" s="75" t="n">
        <v>0.9</v>
      </c>
      <c r="V109" s="77" t="n">
        <v>40</v>
      </c>
      <c r="W109" s="75" t="n">
        <v>76.6</v>
      </c>
      <c r="X109" s="76" t="n">
        <v>1.131</v>
      </c>
      <c r="Y109" s="76" t="n">
        <v>0.015</v>
      </c>
      <c r="Z109" s="76" t="n">
        <v>0.204</v>
      </c>
      <c r="AA109" s="75" t="n">
        <v>33.1</v>
      </c>
      <c r="AB109" s="77" t="n">
        <v>4373</v>
      </c>
      <c r="AC109" s="75" t="n">
        <v>16.4</v>
      </c>
      <c r="AD109" s="75" t="n">
        <v>40.5</v>
      </c>
      <c r="AE109" s="77" t="n">
        <v>11</v>
      </c>
      <c r="AF109" s="75" t="n">
        <v>20.3</v>
      </c>
      <c r="AG109" s="76" t="n">
        <v>1.826</v>
      </c>
      <c r="AH109" s="76" t="n">
        <v>0.09</v>
      </c>
      <c r="AI109" s="75" t="n">
        <v>0</v>
      </c>
      <c r="AJ109" s="77" t="n">
        <v>12</v>
      </c>
      <c r="AK109" s="75" t="n">
        <v>279.7</v>
      </c>
      <c r="AL109" s="76" t="n">
        <v>7.664</v>
      </c>
      <c r="AM109" s="76" t="n">
        <v>0.027</v>
      </c>
      <c r="AN109" s="75" t="n">
        <v>22.4</v>
      </c>
      <c r="AO109" s="78" t="n">
        <f aca="false">Table2[[#This Row],[Inside_._time]]/Table2[[#This Row],[Duration]]</f>
        <v>0.0676666666666667</v>
      </c>
      <c r="AP109" s="78" t="n">
        <f aca="false">Table2[[#This Row],[Outside_._time]]/Table2[[#This Row],[Duration]]</f>
        <v>0.932333333333333</v>
      </c>
      <c r="AQ109" s="78" t="n">
        <f aca="false">Table2[[#This Row],[Inside_._distance]]/Table2[[#This Row],[Distance]]</f>
        <v>0.192392793172479</v>
      </c>
      <c r="AR109" s="78" t="n">
        <f aca="false">Table2[[#This Row],[Outside_._distance]]/Table2[[#This Row],[Distance]]</f>
        <v>0.80750184385207</v>
      </c>
      <c r="AS109" s="79"/>
      <c r="AT109" s="79"/>
      <c r="AU109" s="79"/>
      <c r="AV109" s="80"/>
      <c r="AW109" s="79"/>
      <c r="AX109" s="81"/>
      <c r="AY109" s="82" t="s">
        <v>64</v>
      </c>
      <c r="AZ109" s="98" t="s">
        <v>119</v>
      </c>
      <c r="BA109" s="82" t="s">
        <v>66</v>
      </c>
      <c r="BB109" s="83" t="n">
        <v>34</v>
      </c>
      <c r="BC109" s="84" t="n">
        <v>1.13333333333333</v>
      </c>
      <c r="BD109" s="85" t="s">
        <v>67</v>
      </c>
      <c r="BE109" s="82" t="n">
        <v>6</v>
      </c>
      <c r="BF109" s="86"/>
    </row>
    <row r="110" customFormat="false" ht="12" hidden="false" customHeight="true" outlineLevel="0" collapsed="false">
      <c r="A110" s="73" t="n">
        <v>35</v>
      </c>
      <c r="B110" s="74" t="s">
        <v>164</v>
      </c>
      <c r="C110" s="74" t="s">
        <v>224</v>
      </c>
      <c r="D110" s="74" t="s">
        <v>73</v>
      </c>
      <c r="E110" s="74" t="s">
        <v>225</v>
      </c>
      <c r="F110" s="74" t="s">
        <v>273</v>
      </c>
      <c r="G110" s="74" t="s">
        <v>276</v>
      </c>
      <c r="H110" s="75" t="n">
        <v>300</v>
      </c>
      <c r="I110" s="76" t="n">
        <v>13.891</v>
      </c>
      <c r="J110" s="76" t="n">
        <v>0.046</v>
      </c>
      <c r="K110" s="76" t="n">
        <v>0.295</v>
      </c>
      <c r="L110" s="75" t="n">
        <v>19</v>
      </c>
      <c r="M110" s="77" t="n">
        <v>17</v>
      </c>
      <c r="N110" s="75" t="n">
        <v>11.2</v>
      </c>
      <c r="O110" s="76" t="n">
        <v>1.453</v>
      </c>
      <c r="P110" s="76" t="n">
        <v>0.13</v>
      </c>
      <c r="Q110" s="76" t="n">
        <v>0.225</v>
      </c>
      <c r="R110" s="75" t="n">
        <v>2.3</v>
      </c>
      <c r="S110" s="77" t="n">
        <v>1021</v>
      </c>
      <c r="T110" s="75" t="n">
        <v>0</v>
      </c>
      <c r="U110" s="75" t="n">
        <v>2.2</v>
      </c>
      <c r="V110" s="77" t="n">
        <v>26</v>
      </c>
      <c r="W110" s="75" t="n">
        <v>42</v>
      </c>
      <c r="X110" s="76" t="n">
        <v>1.561</v>
      </c>
      <c r="Y110" s="76" t="n">
        <v>0.037</v>
      </c>
      <c r="Z110" s="76" t="n">
        <v>0.195</v>
      </c>
      <c r="AA110" s="75" t="n">
        <v>18.6</v>
      </c>
      <c r="AB110" s="77" t="n">
        <v>3257</v>
      </c>
      <c r="AC110" s="75" t="n">
        <v>1.5</v>
      </c>
      <c r="AD110" s="75" t="n">
        <v>16.2</v>
      </c>
      <c r="AE110" s="77" t="n">
        <v>20</v>
      </c>
      <c r="AF110" s="75" t="n">
        <v>22.4</v>
      </c>
      <c r="AG110" s="76" t="n">
        <v>2.507</v>
      </c>
      <c r="AH110" s="76" t="n">
        <v>0.112</v>
      </c>
      <c r="AI110" s="75" t="n">
        <v>0</v>
      </c>
      <c r="AJ110" s="77" t="n">
        <v>21</v>
      </c>
      <c r="AK110" s="75" t="n">
        <v>277.6</v>
      </c>
      <c r="AL110" s="76" t="n">
        <v>11.384</v>
      </c>
      <c r="AM110" s="76" t="n">
        <v>0.041</v>
      </c>
      <c r="AN110" s="75" t="n">
        <v>19</v>
      </c>
      <c r="AO110" s="78" t="n">
        <f aca="false">Table2[[#This Row],[Inside_._time]]/Table2[[#This Row],[Duration]]</f>
        <v>0.0746666666666667</v>
      </c>
      <c r="AP110" s="78" t="n">
        <f aca="false">Table2[[#This Row],[Outside_._time]]/Table2[[#This Row],[Duration]]</f>
        <v>0.925333333333333</v>
      </c>
      <c r="AQ110" s="78" t="n">
        <f aca="false">Table2[[#This Row],[Inside_._distance]]/Table2[[#This Row],[Distance]]</f>
        <v>0.180476567561731</v>
      </c>
      <c r="AR110" s="78" t="n">
        <f aca="false">Table2[[#This Row],[Outside_._distance]]/Table2[[#This Row],[Distance]]</f>
        <v>0.819523432438269</v>
      </c>
      <c r="AS110" s="79"/>
      <c r="AT110" s="79"/>
      <c r="AU110" s="79"/>
      <c r="AV110" s="80"/>
      <c r="AW110" s="79"/>
      <c r="AX110" s="81"/>
      <c r="AY110" s="82" t="s">
        <v>64</v>
      </c>
      <c r="AZ110" s="82" t="s">
        <v>123</v>
      </c>
      <c r="BA110" s="82" t="s">
        <v>93</v>
      </c>
      <c r="BB110" s="83" t="n">
        <v>34</v>
      </c>
      <c r="BC110" s="84" t="n">
        <v>1.13333333333333</v>
      </c>
      <c r="BD110" s="85" t="s">
        <v>80</v>
      </c>
      <c r="BE110" s="82" t="n">
        <v>3</v>
      </c>
      <c r="BF110" s="86"/>
    </row>
    <row r="111" customFormat="false" ht="12" hidden="false" customHeight="true" outlineLevel="0" collapsed="false">
      <c r="A111" s="73" t="n">
        <v>36</v>
      </c>
      <c r="B111" s="74" t="s">
        <v>166</v>
      </c>
      <c r="C111" s="74" t="s">
        <v>224</v>
      </c>
      <c r="D111" s="74" t="s">
        <v>77</v>
      </c>
      <c r="E111" s="74" t="s">
        <v>225</v>
      </c>
      <c r="F111" s="74" t="s">
        <v>277</v>
      </c>
      <c r="G111" s="74" t="s">
        <v>278</v>
      </c>
      <c r="H111" s="75" t="n">
        <v>300</v>
      </c>
      <c r="I111" s="76" t="n">
        <v>8.692</v>
      </c>
      <c r="J111" s="76" t="n">
        <v>0.029</v>
      </c>
      <c r="K111" s="76" t="n">
        <v>0.22</v>
      </c>
      <c r="L111" s="75" t="n">
        <v>54</v>
      </c>
      <c r="M111" s="77" t="n">
        <v>20</v>
      </c>
      <c r="N111" s="75" t="n">
        <v>48</v>
      </c>
      <c r="O111" s="76" t="n">
        <v>1.249</v>
      </c>
      <c r="P111" s="76" t="n">
        <v>0.026</v>
      </c>
      <c r="Q111" s="76" t="n">
        <v>0.22</v>
      </c>
      <c r="R111" s="75" t="n">
        <v>9.9</v>
      </c>
      <c r="S111" s="77" t="n">
        <v>3048</v>
      </c>
      <c r="T111" s="75" t="n">
        <v>10.3</v>
      </c>
      <c r="U111" s="75" t="n">
        <v>9.3</v>
      </c>
      <c r="V111" s="77" t="n">
        <v>9</v>
      </c>
      <c r="W111" s="75" t="n">
        <v>8.8</v>
      </c>
      <c r="X111" s="76" t="n">
        <v>0.56</v>
      </c>
      <c r="Y111" s="76" t="n">
        <v>0.064</v>
      </c>
      <c r="Z111" s="76" t="n">
        <v>0.16</v>
      </c>
      <c r="AA111" s="75" t="n">
        <v>1.7</v>
      </c>
      <c r="AB111" s="77" t="n">
        <v>625</v>
      </c>
      <c r="AC111" s="75" t="n">
        <v>2.6</v>
      </c>
      <c r="AD111" s="75" t="n">
        <v>1.7</v>
      </c>
      <c r="AE111" s="77" t="n">
        <v>6</v>
      </c>
      <c r="AF111" s="75" t="n">
        <v>36.1</v>
      </c>
      <c r="AG111" s="76" t="n">
        <v>1.349</v>
      </c>
      <c r="AH111" s="76" t="n">
        <v>0.037</v>
      </c>
      <c r="AI111" s="75" t="n">
        <v>2.3</v>
      </c>
      <c r="AJ111" s="77" t="n">
        <v>7</v>
      </c>
      <c r="AK111" s="75" t="n">
        <v>263.9</v>
      </c>
      <c r="AL111" s="76" t="n">
        <v>7.343</v>
      </c>
      <c r="AM111" s="76" t="n">
        <v>0.028</v>
      </c>
      <c r="AN111" s="75" t="n">
        <v>51.8</v>
      </c>
      <c r="AO111" s="78" t="n">
        <f aca="false">Table2[[#This Row],[Inside_._time]]/Table2[[#This Row],[Duration]]</f>
        <v>0.120333333333333</v>
      </c>
      <c r="AP111" s="78" t="n">
        <f aca="false">Table2[[#This Row],[Outside_._time]]/Table2[[#This Row],[Duration]]</f>
        <v>0.879666666666667</v>
      </c>
      <c r="AQ111" s="78" t="n">
        <f aca="false">Table2[[#This Row],[Inside_._distance]]/Table2[[#This Row],[Distance]]</f>
        <v>0.155200184077312</v>
      </c>
      <c r="AR111" s="78" t="n">
        <f aca="false">Table2[[#This Row],[Outside_._distance]]/Table2[[#This Row],[Distance]]</f>
        <v>0.844799815922687</v>
      </c>
      <c r="AS111" s="79"/>
      <c r="AT111" s="79"/>
      <c r="AU111" s="79"/>
      <c r="AV111" s="80"/>
      <c r="AW111" s="79"/>
      <c r="AX111" s="81"/>
      <c r="AY111" s="82" t="s">
        <v>79</v>
      </c>
      <c r="AZ111" s="82" t="s">
        <v>123</v>
      </c>
      <c r="BA111" s="82" t="s">
        <v>93</v>
      </c>
      <c r="BB111" s="83" t="n">
        <v>34</v>
      </c>
      <c r="BC111" s="84" t="n">
        <v>1.13333333333333</v>
      </c>
      <c r="BD111" s="85" t="s">
        <v>67</v>
      </c>
      <c r="BE111" s="82" t="n">
        <v>4</v>
      </c>
      <c r="BF111" s="86"/>
    </row>
    <row r="112" customFormat="false" ht="12" hidden="false" customHeight="true" outlineLevel="0" collapsed="false">
      <c r="A112" s="99" t="n">
        <v>37</v>
      </c>
      <c r="B112" s="100" t="s">
        <v>169</v>
      </c>
      <c r="C112" s="100" t="s">
        <v>224</v>
      </c>
      <c r="D112" s="100" t="s">
        <v>60</v>
      </c>
      <c r="E112" s="100" t="s">
        <v>225</v>
      </c>
      <c r="F112" s="100" t="s">
        <v>279</v>
      </c>
      <c r="G112" s="100" t="s">
        <v>280</v>
      </c>
      <c r="H112" s="101" t="n">
        <v>300</v>
      </c>
      <c r="I112" s="102" t="n">
        <v>12.543</v>
      </c>
      <c r="J112" s="102" t="n">
        <v>0.042</v>
      </c>
      <c r="K112" s="102" t="n">
        <v>0.236</v>
      </c>
      <c r="L112" s="101" t="n">
        <v>22</v>
      </c>
      <c r="M112" s="103" t="n">
        <v>13</v>
      </c>
      <c r="N112" s="101" t="n">
        <v>13.4</v>
      </c>
      <c r="O112" s="102" t="n">
        <v>1.047</v>
      </c>
      <c r="P112" s="102" t="n">
        <v>0.078</v>
      </c>
      <c r="Q112" s="102" t="n">
        <v>0.214</v>
      </c>
      <c r="R112" s="101" t="n">
        <v>2.8</v>
      </c>
      <c r="S112" s="103" t="n">
        <v>1355</v>
      </c>
      <c r="T112" s="101" t="n">
        <v>0</v>
      </c>
      <c r="U112" s="101" t="n">
        <v>3.9</v>
      </c>
      <c r="V112" s="103" t="n">
        <v>12</v>
      </c>
      <c r="W112" s="101" t="n">
        <v>9.4</v>
      </c>
      <c r="X112" s="102" t="n">
        <v>0.757</v>
      </c>
      <c r="Y112" s="102" t="n">
        <v>0.081</v>
      </c>
      <c r="Z112" s="102" t="n">
        <v>0.157</v>
      </c>
      <c r="AA112" s="101" t="n">
        <v>1.7</v>
      </c>
      <c r="AB112" s="103" t="n">
        <v>916</v>
      </c>
      <c r="AC112" s="101" t="n">
        <v>0</v>
      </c>
      <c r="AD112" s="101" t="n">
        <v>1.1</v>
      </c>
      <c r="AE112" s="103" t="n">
        <v>23</v>
      </c>
      <c r="AF112" s="101" t="n">
        <v>42.3</v>
      </c>
      <c r="AG112" s="102" t="n">
        <v>2.852</v>
      </c>
      <c r="AH112" s="102" t="n">
        <v>0.067</v>
      </c>
      <c r="AI112" s="101" t="n">
        <v>1.7</v>
      </c>
      <c r="AJ112" s="103" t="n">
        <v>24</v>
      </c>
      <c r="AK112" s="101" t="n">
        <v>257.7</v>
      </c>
      <c r="AL112" s="102" t="n">
        <v>9.692</v>
      </c>
      <c r="AM112" s="102" t="n">
        <v>0.038</v>
      </c>
      <c r="AN112" s="101" t="n">
        <v>20.3</v>
      </c>
      <c r="AO112" s="104" t="n">
        <f aca="false">Table2[[#This Row],[Inside_._time]]/Table2[[#This Row],[Duration]]</f>
        <v>0.141</v>
      </c>
      <c r="AP112" s="104" t="n">
        <f aca="false">Table2[[#This Row],[Outside_._time]]/Table2[[#This Row],[Duration]]</f>
        <v>0.859</v>
      </c>
      <c r="AQ112" s="104" t="n">
        <f aca="false">Table2[[#This Row],[Inside_._distance]]/Table2[[#This Row],[Distance]]</f>
        <v>0.227377820298174</v>
      </c>
      <c r="AR112" s="104" t="n">
        <f aca="false">Table2[[#This Row],[Outside_._distance]]/Table2[[#This Row],[Distance]]</f>
        <v>0.772701905445268</v>
      </c>
      <c r="AS112" s="105"/>
      <c r="AT112" s="105"/>
      <c r="AU112" s="105"/>
      <c r="AV112" s="106"/>
      <c r="AW112" s="105"/>
      <c r="AX112" s="107"/>
      <c r="AY112" s="108" t="s">
        <v>79</v>
      </c>
      <c r="AZ112" s="108" t="s">
        <v>123</v>
      </c>
      <c r="BA112" s="108" t="s">
        <v>66</v>
      </c>
      <c r="BB112" s="109" t="n">
        <v>34</v>
      </c>
      <c r="BC112" s="110" t="n">
        <v>1.13333333333333</v>
      </c>
      <c r="BD112" s="111" t="s">
        <v>67</v>
      </c>
      <c r="BE112" s="108" t="n">
        <v>2</v>
      </c>
      <c r="BF112" s="1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10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R70" activeCellId="0" sqref="AR70"/>
    </sheetView>
  </sheetViews>
  <sheetFormatPr defaultColWidth="10.859375" defaultRowHeight="15" zeroHeight="false" outlineLevelRow="0" outlineLevelCol="0"/>
  <cols>
    <col collapsed="false" customWidth="true" hidden="false" outlineLevel="0" max="1" min="1" style="113" width="7"/>
    <col collapsed="false" customWidth="true" hidden="false" outlineLevel="0" max="2" min="2" style="114" width="9.33"/>
    <col collapsed="false" customWidth="true" hidden="false" outlineLevel="0" max="3" min="3" style="114" width="32.83"/>
    <col collapsed="false" customWidth="true" hidden="false" outlineLevel="0" max="4" min="4" style="114" width="13.83"/>
    <col collapsed="false" customWidth="true" hidden="false" outlineLevel="0" max="5" min="5" style="114" width="11.84"/>
    <col collapsed="false" customWidth="true" hidden="false" outlineLevel="0" max="6" min="6" style="114" width="7.67"/>
    <col collapsed="false" customWidth="true" hidden="false" outlineLevel="0" max="7" min="7" style="114" width="36.84"/>
    <col collapsed="false" customWidth="true" hidden="false" outlineLevel="0" max="8" min="8" style="115" width="10.65"/>
    <col collapsed="false" customWidth="true" hidden="false" outlineLevel="0" max="9" min="9" style="116" width="10.65"/>
    <col collapsed="false" customWidth="true" hidden="false" outlineLevel="0" max="10" min="10" style="116" width="14.01"/>
    <col collapsed="false" customWidth="true" hidden="false" outlineLevel="0" max="11" min="11" style="116" width="13.02"/>
    <col collapsed="false" customWidth="true" hidden="false" outlineLevel="0" max="12" min="12" style="115" width="15.34"/>
    <col collapsed="false" customWidth="true" hidden="false" outlineLevel="0" max="13" min="13" style="113" width="24.83"/>
    <col collapsed="false" customWidth="true" hidden="false" outlineLevel="0" max="14" min="14" style="115" width="22.33"/>
    <col collapsed="false" customWidth="true" hidden="false" outlineLevel="0" max="15" min="15" style="116" width="20.83"/>
    <col collapsed="false" customWidth="true" hidden="false" outlineLevel="0" max="16" min="16" style="116" width="26"/>
    <col collapsed="false" customWidth="true" hidden="false" outlineLevel="0" max="17" min="17" style="116" width="23.01"/>
    <col collapsed="false" customWidth="true" hidden="false" outlineLevel="0" max="18" min="18" style="115" width="38.83"/>
    <col collapsed="false" customWidth="true" hidden="false" outlineLevel="0" max="19" min="19" style="113" width="36.84"/>
    <col collapsed="false" customWidth="true" hidden="false" outlineLevel="0" max="20" min="20" style="115" width="25.83"/>
    <col collapsed="false" customWidth="true" hidden="false" outlineLevel="0" max="21" min="21" style="115" width="37.83"/>
    <col collapsed="false" customWidth="true" hidden="false" outlineLevel="0" max="22" min="22" style="113" width="24.83"/>
    <col collapsed="false" customWidth="true" hidden="false" outlineLevel="0" max="23" min="23" style="115" width="22.33"/>
    <col collapsed="false" customWidth="true" hidden="false" outlineLevel="0" max="24" min="24" style="116" width="20.83"/>
    <col collapsed="false" customWidth="true" hidden="false" outlineLevel="0" max="25" min="25" style="116" width="26"/>
    <col collapsed="false" customWidth="true" hidden="false" outlineLevel="0" max="26" min="26" style="116" width="23.01"/>
    <col collapsed="false" customWidth="true" hidden="false" outlineLevel="0" max="27" min="27" style="115" width="38.83"/>
    <col collapsed="false" customWidth="true" hidden="false" outlineLevel="0" max="28" min="28" style="113" width="36.84"/>
    <col collapsed="false" customWidth="true" hidden="false" outlineLevel="0" max="29" min="29" style="115" width="25.83"/>
    <col collapsed="false" customWidth="true" hidden="false" outlineLevel="0" max="30" min="30" style="115" width="37.83"/>
    <col collapsed="false" customWidth="true" hidden="false" outlineLevel="0" max="31" min="31" style="113" width="17.83"/>
    <col collapsed="false" customWidth="true" hidden="false" outlineLevel="0" max="32" min="32" style="115" width="14.83"/>
    <col collapsed="false" customWidth="true" hidden="false" outlineLevel="0" max="33" min="33" style="116" width="18.85"/>
    <col collapsed="false" customWidth="true" hidden="false" outlineLevel="0" max="34" min="34" style="116" width="23.83"/>
    <col collapsed="false" customWidth="true" hidden="false" outlineLevel="0" max="35" min="35" style="115" width="23.83"/>
    <col collapsed="false" customWidth="true" hidden="false" outlineLevel="0" max="36" min="36" style="113" width="18.85"/>
    <col collapsed="false" customWidth="true" hidden="false" outlineLevel="0" max="37" min="37" style="115" width="16.15"/>
    <col collapsed="false" customWidth="true" hidden="false" outlineLevel="0" max="38" min="38" style="116" width="19.84"/>
    <col collapsed="false" customWidth="true" hidden="false" outlineLevel="0" max="39" min="39" style="116" width="24.83"/>
    <col collapsed="false" customWidth="true" hidden="false" outlineLevel="0" max="44" min="40" style="115" width="24.83"/>
    <col collapsed="false" customWidth="true" hidden="false" outlineLevel="0" max="45" min="45" style="117" width="42.16"/>
    <col collapsed="false" customWidth="true" hidden="false" outlineLevel="0" max="46" min="46" style="117" width="47.17"/>
    <col collapsed="false" customWidth="true" hidden="false" outlineLevel="0" max="47" min="47" style="117" width="42"/>
    <col collapsed="false" customWidth="true" hidden="false" outlineLevel="0" max="48" min="48" style="117" width="32.34"/>
    <col collapsed="false" customWidth="true" hidden="false" outlineLevel="0" max="49" min="49" style="117" width="35"/>
    <col collapsed="false" customWidth="true" hidden="false" outlineLevel="0" max="50" min="50" style="117" width="78.16"/>
    <col collapsed="false" customWidth="false" hidden="false" outlineLevel="0" max="53" min="51" style="117" width="10.84"/>
    <col collapsed="false" customWidth="true" hidden="false" outlineLevel="0" max="54" min="54" style="117" width="11.16"/>
    <col collapsed="false" customWidth="true" hidden="false" outlineLevel="0" max="55" min="55" style="117" width="13.66"/>
    <col collapsed="false" customWidth="true" hidden="false" outlineLevel="0" max="56" min="56" style="117" width="11.65"/>
    <col collapsed="false" customWidth="false" hidden="false" outlineLevel="0" max="57" min="57" style="117" width="10.84"/>
    <col collapsed="false" customWidth="true" hidden="false" outlineLevel="0" max="58" min="58" style="117" width="19.65"/>
    <col collapsed="false" customWidth="false" hidden="false" outlineLevel="0" max="59" min="59" style="8" width="10.84"/>
    <col collapsed="false" customWidth="true" hidden="false" outlineLevel="0" max="60" min="60" style="8" width="9.33"/>
    <col collapsed="false" customWidth="false" hidden="false" outlineLevel="0" max="61" min="61" style="8" width="10.84"/>
    <col collapsed="false" customWidth="true" hidden="false" outlineLevel="0" max="62" min="62" style="8" width="12.66"/>
    <col collapsed="false" customWidth="true" hidden="false" outlineLevel="0" max="63" min="63" style="8" width="15.49"/>
    <col collapsed="false" customWidth="true" hidden="false" outlineLevel="0" max="64" min="64" style="8" width="12.66"/>
    <col collapsed="false" customWidth="false" hidden="false" outlineLevel="0" max="65" min="65" style="8" width="10.84"/>
    <col collapsed="false" customWidth="true" hidden="false" outlineLevel="0" max="66" min="66" style="8" width="16.83"/>
    <col collapsed="false" customWidth="false" hidden="false" outlineLevel="0" max="1024" min="67" style="117" width="10.84"/>
  </cols>
  <sheetData>
    <row r="1" s="129" customFormat="true" ht="12" hidden="false" customHeight="true" outlineLevel="0" collapsed="false">
      <c r="A1" s="118" t="s">
        <v>0</v>
      </c>
      <c r="B1" s="119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20" t="s">
        <v>7</v>
      </c>
      <c r="I1" s="121" t="s">
        <v>8</v>
      </c>
      <c r="J1" s="121" t="s">
        <v>9</v>
      </c>
      <c r="K1" s="121" t="s">
        <v>10</v>
      </c>
      <c r="L1" s="120" t="s">
        <v>11</v>
      </c>
      <c r="M1" s="122" t="s">
        <v>12</v>
      </c>
      <c r="N1" s="120" t="s">
        <v>13</v>
      </c>
      <c r="O1" s="121" t="s">
        <v>14</v>
      </c>
      <c r="P1" s="121" t="s">
        <v>15</v>
      </c>
      <c r="Q1" s="121" t="s">
        <v>16</v>
      </c>
      <c r="R1" s="120" t="s">
        <v>17</v>
      </c>
      <c r="S1" s="122" t="s">
        <v>18</v>
      </c>
      <c r="T1" s="120" t="s">
        <v>19</v>
      </c>
      <c r="U1" s="120" t="s">
        <v>20</v>
      </c>
      <c r="V1" s="122" t="s">
        <v>21</v>
      </c>
      <c r="W1" s="120" t="s">
        <v>22</v>
      </c>
      <c r="X1" s="121" t="s">
        <v>23</v>
      </c>
      <c r="Y1" s="121" t="s">
        <v>24</v>
      </c>
      <c r="Z1" s="121" t="s">
        <v>25</v>
      </c>
      <c r="AA1" s="120" t="s">
        <v>26</v>
      </c>
      <c r="AB1" s="122" t="s">
        <v>27</v>
      </c>
      <c r="AC1" s="120" t="s">
        <v>28</v>
      </c>
      <c r="AD1" s="120" t="s">
        <v>29</v>
      </c>
      <c r="AE1" s="122" t="s">
        <v>30</v>
      </c>
      <c r="AF1" s="120" t="s">
        <v>31</v>
      </c>
      <c r="AG1" s="121" t="s">
        <v>32</v>
      </c>
      <c r="AH1" s="121" t="s">
        <v>33</v>
      </c>
      <c r="AI1" s="120" t="s">
        <v>34</v>
      </c>
      <c r="AJ1" s="122" t="s">
        <v>35</v>
      </c>
      <c r="AK1" s="120" t="s">
        <v>36</v>
      </c>
      <c r="AL1" s="121" t="s">
        <v>37</v>
      </c>
      <c r="AM1" s="121" t="s">
        <v>38</v>
      </c>
      <c r="AN1" s="120" t="s">
        <v>39</v>
      </c>
      <c r="AO1" s="123" t="s">
        <v>40</v>
      </c>
      <c r="AP1" s="123" t="s">
        <v>41</v>
      </c>
      <c r="AQ1" s="123" t="s">
        <v>42</v>
      </c>
      <c r="AR1" s="123" t="s">
        <v>43</v>
      </c>
      <c r="AS1" s="124" t="s">
        <v>44</v>
      </c>
      <c r="AT1" s="124" t="s">
        <v>45</v>
      </c>
      <c r="AU1" s="125" t="s">
        <v>46</v>
      </c>
      <c r="AV1" s="125" t="s">
        <v>47</v>
      </c>
      <c r="AW1" s="125" t="s">
        <v>48</v>
      </c>
      <c r="AX1" s="124" t="s">
        <v>49</v>
      </c>
      <c r="AY1" s="125" t="s">
        <v>50</v>
      </c>
      <c r="AZ1" s="125" t="s">
        <v>51</v>
      </c>
      <c r="BA1" s="125" t="s">
        <v>281</v>
      </c>
      <c r="BB1" s="124" t="s">
        <v>53</v>
      </c>
      <c r="BC1" s="126" t="s">
        <v>54</v>
      </c>
      <c r="BD1" s="125" t="s">
        <v>55</v>
      </c>
      <c r="BE1" s="125" t="s">
        <v>56</v>
      </c>
      <c r="BF1" s="127" t="s">
        <v>57</v>
      </c>
      <c r="BG1" s="128"/>
      <c r="BH1" s="128"/>
      <c r="BI1" s="128"/>
      <c r="BJ1" s="128"/>
      <c r="BK1" s="128"/>
      <c r="BL1" s="128"/>
      <c r="BM1" s="128"/>
      <c r="BN1" s="128"/>
    </row>
    <row r="2" customFormat="false" ht="12" hidden="false" customHeight="true" outlineLevel="0" collapsed="false">
      <c r="A2" s="130" t="n">
        <v>35</v>
      </c>
      <c r="B2" s="131" t="s">
        <v>58</v>
      </c>
      <c r="C2" s="131" t="s">
        <v>59</v>
      </c>
      <c r="D2" s="131" t="s">
        <v>60</v>
      </c>
      <c r="E2" s="131" t="s">
        <v>282</v>
      </c>
      <c r="F2" s="131" t="s">
        <v>283</v>
      </c>
      <c r="G2" s="131" t="s">
        <v>284</v>
      </c>
      <c r="H2" s="132" t="n">
        <v>360</v>
      </c>
      <c r="I2" s="133" t="n">
        <v>9.451</v>
      </c>
      <c r="J2" s="133" t="n">
        <v>0.026</v>
      </c>
      <c r="K2" s="133" t="n">
        <v>0.259</v>
      </c>
      <c r="L2" s="132" t="n">
        <v>51.8</v>
      </c>
      <c r="M2" s="134" t="n">
        <v>48</v>
      </c>
      <c r="N2" s="132" t="n">
        <v>37</v>
      </c>
      <c r="O2" s="133" t="n">
        <v>0.649</v>
      </c>
      <c r="P2" s="133" t="n">
        <v>0.018</v>
      </c>
      <c r="Q2" s="133" t="n">
        <v>0.22</v>
      </c>
      <c r="R2" s="132" t="n">
        <v>25.7</v>
      </c>
      <c r="S2" s="134" t="n">
        <v>1833</v>
      </c>
      <c r="T2" s="132" t="n">
        <v>11.4</v>
      </c>
      <c r="U2" s="132" t="n">
        <v>31.8</v>
      </c>
      <c r="V2" s="134" t="n">
        <v>32</v>
      </c>
      <c r="W2" s="132" t="n">
        <v>34.8</v>
      </c>
      <c r="X2" s="133" t="n">
        <v>1.274</v>
      </c>
      <c r="Y2" s="133" t="n">
        <v>0.037</v>
      </c>
      <c r="Z2" s="133" t="n">
        <v>0.175</v>
      </c>
      <c r="AA2" s="132" t="n">
        <v>14</v>
      </c>
      <c r="AB2" s="134" t="n">
        <v>2505</v>
      </c>
      <c r="AC2" s="132" t="n">
        <v>0</v>
      </c>
      <c r="AD2" s="132" t="n">
        <v>20.8</v>
      </c>
      <c r="AE2" s="134" t="n">
        <v>14</v>
      </c>
      <c r="AF2" s="132" t="n">
        <v>31.4</v>
      </c>
      <c r="AG2" s="133" t="n">
        <v>2.163</v>
      </c>
      <c r="AH2" s="133" t="n">
        <v>0.069</v>
      </c>
      <c r="AI2" s="132" t="n">
        <v>0</v>
      </c>
      <c r="AJ2" s="134" t="n">
        <v>14</v>
      </c>
      <c r="AK2" s="132" t="n">
        <v>328.6</v>
      </c>
      <c r="AL2" s="133" t="n">
        <v>7.288</v>
      </c>
      <c r="AM2" s="133" t="n">
        <v>0.022</v>
      </c>
      <c r="AN2" s="132" t="n">
        <v>51.8</v>
      </c>
      <c r="AO2" s="26"/>
      <c r="AP2" s="26"/>
      <c r="AQ2" s="26"/>
      <c r="AR2" s="26"/>
      <c r="AS2" s="27" t="e">
        <f aca="false">[1]!table2[[#this row],[object_a_._head_time]]+[1]!table2[[#this row],[object_b_._head_time]]</f>
        <v>#N/A</v>
      </c>
      <c r="AT2" s="28" t="e">
        <f aca="false">[1]!table2[[#this row],[object_a_._head_time]]+[1]!table2[[#this row],[object_b_._head_time]]</f>
        <v>#N/A</v>
      </c>
      <c r="AU2" s="28" t="e">
        <f aca="false">[1]!table2[[#this row],[object_b_._head_time]]-[1]!table2[[#this row],[object_a_._head_time]]</f>
        <v>#N/A</v>
      </c>
      <c r="AV2" s="29" t="e">
        <f aca="false">[1]!table2[[#this row],[d1: absolute discrimination measure (D1 = B2- A2)]]/[1]!table2[[#this row],[e2: total exploration time in second trial E2 ( E2 = A2 + B2)]]</f>
        <v>#N/A</v>
      </c>
      <c r="AW2" s="28" t="e">
        <f aca="false">(W2/AT2)*100</f>
        <v>#N/A</v>
      </c>
      <c r="AX2" s="27" t="e">
        <f aca="false">([1]!table2[[#this row],[object_a_._head_time]]/([1]!table2[[#this row],[object_a_._head_time]]+[1]!table2[[#this row],[object_b_._head_time]]))*100</f>
        <v>#N/A</v>
      </c>
      <c r="AY2" s="30" t="s">
        <v>64</v>
      </c>
      <c r="AZ2" s="30" t="s">
        <v>65</v>
      </c>
      <c r="BA2" s="30" t="s">
        <v>66</v>
      </c>
      <c r="BB2" s="31" t="n">
        <v>195</v>
      </c>
      <c r="BC2" s="32" t="n">
        <v>6.5</v>
      </c>
      <c r="BD2" s="33" t="s">
        <v>67</v>
      </c>
      <c r="BE2" s="30" t="n">
        <v>2</v>
      </c>
      <c r="BF2" s="34" t="s">
        <v>68</v>
      </c>
    </row>
    <row r="3" customFormat="false" ht="12" hidden="false" customHeight="true" outlineLevel="0" collapsed="false">
      <c r="A3" s="130" t="n">
        <v>36</v>
      </c>
      <c r="B3" s="131" t="s">
        <v>72</v>
      </c>
      <c r="C3" s="131" t="s">
        <v>59</v>
      </c>
      <c r="D3" s="131" t="s">
        <v>70</v>
      </c>
      <c r="E3" s="131" t="s">
        <v>282</v>
      </c>
      <c r="F3" s="131" t="s">
        <v>283</v>
      </c>
      <c r="G3" s="131" t="s">
        <v>285</v>
      </c>
      <c r="H3" s="132" t="n">
        <v>360</v>
      </c>
      <c r="I3" s="133" t="n">
        <v>16.77</v>
      </c>
      <c r="J3" s="133" t="n">
        <v>0.047</v>
      </c>
      <c r="K3" s="133" t="n">
        <v>0.289</v>
      </c>
      <c r="L3" s="132" t="n">
        <v>86.2</v>
      </c>
      <c r="M3" s="134" t="n">
        <v>32</v>
      </c>
      <c r="N3" s="132" t="n">
        <v>52.8</v>
      </c>
      <c r="O3" s="133" t="n">
        <v>2.444</v>
      </c>
      <c r="P3" s="133" t="n">
        <v>0.046</v>
      </c>
      <c r="Q3" s="133" t="n">
        <v>0.21</v>
      </c>
      <c r="R3" s="132" t="n">
        <v>19.4</v>
      </c>
      <c r="S3" s="134" t="n">
        <v>4592</v>
      </c>
      <c r="T3" s="132" t="n">
        <v>0.1</v>
      </c>
      <c r="U3" s="132" t="n">
        <v>16.8</v>
      </c>
      <c r="V3" s="134" t="n">
        <v>24</v>
      </c>
      <c r="W3" s="132" t="n">
        <v>32.2</v>
      </c>
      <c r="X3" s="133" t="n">
        <v>1.641</v>
      </c>
      <c r="Y3" s="133" t="n">
        <v>0.051</v>
      </c>
      <c r="Z3" s="133" t="n">
        <v>0.289</v>
      </c>
      <c r="AA3" s="132" t="n">
        <v>12.7</v>
      </c>
      <c r="AB3" s="134" t="n">
        <v>2395</v>
      </c>
      <c r="AC3" s="132" t="n">
        <v>0</v>
      </c>
      <c r="AD3" s="132" t="n">
        <v>8.9</v>
      </c>
      <c r="AE3" s="134" t="n">
        <v>25</v>
      </c>
      <c r="AF3" s="132" t="n">
        <v>44.9</v>
      </c>
      <c r="AG3" s="133" t="n">
        <v>3.406</v>
      </c>
      <c r="AH3" s="133" t="n">
        <v>0.076</v>
      </c>
      <c r="AI3" s="132" t="n">
        <v>0</v>
      </c>
      <c r="AJ3" s="134" t="n">
        <v>25</v>
      </c>
      <c r="AK3" s="132" t="n">
        <v>315.1</v>
      </c>
      <c r="AL3" s="133" t="n">
        <v>13.364</v>
      </c>
      <c r="AM3" s="133" t="n">
        <v>0.042</v>
      </c>
      <c r="AN3" s="132" t="n">
        <v>86.2</v>
      </c>
      <c r="AO3" s="26"/>
      <c r="AP3" s="26"/>
      <c r="AQ3" s="26"/>
      <c r="AR3" s="26"/>
      <c r="AS3" s="135" t="e">
        <f aca="false">[1]!table2[[#this row],[object_a_._head_time]]+[1]!table2[[#this row],[object_b_._head_time]]</f>
        <v>#N/A</v>
      </c>
      <c r="AT3" s="135" t="e">
        <f aca="false">[1]!table2[[#this row],[object_a_._head_time]]+[1]!table2[[#this row],[object_b_._head_time]]</f>
        <v>#N/A</v>
      </c>
      <c r="AU3" s="135" t="e">
        <f aca="false">[1]!table2[[#this row],[object_b_._head_time]]-[1]!table2[[#this row],[object_a_._head_time]]</f>
        <v>#N/A</v>
      </c>
      <c r="AV3" s="136" t="e">
        <f aca="false">[1]!table2[[#this row],[d1: absolute discrimination measure (D1 = B2- A2)]]/[1]!table2[[#this row],[e2: total exploration time in second trial E2 ( E2 = A2 + B2)]]</f>
        <v>#N/A</v>
      </c>
      <c r="AW3" s="135" t="e">
        <f aca="false">(W3/AT3)*100</f>
        <v>#N/A</v>
      </c>
      <c r="AX3" s="135" t="e">
        <f aca="false">([1]!table2[[#this row],[object_a_._head_time]]/([1]!table2[[#this row],[object_a_._head_time]]+[1]!table2[[#this row],[object_b_._head_time]]))*100</f>
        <v>#N/A</v>
      </c>
      <c r="AY3" s="30" t="s">
        <v>64</v>
      </c>
      <c r="AZ3" s="30" t="s">
        <v>65</v>
      </c>
      <c r="BA3" s="30" t="s">
        <v>66</v>
      </c>
      <c r="BB3" s="31" t="n">
        <v>195</v>
      </c>
      <c r="BC3" s="32" t="n">
        <v>6.5</v>
      </c>
      <c r="BD3" s="33" t="s">
        <v>67</v>
      </c>
      <c r="BE3" s="30" t="n">
        <v>2</v>
      </c>
      <c r="BF3" s="34" t="s">
        <v>75</v>
      </c>
    </row>
    <row r="4" customFormat="false" ht="12" hidden="false" customHeight="true" outlineLevel="0" collapsed="false">
      <c r="A4" s="130" t="n">
        <v>38</v>
      </c>
      <c r="B4" s="131" t="s">
        <v>76</v>
      </c>
      <c r="C4" s="131" t="s">
        <v>59</v>
      </c>
      <c r="D4" s="131" t="s">
        <v>73</v>
      </c>
      <c r="E4" s="131" t="s">
        <v>282</v>
      </c>
      <c r="F4" s="131" t="s">
        <v>286</v>
      </c>
      <c r="G4" s="131" t="s">
        <v>287</v>
      </c>
      <c r="H4" s="132" t="n">
        <v>360</v>
      </c>
      <c r="I4" s="133" t="n">
        <v>39.826</v>
      </c>
      <c r="J4" s="133" t="n">
        <v>0.111</v>
      </c>
      <c r="K4" s="133" t="n">
        <v>0.389</v>
      </c>
      <c r="L4" s="132" t="n">
        <v>1.1</v>
      </c>
      <c r="M4" s="134" t="n">
        <v>43</v>
      </c>
      <c r="N4" s="132" t="n">
        <v>21.7</v>
      </c>
      <c r="O4" s="133" t="n">
        <v>1.636</v>
      </c>
      <c r="P4" s="133" t="n">
        <v>0.075</v>
      </c>
      <c r="Q4" s="133" t="n">
        <v>0.389</v>
      </c>
      <c r="R4" s="132" t="n">
        <v>10.6</v>
      </c>
      <c r="S4" s="134" t="n">
        <v>2855</v>
      </c>
      <c r="T4" s="132" t="n">
        <v>0</v>
      </c>
      <c r="U4" s="132" t="n">
        <v>15.3</v>
      </c>
      <c r="V4" s="134" t="n">
        <v>81</v>
      </c>
      <c r="W4" s="132" t="n">
        <v>53.6</v>
      </c>
      <c r="X4" s="133" t="n">
        <v>3.054</v>
      </c>
      <c r="Y4" s="133" t="n">
        <v>0.057</v>
      </c>
      <c r="Z4" s="133" t="n">
        <v>0.353</v>
      </c>
      <c r="AA4" s="132" t="n">
        <v>32.4</v>
      </c>
      <c r="AB4" s="134" t="n">
        <v>6721</v>
      </c>
      <c r="AC4" s="132" t="n">
        <v>0</v>
      </c>
      <c r="AD4" s="132" t="n">
        <v>41.8</v>
      </c>
      <c r="AE4" s="134" t="n">
        <v>63</v>
      </c>
      <c r="AF4" s="132" t="n">
        <v>64.2</v>
      </c>
      <c r="AG4" s="133" t="n">
        <v>8.451</v>
      </c>
      <c r="AH4" s="133" t="n">
        <v>0.132</v>
      </c>
      <c r="AI4" s="132" t="n">
        <v>0</v>
      </c>
      <c r="AJ4" s="134" t="n">
        <v>63</v>
      </c>
      <c r="AK4" s="132" t="n">
        <v>295.8</v>
      </c>
      <c r="AL4" s="133" t="n">
        <v>31.375</v>
      </c>
      <c r="AM4" s="133" t="n">
        <v>0.106</v>
      </c>
      <c r="AN4" s="132" t="n">
        <v>1.1</v>
      </c>
      <c r="AO4" s="26"/>
      <c r="AP4" s="26"/>
      <c r="AQ4" s="26"/>
      <c r="AR4" s="26"/>
      <c r="AS4" s="135" t="e">
        <f aca="false">[1]!table2[[#this row],[object_a_._head_time]]+[1]!table2[[#this row],[object_b_._head_time]]</f>
        <v>#N/A</v>
      </c>
      <c r="AT4" s="135" t="e">
        <f aca="false">[1]!table2[[#this row],[object_a_._head_time]]+[1]!table2[[#this row],[object_b_._head_time]]</f>
        <v>#N/A</v>
      </c>
      <c r="AU4" s="135" t="e">
        <f aca="false">[1]!table2[[#this row],[object_b_._head_time]]-[1]!table2[[#this row],[object_a_._head_time]]</f>
        <v>#N/A</v>
      </c>
      <c r="AV4" s="136" t="e">
        <f aca="false">[1]!table2[[#this row],[d1: absolute discrimination measure (D1 = B2- A2)]]/[1]!table2[[#this row],[e2: total exploration time in second trial E2 ( E2 = A2 + B2)]]</f>
        <v>#N/A</v>
      </c>
      <c r="AW4" s="135" t="e">
        <f aca="false">(W4/AT4)*100</f>
        <v>#N/A</v>
      </c>
      <c r="AX4" s="135" t="e">
        <f aca="false">([1]!table2[[#this row],[object_a_._head_time]]/([1]!table2[[#this row],[object_a_._head_time]]+[1]!table2[[#this row],[object_b_._head_time]]))*100</f>
        <v>#N/A</v>
      </c>
      <c r="AY4" s="30" t="s">
        <v>79</v>
      </c>
      <c r="AZ4" s="30" t="s">
        <v>65</v>
      </c>
      <c r="BA4" s="30" t="s">
        <v>66</v>
      </c>
      <c r="BB4" s="31" t="n">
        <v>195</v>
      </c>
      <c r="BC4" s="32" t="n">
        <v>6.5</v>
      </c>
      <c r="BD4" s="33" t="s">
        <v>80</v>
      </c>
      <c r="BE4" s="30" t="n">
        <v>1</v>
      </c>
      <c r="BF4" s="34" t="s">
        <v>81</v>
      </c>
    </row>
    <row r="5" customFormat="false" ht="12" hidden="false" customHeight="true" outlineLevel="0" collapsed="false">
      <c r="A5" s="130" t="n">
        <v>37</v>
      </c>
      <c r="B5" s="131" t="s">
        <v>82</v>
      </c>
      <c r="C5" s="131" t="s">
        <v>59</v>
      </c>
      <c r="D5" s="131" t="s">
        <v>77</v>
      </c>
      <c r="E5" s="131" t="s">
        <v>282</v>
      </c>
      <c r="F5" s="131" t="s">
        <v>286</v>
      </c>
      <c r="G5" s="131" t="s">
        <v>288</v>
      </c>
      <c r="H5" s="132" t="n">
        <v>360</v>
      </c>
      <c r="I5" s="133" t="n">
        <v>67.705</v>
      </c>
      <c r="J5" s="133" t="n">
        <v>0.188</v>
      </c>
      <c r="K5" s="133" t="n">
        <v>0.406</v>
      </c>
      <c r="L5" s="132" t="n">
        <v>0</v>
      </c>
      <c r="M5" s="134" t="n">
        <v>87</v>
      </c>
      <c r="N5" s="132" t="n">
        <v>51.9</v>
      </c>
      <c r="O5" s="133" t="n">
        <v>4.373</v>
      </c>
      <c r="P5" s="133" t="n">
        <v>0.084</v>
      </c>
      <c r="Q5" s="133" t="n">
        <v>0.403</v>
      </c>
      <c r="R5" s="132" t="n">
        <v>22.9</v>
      </c>
      <c r="S5" s="134" t="n">
        <v>5076</v>
      </c>
      <c r="T5" s="132" t="n">
        <v>0</v>
      </c>
      <c r="U5" s="132" t="n">
        <v>25.8</v>
      </c>
      <c r="V5" s="134" t="n">
        <v>88</v>
      </c>
      <c r="W5" s="132" t="n">
        <v>49.7</v>
      </c>
      <c r="X5" s="133" t="n">
        <v>5.205</v>
      </c>
      <c r="Y5" s="133" t="n">
        <v>0.105</v>
      </c>
      <c r="Z5" s="133" t="n">
        <v>0.375</v>
      </c>
      <c r="AA5" s="132" t="n">
        <v>20</v>
      </c>
      <c r="AB5" s="134" t="n">
        <v>5969</v>
      </c>
      <c r="AC5" s="132" t="n">
        <v>0</v>
      </c>
      <c r="AD5" s="132" t="n">
        <v>17.5</v>
      </c>
      <c r="AE5" s="134" t="n">
        <v>71</v>
      </c>
      <c r="AF5" s="132" t="n">
        <v>60.9</v>
      </c>
      <c r="AG5" s="133" t="n">
        <v>12.137</v>
      </c>
      <c r="AH5" s="133" t="n">
        <v>0.199</v>
      </c>
      <c r="AI5" s="132" t="n">
        <v>0</v>
      </c>
      <c r="AJ5" s="134" t="n">
        <v>71</v>
      </c>
      <c r="AK5" s="132" t="n">
        <v>299.1</v>
      </c>
      <c r="AL5" s="133" t="n">
        <v>55.567</v>
      </c>
      <c r="AM5" s="133" t="n">
        <v>0.186</v>
      </c>
      <c r="AN5" s="132" t="n">
        <v>0</v>
      </c>
      <c r="AO5" s="26"/>
      <c r="AP5" s="26"/>
      <c r="AQ5" s="26"/>
      <c r="AR5" s="26"/>
      <c r="AS5" s="135" t="e">
        <f aca="false">[1]!table2[[#this row],[object_a_._head_time]]+[1]!table2[[#this row],[object_b_._head_time]]</f>
        <v>#N/A</v>
      </c>
      <c r="AT5" s="135" t="e">
        <f aca="false">[1]!table2[[#this row],[object_a_._head_time]]+[1]!table2[[#this row],[object_b_._head_time]]</f>
        <v>#N/A</v>
      </c>
      <c r="AU5" s="135" t="e">
        <f aca="false">[1]!table2[[#this row],[object_b_._head_time]]-[1]!table2[[#this row],[object_a_._head_time]]</f>
        <v>#N/A</v>
      </c>
      <c r="AV5" s="136" t="e">
        <f aca="false">[1]!table2[[#this row],[d1: absolute discrimination measure (D1 = B2- A2)]]/[1]!table2[[#this row],[e2: total exploration time in second trial E2 ( E2 = A2 + B2)]]</f>
        <v>#N/A</v>
      </c>
      <c r="AW5" s="135" t="e">
        <f aca="false">(W5/AT5)*100</f>
        <v>#N/A</v>
      </c>
      <c r="AX5" s="135" t="e">
        <f aca="false">([1]!table2[[#this row],[object_a_._head_time]]/([1]!table2[[#this row],[object_a_._head_time]]+[1]!table2[[#this row],[object_b_._head_time]]))*100</f>
        <v>#N/A</v>
      </c>
      <c r="AY5" s="30" t="s">
        <v>79</v>
      </c>
      <c r="AZ5" s="30" t="s">
        <v>65</v>
      </c>
      <c r="BA5" s="30" t="s">
        <v>66</v>
      </c>
      <c r="BB5" s="31" t="n">
        <v>195</v>
      </c>
      <c r="BC5" s="32" t="n">
        <v>6.5</v>
      </c>
      <c r="BD5" s="33" t="s">
        <v>67</v>
      </c>
      <c r="BE5" s="30" t="n">
        <v>2</v>
      </c>
      <c r="BF5" s="34" t="s">
        <v>85</v>
      </c>
    </row>
    <row r="6" customFormat="false" ht="12" hidden="false" customHeight="true" outlineLevel="0" collapsed="false">
      <c r="A6" s="130" t="n">
        <v>40</v>
      </c>
      <c r="B6" s="131" t="s">
        <v>86</v>
      </c>
      <c r="C6" s="131" t="s">
        <v>59</v>
      </c>
      <c r="D6" s="131" t="s">
        <v>60</v>
      </c>
      <c r="E6" s="131" t="s">
        <v>282</v>
      </c>
      <c r="F6" s="131" t="s">
        <v>289</v>
      </c>
      <c r="G6" s="131" t="s">
        <v>290</v>
      </c>
      <c r="H6" s="132" t="n">
        <v>360</v>
      </c>
      <c r="I6" s="133" t="n">
        <v>6.534</v>
      </c>
      <c r="J6" s="133" t="n">
        <v>0.018</v>
      </c>
      <c r="K6" s="133" t="n">
        <v>0.243</v>
      </c>
      <c r="L6" s="132" t="n">
        <v>162.5</v>
      </c>
      <c r="M6" s="134" t="n">
        <v>15</v>
      </c>
      <c r="N6" s="132" t="n">
        <v>10.1</v>
      </c>
      <c r="O6" s="133" t="n">
        <v>0.458</v>
      </c>
      <c r="P6" s="133" t="n">
        <v>0.045</v>
      </c>
      <c r="Q6" s="133" t="n">
        <v>0.181</v>
      </c>
      <c r="R6" s="132" t="n">
        <v>3.1</v>
      </c>
      <c r="S6" s="134" t="n">
        <v>996</v>
      </c>
      <c r="T6" s="132" t="n">
        <v>0</v>
      </c>
      <c r="U6" s="132" t="n">
        <v>5.3</v>
      </c>
      <c r="V6" s="134" t="n">
        <v>8</v>
      </c>
      <c r="W6" s="132" t="n">
        <v>7.7</v>
      </c>
      <c r="X6" s="133" t="n">
        <v>0.27</v>
      </c>
      <c r="Y6" s="133" t="n">
        <v>0.035</v>
      </c>
      <c r="Z6" s="133" t="n">
        <v>0.179</v>
      </c>
      <c r="AA6" s="132" t="n">
        <v>1.3</v>
      </c>
      <c r="AB6" s="134" t="n">
        <v>768</v>
      </c>
      <c r="AC6" s="132" t="n">
        <v>0</v>
      </c>
      <c r="AD6" s="132" t="n">
        <v>3.8</v>
      </c>
      <c r="AE6" s="134" t="n">
        <v>6</v>
      </c>
      <c r="AF6" s="132" t="n">
        <v>12.9</v>
      </c>
      <c r="AG6" s="133" t="n">
        <v>0.879</v>
      </c>
      <c r="AH6" s="133" t="n">
        <v>0.068</v>
      </c>
      <c r="AI6" s="132" t="n">
        <v>0</v>
      </c>
      <c r="AJ6" s="134" t="n">
        <v>6</v>
      </c>
      <c r="AK6" s="132" t="n">
        <v>347.1</v>
      </c>
      <c r="AL6" s="133" t="n">
        <v>5.655</v>
      </c>
      <c r="AM6" s="133" t="n">
        <v>0.016</v>
      </c>
      <c r="AN6" s="132" t="n">
        <v>162.5</v>
      </c>
      <c r="AO6" s="26"/>
      <c r="AP6" s="26"/>
      <c r="AQ6" s="26"/>
      <c r="AR6" s="26"/>
      <c r="AS6" s="135" t="e">
        <f aca="false">[1]!table2[[#this row],[object_a_._head_time]]+[1]!table2[[#this row],[object_b_._head_time]]</f>
        <v>#N/A</v>
      </c>
      <c r="AT6" s="135" t="e">
        <f aca="false">[1]!table2[[#this row],[object_a_._head_time]]+[1]!table2[[#this row],[object_b_._head_time]]</f>
        <v>#N/A</v>
      </c>
      <c r="AU6" s="135" t="e">
        <f aca="false">[1]!table2[[#this row],[object_b_._head_time]]-[1]!table2[[#this row],[object_a_._head_time]]</f>
        <v>#N/A</v>
      </c>
      <c r="AV6" s="136" t="e">
        <f aca="false">[1]!table2[[#this row],[d1: absolute discrimination measure (D1 = B2- A2)]]/[1]!table2[[#this row],[e2: total exploration time in second trial E2 ( E2 = A2 + B2)]]</f>
        <v>#N/A</v>
      </c>
      <c r="AW6" s="135" t="e">
        <f aca="false">(W6/AT6)*100</f>
        <v>#N/A</v>
      </c>
      <c r="AX6" s="135" t="e">
        <f aca="false">([1]!table2[[#this row],[object_a_._head_time]]/([1]!table2[[#this row],[object_a_._head_time]]+[1]!table2[[#this row],[object_b_._head_time]]))*100</f>
        <v>#N/A</v>
      </c>
      <c r="AY6" s="30" t="s">
        <v>64</v>
      </c>
      <c r="AZ6" s="30" t="s">
        <v>65</v>
      </c>
      <c r="BA6" s="30" t="s">
        <v>66</v>
      </c>
      <c r="BB6" s="31" t="n">
        <v>185</v>
      </c>
      <c r="BC6" s="32" t="n">
        <v>6.16666666666667</v>
      </c>
      <c r="BD6" s="33" t="s">
        <v>80</v>
      </c>
      <c r="BE6" s="30" t="n">
        <v>1</v>
      </c>
      <c r="BF6" s="34"/>
    </row>
    <row r="7" customFormat="false" ht="12" hidden="false" customHeight="true" outlineLevel="0" collapsed="false">
      <c r="A7" s="130" t="n">
        <v>39</v>
      </c>
      <c r="B7" s="131" t="s">
        <v>89</v>
      </c>
      <c r="C7" s="131" t="s">
        <v>59</v>
      </c>
      <c r="D7" s="131" t="s">
        <v>70</v>
      </c>
      <c r="E7" s="131" t="s">
        <v>282</v>
      </c>
      <c r="F7" s="131" t="s">
        <v>289</v>
      </c>
      <c r="G7" s="131" t="s">
        <v>291</v>
      </c>
      <c r="H7" s="132" t="n">
        <v>360</v>
      </c>
      <c r="I7" s="133" t="n">
        <v>9.709</v>
      </c>
      <c r="J7" s="133" t="n">
        <v>0.027</v>
      </c>
      <c r="K7" s="133" t="n">
        <v>0.22</v>
      </c>
      <c r="L7" s="132" t="n">
        <v>157.4</v>
      </c>
      <c r="M7" s="134" t="n">
        <v>30</v>
      </c>
      <c r="N7" s="132" t="n">
        <v>40.9</v>
      </c>
      <c r="O7" s="133" t="n">
        <v>1.089</v>
      </c>
      <c r="P7" s="133" t="n">
        <v>0.027</v>
      </c>
      <c r="Q7" s="133" t="n">
        <v>0.19</v>
      </c>
      <c r="R7" s="132" t="n">
        <v>17.9</v>
      </c>
      <c r="S7" s="134" t="n">
        <v>3092</v>
      </c>
      <c r="T7" s="132" t="n">
        <v>7.8</v>
      </c>
      <c r="U7" s="132" t="n">
        <v>19.8</v>
      </c>
      <c r="V7" s="134" t="n">
        <v>22</v>
      </c>
      <c r="W7" s="132" t="n">
        <v>29.2</v>
      </c>
      <c r="X7" s="133" t="n">
        <v>1.509</v>
      </c>
      <c r="Y7" s="133" t="n">
        <v>0.052</v>
      </c>
      <c r="Z7" s="133" t="n">
        <v>0.196</v>
      </c>
      <c r="AA7" s="132" t="n">
        <v>5.5</v>
      </c>
      <c r="AB7" s="134" t="n">
        <v>2683</v>
      </c>
      <c r="AC7" s="132" t="n">
        <v>0</v>
      </c>
      <c r="AD7" s="132" t="n">
        <v>6.3</v>
      </c>
      <c r="AE7" s="134" t="n">
        <v>16</v>
      </c>
      <c r="AF7" s="132" t="n">
        <v>24.8</v>
      </c>
      <c r="AG7" s="133" t="n">
        <v>1.964</v>
      </c>
      <c r="AH7" s="133" t="n">
        <v>0.079</v>
      </c>
      <c r="AI7" s="132" t="n">
        <v>0</v>
      </c>
      <c r="AJ7" s="134" t="n">
        <v>16</v>
      </c>
      <c r="AK7" s="132" t="n">
        <v>335.2</v>
      </c>
      <c r="AL7" s="133" t="n">
        <v>7.745</v>
      </c>
      <c r="AM7" s="133" t="n">
        <v>0.023</v>
      </c>
      <c r="AN7" s="132" t="n">
        <v>157.4</v>
      </c>
      <c r="AO7" s="26"/>
      <c r="AP7" s="26"/>
      <c r="AQ7" s="26"/>
      <c r="AR7" s="26"/>
      <c r="AS7" s="135" t="e">
        <f aca="false">[1]!table2[[#this row],[object_a_._head_time]]+[1]!table2[[#this row],[object_b_._head_time]]</f>
        <v>#N/A</v>
      </c>
      <c r="AT7" s="135" t="e">
        <f aca="false">[1]!table2[[#this row],[object_a_._head_time]]+[1]!table2[[#this row],[object_b_._head_time]]</f>
        <v>#N/A</v>
      </c>
      <c r="AU7" s="135" t="e">
        <f aca="false">[1]!table2[[#this row],[object_b_._head_time]]-[1]!table2[[#this row],[object_a_._head_time]]</f>
        <v>#N/A</v>
      </c>
      <c r="AV7" s="136" t="e">
        <f aca="false">[1]!table2[[#this row],[d1: absolute discrimination measure (D1 = B2- A2)]]/[1]!table2[[#this row],[e2: total exploration time in second trial E2 ( E2 = A2 + B2)]]</f>
        <v>#N/A</v>
      </c>
      <c r="AW7" s="135" t="e">
        <f aca="false">(W7/AT7)*100</f>
        <v>#N/A</v>
      </c>
      <c r="AX7" s="135" t="e">
        <f aca="false">([1]!table2[[#this row],[object_a_._head_time]]/([1]!table2[[#this row],[object_a_._head_time]]+[1]!table2[[#this row],[object_b_._head_time]]))*100</f>
        <v>#N/A</v>
      </c>
      <c r="AY7" s="30" t="s">
        <v>64</v>
      </c>
      <c r="AZ7" s="30" t="s">
        <v>65</v>
      </c>
      <c r="BA7" s="30" t="s">
        <v>66</v>
      </c>
      <c r="BB7" s="31" t="n">
        <v>185</v>
      </c>
      <c r="BC7" s="32" t="n">
        <v>6.16666666666667</v>
      </c>
      <c r="BD7" s="33" t="s">
        <v>67</v>
      </c>
      <c r="BE7" s="30" t="n">
        <v>2</v>
      </c>
      <c r="BF7" s="34"/>
    </row>
    <row r="8" customFormat="false" ht="12" hidden="false" customHeight="true" outlineLevel="0" collapsed="false">
      <c r="A8" s="130" t="n">
        <v>41</v>
      </c>
      <c r="B8" s="131" t="s">
        <v>91</v>
      </c>
      <c r="C8" s="131" t="s">
        <v>59</v>
      </c>
      <c r="D8" s="131" t="s">
        <v>73</v>
      </c>
      <c r="E8" s="131" t="s">
        <v>282</v>
      </c>
      <c r="F8" s="131" t="s">
        <v>289</v>
      </c>
      <c r="G8" s="131" t="s">
        <v>292</v>
      </c>
      <c r="H8" s="132" t="n">
        <v>360</v>
      </c>
      <c r="I8" s="133" t="n">
        <v>9.083</v>
      </c>
      <c r="J8" s="133" t="n">
        <v>0.025</v>
      </c>
      <c r="K8" s="133" t="n">
        <v>0.306</v>
      </c>
      <c r="L8" s="132" t="n">
        <v>86.1</v>
      </c>
      <c r="M8" s="134" t="n">
        <v>71</v>
      </c>
      <c r="N8" s="132" t="n">
        <v>38</v>
      </c>
      <c r="O8" s="133" t="n">
        <v>0.607</v>
      </c>
      <c r="P8" s="133" t="n">
        <v>0.016</v>
      </c>
      <c r="Q8" s="133" t="n">
        <v>0.243</v>
      </c>
      <c r="R8" s="132" t="n">
        <v>20.8</v>
      </c>
      <c r="S8" s="134" t="n">
        <v>3558</v>
      </c>
      <c r="T8" s="132" t="n">
        <v>7.2</v>
      </c>
      <c r="U8" s="132" t="n">
        <v>28.8</v>
      </c>
      <c r="V8" s="134" t="n">
        <v>15</v>
      </c>
      <c r="W8" s="132" t="n">
        <v>13.1</v>
      </c>
      <c r="X8" s="133" t="n">
        <v>0.565</v>
      </c>
      <c r="Y8" s="133" t="n">
        <v>0.043</v>
      </c>
      <c r="Z8" s="133" t="n">
        <v>0.288</v>
      </c>
      <c r="AA8" s="132" t="n">
        <v>3.9</v>
      </c>
      <c r="AB8" s="134" t="n">
        <v>1490</v>
      </c>
      <c r="AC8" s="132" t="n">
        <v>0</v>
      </c>
      <c r="AD8" s="132" t="n">
        <v>5.2</v>
      </c>
      <c r="AE8" s="134" t="n">
        <v>7</v>
      </c>
      <c r="AF8" s="132" t="n">
        <v>8.7</v>
      </c>
      <c r="AG8" s="133" t="n">
        <v>0.915</v>
      </c>
      <c r="AH8" s="133" t="n">
        <v>0.105</v>
      </c>
      <c r="AI8" s="132" t="n">
        <v>0</v>
      </c>
      <c r="AJ8" s="134" t="n">
        <v>8</v>
      </c>
      <c r="AK8" s="132" t="n">
        <v>351.3</v>
      </c>
      <c r="AL8" s="133" t="n">
        <v>8.169</v>
      </c>
      <c r="AM8" s="133" t="n">
        <v>0.023</v>
      </c>
      <c r="AN8" s="132" t="n">
        <v>86.1</v>
      </c>
      <c r="AO8" s="26"/>
      <c r="AP8" s="26"/>
      <c r="AQ8" s="26"/>
      <c r="AR8" s="26"/>
      <c r="AS8" s="135" t="e">
        <f aca="false">[1]!table2[[#this row],[object_a_._head_time]]+[1]!table2[[#this row],[object_b_._head_time]]</f>
        <v>#N/A</v>
      </c>
      <c r="AT8" s="135" t="e">
        <f aca="false">[1]!table2[[#this row],[object_a_._head_time]]+[1]!table2[[#this row],[object_b_._head_time]]</f>
        <v>#N/A</v>
      </c>
      <c r="AU8" s="135" t="e">
        <f aca="false">[1]!table2[[#this row],[object_b_._head_time]]-[1]!table2[[#this row],[object_a_._head_time]]</f>
        <v>#N/A</v>
      </c>
      <c r="AV8" s="136" t="e">
        <f aca="false">[1]!table2[[#this row],[d1: absolute discrimination measure (D1 = B2- A2)]]/[1]!table2[[#this row],[e2: total exploration time in second trial E2 ( E2 = A2 + B2)]]</f>
        <v>#N/A</v>
      </c>
      <c r="AW8" s="135" t="e">
        <f aca="false">(W8/AT8)*100</f>
        <v>#N/A</v>
      </c>
      <c r="AX8" s="135" t="e">
        <f aca="false">([1]!table2[[#this row],[object_a_._head_time]]/([1]!table2[[#this row],[object_a_._head_time]]+[1]!table2[[#this row],[object_b_._head_time]]))*100</f>
        <v>#N/A</v>
      </c>
      <c r="AY8" s="30" t="s">
        <v>64</v>
      </c>
      <c r="AZ8" s="30" t="s">
        <v>65</v>
      </c>
      <c r="BA8" s="30" t="s">
        <v>93</v>
      </c>
      <c r="BB8" s="31" t="n">
        <v>185</v>
      </c>
      <c r="BC8" s="32" t="n">
        <v>6.16666666666667</v>
      </c>
      <c r="BD8" s="33" t="s">
        <v>67</v>
      </c>
      <c r="BE8" s="30" t="n">
        <v>4</v>
      </c>
      <c r="BF8" s="34" t="s">
        <v>94</v>
      </c>
    </row>
    <row r="9" customFormat="false" ht="12" hidden="false" customHeight="true" outlineLevel="0" collapsed="false">
      <c r="A9" s="130" t="n">
        <v>42</v>
      </c>
      <c r="B9" s="131" t="s">
        <v>95</v>
      </c>
      <c r="C9" s="131" t="s">
        <v>59</v>
      </c>
      <c r="D9" s="131" t="s">
        <v>77</v>
      </c>
      <c r="E9" s="131" t="s">
        <v>282</v>
      </c>
      <c r="F9" s="131" t="s">
        <v>289</v>
      </c>
      <c r="G9" s="131" t="s">
        <v>293</v>
      </c>
      <c r="H9" s="132" t="n">
        <v>360</v>
      </c>
      <c r="I9" s="133" t="n">
        <v>17.531</v>
      </c>
      <c r="J9" s="133" t="n">
        <v>0.049</v>
      </c>
      <c r="K9" s="133" t="n">
        <v>0.376</v>
      </c>
      <c r="L9" s="132" t="n">
        <v>43.4</v>
      </c>
      <c r="M9" s="134" t="n">
        <v>35</v>
      </c>
      <c r="N9" s="132" t="n">
        <v>24.3</v>
      </c>
      <c r="O9" s="133" t="n">
        <v>1.224</v>
      </c>
      <c r="P9" s="133" t="n">
        <v>0.05</v>
      </c>
      <c r="Q9" s="133" t="n">
        <v>0.269</v>
      </c>
      <c r="R9" s="132" t="n">
        <v>7.9</v>
      </c>
      <c r="S9" s="134" t="n">
        <v>3026</v>
      </c>
      <c r="T9" s="132" t="n">
        <v>0</v>
      </c>
      <c r="U9" s="132" t="n">
        <v>11.1</v>
      </c>
      <c r="V9" s="134" t="n">
        <v>36</v>
      </c>
      <c r="W9" s="132" t="n">
        <v>41.7</v>
      </c>
      <c r="X9" s="133" t="n">
        <v>1.722</v>
      </c>
      <c r="Y9" s="133" t="n">
        <v>0.041</v>
      </c>
      <c r="Z9" s="133" t="n">
        <v>0.261</v>
      </c>
      <c r="AA9" s="132" t="n">
        <v>13.6</v>
      </c>
      <c r="AB9" s="134" t="n">
        <v>4019</v>
      </c>
      <c r="AC9" s="132" t="n">
        <v>1.7</v>
      </c>
      <c r="AD9" s="132" t="n">
        <v>16.5</v>
      </c>
      <c r="AE9" s="134" t="n">
        <v>22</v>
      </c>
      <c r="AF9" s="132" t="n">
        <v>18.3</v>
      </c>
      <c r="AG9" s="133" t="n">
        <v>2.31</v>
      </c>
      <c r="AH9" s="133" t="n">
        <v>0.127</v>
      </c>
      <c r="AI9" s="132" t="n">
        <v>0</v>
      </c>
      <c r="AJ9" s="134" t="n">
        <v>23</v>
      </c>
      <c r="AK9" s="132" t="n">
        <v>341.7</v>
      </c>
      <c r="AL9" s="133" t="n">
        <v>15.222</v>
      </c>
      <c r="AM9" s="133" t="n">
        <v>0.045</v>
      </c>
      <c r="AN9" s="132" t="n">
        <v>43.4</v>
      </c>
      <c r="AO9" s="26"/>
      <c r="AP9" s="26"/>
      <c r="AQ9" s="26"/>
      <c r="AR9" s="26"/>
      <c r="AS9" s="135" t="e">
        <f aca="false">[1]!table2[[#this row],[object_a_._head_time]]+[1]!table2[[#this row],[object_b_._head_time]]</f>
        <v>#N/A</v>
      </c>
      <c r="AT9" s="135" t="e">
        <f aca="false">[1]!table2[[#this row],[object_a_._head_time]]+[1]!table2[[#this row],[object_b_._head_time]]</f>
        <v>#N/A</v>
      </c>
      <c r="AU9" s="135" t="e">
        <f aca="false">[1]!table2[[#this row],[object_b_._head_time]]-[1]!table2[[#this row],[object_a_._head_time]]</f>
        <v>#N/A</v>
      </c>
      <c r="AV9" s="136" t="e">
        <f aca="false">[1]!table2[[#this row],[d1: absolute discrimination measure (D1 = B2- A2)]]/[1]!table2[[#this row],[e2: total exploration time in second trial E2 ( E2 = A2 + B2)]]</f>
        <v>#N/A</v>
      </c>
      <c r="AW9" s="135" t="e">
        <f aca="false">(W9/AT9)*100</f>
        <v>#N/A</v>
      </c>
      <c r="AX9" s="135" t="e">
        <f aca="false">([1]!table2[[#this row],[object_a_._head_time]]/([1]!table2[[#this row],[object_a_._head_time]]+[1]!table2[[#this row],[object_b_._head_time]]))*100</f>
        <v>#N/A</v>
      </c>
      <c r="AY9" s="30" t="s">
        <v>79</v>
      </c>
      <c r="AZ9" s="30" t="s">
        <v>65</v>
      </c>
      <c r="BA9" s="30" t="s">
        <v>93</v>
      </c>
      <c r="BB9" s="31" t="n">
        <v>185</v>
      </c>
      <c r="BC9" s="32" t="n">
        <v>6.16666666666667</v>
      </c>
      <c r="BD9" s="33" t="s">
        <v>67</v>
      </c>
      <c r="BE9" s="30" t="n">
        <v>4</v>
      </c>
      <c r="BF9" s="34"/>
    </row>
    <row r="10" customFormat="false" ht="12" hidden="false" customHeight="true" outlineLevel="0" collapsed="false">
      <c r="A10" s="130" t="n">
        <v>44</v>
      </c>
      <c r="B10" s="131" t="s">
        <v>98</v>
      </c>
      <c r="C10" s="131" t="s">
        <v>59</v>
      </c>
      <c r="D10" s="131" t="s">
        <v>60</v>
      </c>
      <c r="E10" s="131" t="s">
        <v>282</v>
      </c>
      <c r="F10" s="131" t="s">
        <v>294</v>
      </c>
      <c r="G10" s="131" t="s">
        <v>295</v>
      </c>
      <c r="H10" s="132" t="n">
        <v>360</v>
      </c>
      <c r="I10" s="133" t="n">
        <v>19.793</v>
      </c>
      <c r="J10" s="133" t="n">
        <v>0.055</v>
      </c>
      <c r="K10" s="133" t="n">
        <v>0.278</v>
      </c>
      <c r="L10" s="132" t="n">
        <v>12.5</v>
      </c>
      <c r="M10" s="134" t="n">
        <v>33</v>
      </c>
      <c r="N10" s="132" t="n">
        <v>47.6</v>
      </c>
      <c r="O10" s="133" t="n">
        <v>2.648</v>
      </c>
      <c r="P10" s="133" t="n">
        <v>0.056</v>
      </c>
      <c r="Q10" s="133" t="n">
        <v>0.27</v>
      </c>
      <c r="R10" s="132" t="n">
        <v>10.9</v>
      </c>
      <c r="S10" s="134" t="n">
        <v>3910</v>
      </c>
      <c r="T10" s="132" t="n">
        <v>0</v>
      </c>
      <c r="U10" s="132" t="n">
        <v>14.7</v>
      </c>
      <c r="V10" s="134" t="n">
        <v>49</v>
      </c>
      <c r="W10" s="132" t="n">
        <v>70.3</v>
      </c>
      <c r="X10" s="133" t="n">
        <v>3.212</v>
      </c>
      <c r="Y10" s="133" t="n">
        <v>0.046</v>
      </c>
      <c r="Z10" s="133" t="n">
        <v>0.217</v>
      </c>
      <c r="AA10" s="132" t="n">
        <v>12.9</v>
      </c>
      <c r="AB10" s="134" t="n">
        <v>6264</v>
      </c>
      <c r="AC10" s="132" t="n">
        <v>1.2</v>
      </c>
      <c r="AD10" s="132" t="n">
        <v>26</v>
      </c>
      <c r="AE10" s="134" t="n">
        <v>48</v>
      </c>
      <c r="AF10" s="132" t="n">
        <v>53.4</v>
      </c>
      <c r="AG10" s="133" t="n">
        <v>5.713</v>
      </c>
      <c r="AH10" s="133" t="n">
        <v>0.107</v>
      </c>
      <c r="AI10" s="132" t="n">
        <v>0</v>
      </c>
      <c r="AJ10" s="134" t="n">
        <v>49</v>
      </c>
      <c r="AK10" s="132" t="n">
        <v>306.6</v>
      </c>
      <c r="AL10" s="133" t="n">
        <v>14.08</v>
      </c>
      <c r="AM10" s="133" t="n">
        <v>0.046</v>
      </c>
      <c r="AN10" s="132" t="n">
        <v>12.5</v>
      </c>
      <c r="AO10" s="26"/>
      <c r="AP10" s="26"/>
      <c r="AQ10" s="26"/>
      <c r="AR10" s="26"/>
      <c r="AS10" s="135" t="e">
        <f aca="false">[1]!table2[[#this row],[object_a_._head_time]]+[1]!table2[[#this row],[object_b_._head_time]]</f>
        <v>#N/A</v>
      </c>
      <c r="AT10" s="135" t="e">
        <f aca="false">[1]!table2[[#this row],[object_a_._head_time]]+[1]!table2[[#this row],[object_b_._head_time]]</f>
        <v>#N/A</v>
      </c>
      <c r="AU10" s="135" t="e">
        <f aca="false">[1]!table2[[#this row],[object_b_._head_time]]-[1]!table2[[#this row],[object_a_._head_time]]</f>
        <v>#N/A</v>
      </c>
      <c r="AV10" s="136" t="e">
        <f aca="false">[1]!table2[[#this row],[d1: absolute discrimination measure (D1 = B2- A2)]]/[1]!table2[[#this row],[e2: total exploration time in second trial E2 ( E2 = A2 + B2)]]</f>
        <v>#N/A</v>
      </c>
      <c r="AW10" s="135" t="e">
        <f aca="false">(W10/AT10)*100</f>
        <v>#N/A</v>
      </c>
      <c r="AX10" s="135" t="e">
        <f aca="false">([1]!table2[[#this row],[object_a_._head_time]]/([1]!table2[[#this row],[object_a_._head_time]]+[1]!table2[[#this row],[object_b_._head_time]]))*100</f>
        <v>#N/A</v>
      </c>
      <c r="AY10" s="30" t="s">
        <v>79</v>
      </c>
      <c r="AZ10" s="30" t="s">
        <v>65</v>
      </c>
      <c r="BA10" s="30" t="s">
        <v>66</v>
      </c>
      <c r="BB10" s="31" t="n">
        <v>180</v>
      </c>
      <c r="BC10" s="32" t="n">
        <v>6</v>
      </c>
      <c r="BD10" s="33" t="s">
        <v>80</v>
      </c>
      <c r="BE10" s="30" t="n">
        <v>1</v>
      </c>
      <c r="BF10" s="34"/>
    </row>
    <row r="11" customFormat="false" ht="12" hidden="false" customHeight="true" outlineLevel="0" collapsed="false">
      <c r="A11" s="130" t="n">
        <v>43</v>
      </c>
      <c r="B11" s="131" t="s">
        <v>100</v>
      </c>
      <c r="C11" s="131" t="s">
        <v>59</v>
      </c>
      <c r="D11" s="131" t="s">
        <v>70</v>
      </c>
      <c r="E11" s="131" t="s">
        <v>282</v>
      </c>
      <c r="F11" s="131" t="s">
        <v>294</v>
      </c>
      <c r="G11" s="131" t="s">
        <v>296</v>
      </c>
      <c r="H11" s="132" t="n">
        <v>360</v>
      </c>
      <c r="I11" s="133" t="n">
        <v>6.273</v>
      </c>
      <c r="J11" s="133" t="n">
        <v>0.017</v>
      </c>
      <c r="K11" s="133" t="n">
        <v>0.209</v>
      </c>
      <c r="L11" s="132" t="n">
        <v>187.6</v>
      </c>
      <c r="M11" s="134" t="n">
        <v>14</v>
      </c>
      <c r="N11" s="132" t="n">
        <v>18.7</v>
      </c>
      <c r="O11" s="133" t="n">
        <v>0.91</v>
      </c>
      <c r="P11" s="133" t="n">
        <v>0.049</v>
      </c>
      <c r="Q11" s="133" t="n">
        <v>0.17</v>
      </c>
      <c r="R11" s="132" t="n">
        <v>4.8</v>
      </c>
      <c r="S11" s="134" t="n">
        <v>1277</v>
      </c>
      <c r="T11" s="132" t="n">
        <v>0</v>
      </c>
      <c r="U11" s="132" t="n">
        <v>5.3</v>
      </c>
      <c r="V11" s="134" t="n">
        <v>9</v>
      </c>
      <c r="W11" s="132" t="n">
        <v>14.2</v>
      </c>
      <c r="X11" s="133" t="n">
        <v>0.692</v>
      </c>
      <c r="Y11" s="133" t="n">
        <v>0.049</v>
      </c>
      <c r="Z11" s="133" t="n">
        <v>0.206</v>
      </c>
      <c r="AA11" s="132" t="n">
        <v>3.5</v>
      </c>
      <c r="AB11" s="134" t="n">
        <v>845</v>
      </c>
      <c r="AC11" s="132" t="n">
        <v>0</v>
      </c>
      <c r="AD11" s="132" t="n">
        <v>2.3</v>
      </c>
      <c r="AE11" s="134" t="n">
        <v>10</v>
      </c>
      <c r="AF11" s="132" t="n">
        <v>18.3</v>
      </c>
      <c r="AG11" s="133" t="n">
        <v>1.478</v>
      </c>
      <c r="AH11" s="133" t="n">
        <v>0.081</v>
      </c>
      <c r="AI11" s="132" t="n">
        <v>0</v>
      </c>
      <c r="AJ11" s="134" t="n">
        <v>9</v>
      </c>
      <c r="AK11" s="132" t="n">
        <v>341.7</v>
      </c>
      <c r="AL11" s="133" t="n">
        <v>4.795</v>
      </c>
      <c r="AM11" s="133" t="n">
        <v>0.014</v>
      </c>
      <c r="AN11" s="132" t="n">
        <v>187.6</v>
      </c>
      <c r="AO11" s="26"/>
      <c r="AP11" s="26"/>
      <c r="AQ11" s="26"/>
      <c r="AR11" s="26"/>
      <c r="AS11" s="135" t="e">
        <f aca="false">[1]!table2[[#this row],[object_a_._head_time]]+[1]!table2[[#this row],[object_b_._head_time]]</f>
        <v>#N/A</v>
      </c>
      <c r="AT11" s="135" t="e">
        <f aca="false">[1]!table2[[#this row],[object_a_._head_time]]+[1]!table2[[#this row],[object_b_._head_time]]</f>
        <v>#N/A</v>
      </c>
      <c r="AU11" s="135" t="e">
        <f aca="false">[1]!table2[[#this row],[object_b_._head_time]]-[1]!table2[[#this row],[object_a_._head_time]]</f>
        <v>#N/A</v>
      </c>
      <c r="AV11" s="136" t="e">
        <f aca="false">[1]!table2[[#this row],[d1: absolute discrimination measure (D1 = B2- A2)]]/[1]!table2[[#this row],[e2: total exploration time in second trial E2 ( E2 = A2 + B2)]]</f>
        <v>#N/A</v>
      </c>
      <c r="AW11" s="135" t="e">
        <f aca="false">(W11/AT11)*100</f>
        <v>#N/A</v>
      </c>
      <c r="AX11" s="135" t="e">
        <f aca="false">([1]!table2[[#this row],[object_a_._head_time]]/([1]!table2[[#this row],[object_a_._head_time]]+[1]!table2[[#this row],[object_b_._head_time]]))*100</f>
        <v>#N/A</v>
      </c>
      <c r="AY11" s="30" t="s">
        <v>64</v>
      </c>
      <c r="AZ11" s="30" t="s">
        <v>65</v>
      </c>
      <c r="BA11" s="30" t="s">
        <v>93</v>
      </c>
      <c r="BB11" s="31" t="n">
        <v>180</v>
      </c>
      <c r="BC11" s="32" t="n">
        <v>6</v>
      </c>
      <c r="BD11" s="33" t="s">
        <v>80</v>
      </c>
      <c r="BE11" s="30" t="n">
        <v>3</v>
      </c>
      <c r="BF11" s="34"/>
    </row>
    <row r="12" customFormat="false" ht="12" hidden="false" customHeight="true" outlineLevel="0" collapsed="false">
      <c r="A12" s="130" t="n">
        <v>46</v>
      </c>
      <c r="B12" s="131" t="s">
        <v>103</v>
      </c>
      <c r="C12" s="131" t="s">
        <v>59</v>
      </c>
      <c r="D12" s="131" t="s">
        <v>73</v>
      </c>
      <c r="E12" s="131" t="s">
        <v>282</v>
      </c>
      <c r="F12" s="131" t="s">
        <v>294</v>
      </c>
      <c r="G12" s="131" t="s">
        <v>297</v>
      </c>
      <c r="H12" s="132" t="n">
        <v>360</v>
      </c>
      <c r="I12" s="133" t="n">
        <v>4.745</v>
      </c>
      <c r="J12" s="133" t="n">
        <v>0.013</v>
      </c>
      <c r="K12" s="133" t="n">
        <v>0.238</v>
      </c>
      <c r="L12" s="132" t="n">
        <v>132.7</v>
      </c>
      <c r="M12" s="134" t="n">
        <v>3</v>
      </c>
      <c r="N12" s="132" t="n">
        <v>5</v>
      </c>
      <c r="O12" s="133" t="n">
        <v>0.317</v>
      </c>
      <c r="P12" s="133" t="n">
        <v>0.064</v>
      </c>
      <c r="Q12" s="133" t="n">
        <v>0.148</v>
      </c>
      <c r="R12" s="132" t="n">
        <v>0.7</v>
      </c>
      <c r="S12" s="134" t="n">
        <v>389</v>
      </c>
      <c r="T12" s="132" t="n">
        <v>0</v>
      </c>
      <c r="U12" s="132" t="n">
        <v>0.9</v>
      </c>
      <c r="V12" s="134" t="n">
        <v>20</v>
      </c>
      <c r="W12" s="132" t="n">
        <v>33.5</v>
      </c>
      <c r="X12" s="133" t="n">
        <v>0.441</v>
      </c>
      <c r="Y12" s="133" t="n">
        <v>0.013</v>
      </c>
      <c r="Z12" s="133" t="n">
        <v>0.204</v>
      </c>
      <c r="AA12" s="132" t="n">
        <v>11.5</v>
      </c>
      <c r="AB12" s="134" t="n">
        <v>1864</v>
      </c>
      <c r="AC12" s="132" t="n">
        <v>8.7</v>
      </c>
      <c r="AD12" s="132" t="n">
        <v>27.4</v>
      </c>
      <c r="AE12" s="134" t="n">
        <v>7</v>
      </c>
      <c r="AF12" s="132" t="n">
        <v>10.5</v>
      </c>
      <c r="AG12" s="133" t="n">
        <v>0.862</v>
      </c>
      <c r="AH12" s="133" t="n">
        <v>0.082</v>
      </c>
      <c r="AI12" s="132" t="n">
        <v>0</v>
      </c>
      <c r="AJ12" s="134" t="n">
        <v>8</v>
      </c>
      <c r="AK12" s="132" t="n">
        <v>349.5</v>
      </c>
      <c r="AL12" s="133" t="n">
        <v>3.883</v>
      </c>
      <c r="AM12" s="133" t="n">
        <v>0.011</v>
      </c>
      <c r="AN12" s="132" t="n">
        <v>132.7</v>
      </c>
      <c r="AO12" s="26"/>
      <c r="AP12" s="26"/>
      <c r="AQ12" s="26"/>
      <c r="AR12" s="26"/>
      <c r="AS12" s="135" t="e">
        <f aca="false">[1]!table2[[#this row],[object_a_._head_time]]+[1]!table2[[#this row],[object_b_._head_time]]</f>
        <v>#N/A</v>
      </c>
      <c r="AT12" s="135" t="e">
        <f aca="false">[1]!table2[[#this row],[object_a_._head_time]]+[1]!table2[[#this row],[object_b_._head_time]]</f>
        <v>#N/A</v>
      </c>
      <c r="AU12" s="135" t="e">
        <f aca="false">[1]!table2[[#this row],[object_b_._head_time]]-[1]!table2[[#this row],[object_a_._head_time]]</f>
        <v>#N/A</v>
      </c>
      <c r="AV12" s="136" t="e">
        <f aca="false">[1]!table2[[#this row],[d1: absolute discrimination measure (D1 = B2- A2)]]/[1]!table2[[#this row],[e2: total exploration time in second trial E2 ( E2 = A2 + B2)]]</f>
        <v>#N/A</v>
      </c>
      <c r="AW12" s="135" t="e">
        <f aca="false">(W12/AT12)*100</f>
        <v>#N/A</v>
      </c>
      <c r="AX12" s="135" t="e">
        <f aca="false">([1]!table2[[#this row],[object_a_._head_time]]/([1]!table2[[#this row],[object_a_._head_time]]+[1]!table2[[#this row],[object_b_._head_time]]))*100</f>
        <v>#N/A</v>
      </c>
      <c r="AY12" s="30" t="s">
        <v>64</v>
      </c>
      <c r="AZ12" s="30" t="s">
        <v>105</v>
      </c>
      <c r="BA12" s="30" t="s">
        <v>66</v>
      </c>
      <c r="BB12" s="31" t="n">
        <v>180</v>
      </c>
      <c r="BC12" s="32" t="n">
        <v>6</v>
      </c>
      <c r="BD12" s="33" t="s">
        <v>67</v>
      </c>
      <c r="BE12" s="30" t="n">
        <v>6</v>
      </c>
      <c r="BF12" s="34"/>
    </row>
    <row r="13" customFormat="false" ht="12" hidden="false" customHeight="true" outlineLevel="0" collapsed="false">
      <c r="A13" s="130" t="n">
        <v>45</v>
      </c>
      <c r="B13" s="131" t="s">
        <v>106</v>
      </c>
      <c r="C13" s="131" t="s">
        <v>59</v>
      </c>
      <c r="D13" s="131" t="s">
        <v>77</v>
      </c>
      <c r="E13" s="131" t="s">
        <v>282</v>
      </c>
      <c r="F13" s="131" t="s">
        <v>294</v>
      </c>
      <c r="G13" s="131" t="s">
        <v>298</v>
      </c>
      <c r="H13" s="132" t="n">
        <v>360</v>
      </c>
      <c r="I13" s="133" t="n">
        <v>11.5</v>
      </c>
      <c r="J13" s="133" t="n">
        <v>0.032</v>
      </c>
      <c r="K13" s="133" t="n">
        <v>0.275</v>
      </c>
      <c r="L13" s="132" t="n">
        <v>97.3</v>
      </c>
      <c r="M13" s="134" t="n">
        <v>20</v>
      </c>
      <c r="N13" s="132" t="n">
        <v>18.9</v>
      </c>
      <c r="O13" s="133" t="n">
        <v>0.894</v>
      </c>
      <c r="P13" s="133" t="n">
        <v>0.047</v>
      </c>
      <c r="Q13" s="133" t="n">
        <v>0.223</v>
      </c>
      <c r="R13" s="132" t="n">
        <v>9.5</v>
      </c>
      <c r="S13" s="134" t="n">
        <v>1396</v>
      </c>
      <c r="T13" s="132" t="n">
        <v>5.5</v>
      </c>
      <c r="U13" s="132" t="n">
        <v>14.5</v>
      </c>
      <c r="V13" s="134" t="n">
        <v>21</v>
      </c>
      <c r="W13" s="132" t="n">
        <v>14.6</v>
      </c>
      <c r="X13" s="133" t="n">
        <v>1.175</v>
      </c>
      <c r="Y13" s="133" t="n">
        <v>0.08</v>
      </c>
      <c r="Z13" s="133" t="n">
        <v>0.232</v>
      </c>
      <c r="AA13" s="132" t="n">
        <v>4.4</v>
      </c>
      <c r="AB13" s="134" t="n">
        <v>976</v>
      </c>
      <c r="AC13" s="132" t="n">
        <v>0</v>
      </c>
      <c r="AD13" s="132" t="n">
        <v>5.8</v>
      </c>
      <c r="AE13" s="134" t="n">
        <v>12</v>
      </c>
      <c r="AF13" s="132" t="n">
        <v>20.6</v>
      </c>
      <c r="AG13" s="133" t="n">
        <v>2.102</v>
      </c>
      <c r="AH13" s="133" t="n">
        <v>0.102</v>
      </c>
      <c r="AI13" s="132" t="n">
        <v>0</v>
      </c>
      <c r="AJ13" s="134" t="n">
        <v>13</v>
      </c>
      <c r="AK13" s="132" t="n">
        <v>339.4</v>
      </c>
      <c r="AL13" s="133" t="n">
        <v>9.398</v>
      </c>
      <c r="AM13" s="133" t="n">
        <v>0.028</v>
      </c>
      <c r="AN13" s="132" t="n">
        <v>97.3</v>
      </c>
      <c r="AO13" s="26"/>
      <c r="AP13" s="26"/>
      <c r="AQ13" s="26"/>
      <c r="AR13" s="26"/>
      <c r="AS13" s="135" t="e">
        <f aca="false">[1]!table2[[#this row],[object_a_._head_time]]+[1]!table2[[#this row],[object_b_._head_time]]</f>
        <v>#N/A</v>
      </c>
      <c r="AT13" s="135" t="e">
        <f aca="false">[1]!table2[[#this row],[object_a_._head_time]]+[1]!table2[[#this row],[object_b_._head_time]]</f>
        <v>#N/A</v>
      </c>
      <c r="AU13" s="135" t="e">
        <f aca="false">[1]!table2[[#this row],[object_b_._head_time]]-[1]!table2[[#this row],[object_a_._head_time]]</f>
        <v>#N/A</v>
      </c>
      <c r="AV13" s="136" t="e">
        <f aca="false">[1]!table2[[#this row],[d1: absolute discrimination measure (D1 = B2- A2)]]/[1]!table2[[#this row],[e2: total exploration time in second trial E2 ( E2 = A2 + B2)]]</f>
        <v>#N/A</v>
      </c>
      <c r="AW13" s="135" t="e">
        <f aca="false">(W13/AT13)*100</f>
        <v>#N/A</v>
      </c>
      <c r="AX13" s="135" t="e">
        <f aca="false">([1]!table2[[#this row],[object_a_._head_time]]/([1]!table2[[#this row],[object_a_._head_time]]+[1]!table2[[#this row],[object_b_._head_time]]))*100</f>
        <v>#N/A</v>
      </c>
      <c r="AY13" s="30" t="s">
        <v>79</v>
      </c>
      <c r="AZ13" s="30" t="s">
        <v>65</v>
      </c>
      <c r="BA13" s="30" t="s">
        <v>93</v>
      </c>
      <c r="BB13" s="31" t="n">
        <v>170</v>
      </c>
      <c r="BC13" s="32" t="n">
        <v>5.66666666666667</v>
      </c>
      <c r="BD13" s="33" t="s">
        <v>80</v>
      </c>
      <c r="BE13" s="30" t="n">
        <v>3</v>
      </c>
      <c r="BF13" s="34" t="s">
        <v>299</v>
      </c>
    </row>
    <row r="14" customFormat="false" ht="12" hidden="false" customHeight="true" outlineLevel="0" collapsed="false">
      <c r="A14" s="130" t="n">
        <v>48</v>
      </c>
      <c r="B14" s="131" t="s">
        <v>109</v>
      </c>
      <c r="C14" s="131" t="s">
        <v>59</v>
      </c>
      <c r="D14" s="131" t="s">
        <v>60</v>
      </c>
      <c r="E14" s="131" t="s">
        <v>282</v>
      </c>
      <c r="F14" s="131" t="s">
        <v>300</v>
      </c>
      <c r="G14" s="131" t="s">
        <v>301</v>
      </c>
      <c r="H14" s="132" t="n">
        <v>360</v>
      </c>
      <c r="I14" s="133" t="n">
        <v>9.808</v>
      </c>
      <c r="J14" s="133" t="n">
        <v>0.027</v>
      </c>
      <c r="K14" s="133" t="n">
        <v>0.254</v>
      </c>
      <c r="L14" s="132" t="n">
        <v>52.9</v>
      </c>
      <c r="M14" s="134" t="n">
        <v>20</v>
      </c>
      <c r="N14" s="132" t="n">
        <v>23.3</v>
      </c>
      <c r="O14" s="133" t="n">
        <v>1.15</v>
      </c>
      <c r="P14" s="133" t="n">
        <v>0.049</v>
      </c>
      <c r="Q14" s="133" t="n">
        <v>0.209</v>
      </c>
      <c r="R14" s="132" t="n">
        <v>7.6</v>
      </c>
      <c r="S14" s="134" t="n">
        <v>1679</v>
      </c>
      <c r="T14" s="132" t="n">
        <v>0</v>
      </c>
      <c r="U14" s="132" t="n">
        <v>7.8</v>
      </c>
      <c r="V14" s="134" t="n">
        <v>17</v>
      </c>
      <c r="W14" s="132" t="n">
        <v>29.1</v>
      </c>
      <c r="X14" s="133" t="n">
        <v>1.474</v>
      </c>
      <c r="Y14" s="133" t="n">
        <v>0.051</v>
      </c>
      <c r="Z14" s="133" t="n">
        <v>0.198</v>
      </c>
      <c r="AA14" s="132" t="n">
        <v>6</v>
      </c>
      <c r="AB14" s="134" t="n">
        <v>2195</v>
      </c>
      <c r="AC14" s="132" t="n">
        <v>0</v>
      </c>
      <c r="AD14" s="132" t="n">
        <v>8.1</v>
      </c>
      <c r="AE14" s="134" t="n">
        <v>25</v>
      </c>
      <c r="AF14" s="132" t="n">
        <v>43.6</v>
      </c>
      <c r="AG14" s="133" t="n">
        <v>2.143</v>
      </c>
      <c r="AH14" s="133" t="n">
        <v>0.049</v>
      </c>
      <c r="AI14" s="132" t="n">
        <v>3.1</v>
      </c>
      <c r="AJ14" s="134" t="n">
        <v>25</v>
      </c>
      <c r="AK14" s="132" t="n">
        <v>316.4</v>
      </c>
      <c r="AL14" s="133" t="n">
        <v>7.665</v>
      </c>
      <c r="AM14" s="133" t="n">
        <v>0.024</v>
      </c>
      <c r="AN14" s="132" t="n">
        <v>49.7</v>
      </c>
      <c r="AO14" s="26"/>
      <c r="AP14" s="26"/>
      <c r="AQ14" s="26"/>
      <c r="AR14" s="26"/>
      <c r="AS14" s="135" t="e">
        <f aca="false">[1]!table2[[#this row],[object_a_._head_time]]+[1]!table2[[#this row],[object_b_._head_time]]</f>
        <v>#N/A</v>
      </c>
      <c r="AT14" s="135" t="e">
        <f aca="false">[1]!table2[[#this row],[object_a_._head_time]]+[1]!table2[[#this row],[object_b_._head_time]]</f>
        <v>#N/A</v>
      </c>
      <c r="AU14" s="135" t="e">
        <f aca="false">[1]!table2[[#this row],[object_b_._head_time]]-[1]!table2[[#this row],[object_a_._head_time]]</f>
        <v>#N/A</v>
      </c>
      <c r="AV14" s="136" t="e">
        <f aca="false">[1]!table2[[#this row],[d1: absolute discrimination measure (D1 = B2- A2)]]/[1]!table2[[#this row],[e2: total exploration time in second trial E2 ( E2 = A2 + B2)]]</f>
        <v>#N/A</v>
      </c>
      <c r="AW14" s="135" t="e">
        <f aca="false">(W14/AT14)*100</f>
        <v>#N/A</v>
      </c>
      <c r="AX14" s="135" t="e">
        <f aca="false">([1]!table2[[#this row],[object_a_._head_time]]/([1]!table2[[#this row],[object_a_._head_time]]+[1]!table2[[#this row],[object_b_._head_time]]))*100</f>
        <v>#N/A</v>
      </c>
      <c r="AY14" s="30" t="s">
        <v>79</v>
      </c>
      <c r="AZ14" s="30" t="s">
        <v>65</v>
      </c>
      <c r="BA14" s="30" t="s">
        <v>66</v>
      </c>
      <c r="BB14" s="31" t="n">
        <v>170</v>
      </c>
      <c r="BC14" s="32" t="n">
        <v>5.66666666666667</v>
      </c>
      <c r="BD14" s="33" t="s">
        <v>67</v>
      </c>
      <c r="BE14" s="30" t="n">
        <v>2</v>
      </c>
      <c r="BF14" s="34"/>
    </row>
    <row r="15" customFormat="false" ht="12" hidden="false" customHeight="true" outlineLevel="0" collapsed="false">
      <c r="A15" s="130" t="n">
        <v>47</v>
      </c>
      <c r="B15" s="131" t="s">
        <v>111</v>
      </c>
      <c r="C15" s="131" t="s">
        <v>59</v>
      </c>
      <c r="D15" s="131" t="s">
        <v>70</v>
      </c>
      <c r="E15" s="131" t="s">
        <v>282</v>
      </c>
      <c r="F15" s="131" t="s">
        <v>300</v>
      </c>
      <c r="G15" s="131" t="s">
        <v>302</v>
      </c>
      <c r="H15" s="132" t="n">
        <v>360</v>
      </c>
      <c r="I15" s="133" t="n">
        <v>10.446</v>
      </c>
      <c r="J15" s="133" t="n">
        <v>0.029</v>
      </c>
      <c r="K15" s="133" t="n">
        <v>0.231</v>
      </c>
      <c r="L15" s="132" t="n">
        <v>58.2</v>
      </c>
      <c r="M15" s="134" t="n">
        <v>22</v>
      </c>
      <c r="N15" s="132" t="n">
        <v>27.3</v>
      </c>
      <c r="O15" s="133" t="n">
        <v>1.251</v>
      </c>
      <c r="P15" s="133" t="n">
        <v>0.046</v>
      </c>
      <c r="Q15" s="133" t="n">
        <v>0.187</v>
      </c>
      <c r="R15" s="132" t="n">
        <v>8.9</v>
      </c>
      <c r="S15" s="134" t="n">
        <v>2066</v>
      </c>
      <c r="T15" s="132" t="n">
        <v>0</v>
      </c>
      <c r="U15" s="132" t="n">
        <v>8.9</v>
      </c>
      <c r="V15" s="134" t="n">
        <v>19</v>
      </c>
      <c r="W15" s="132" t="n">
        <v>25.4</v>
      </c>
      <c r="X15" s="133" t="n">
        <v>1.269</v>
      </c>
      <c r="Y15" s="133" t="n">
        <v>0.05</v>
      </c>
      <c r="Z15" s="133" t="n">
        <v>0.198</v>
      </c>
      <c r="AA15" s="132" t="n">
        <v>9.5</v>
      </c>
      <c r="AB15" s="134" t="n">
        <v>1799</v>
      </c>
      <c r="AC15" s="132" t="n">
        <v>0</v>
      </c>
      <c r="AD15" s="132" t="n">
        <v>10.5</v>
      </c>
      <c r="AE15" s="134" t="n">
        <v>14</v>
      </c>
      <c r="AF15" s="132" t="n">
        <v>40.3</v>
      </c>
      <c r="AG15" s="133" t="n">
        <v>2.346</v>
      </c>
      <c r="AH15" s="133" t="n">
        <v>0.058</v>
      </c>
      <c r="AI15" s="132" t="n">
        <v>1.2</v>
      </c>
      <c r="AJ15" s="134" t="n">
        <v>14</v>
      </c>
      <c r="AK15" s="132" t="n">
        <v>319.7</v>
      </c>
      <c r="AL15" s="133" t="n">
        <v>8.1</v>
      </c>
      <c r="AM15" s="133" t="n">
        <v>0.025</v>
      </c>
      <c r="AN15" s="132" t="n">
        <v>57</v>
      </c>
      <c r="AO15" s="26"/>
      <c r="AP15" s="26"/>
      <c r="AQ15" s="26"/>
      <c r="AR15" s="26"/>
      <c r="AS15" s="135" t="e">
        <f aca="false">[1]!table2[[#this row],[object_a_._head_time]]+[1]!table2[[#this row],[object_b_._head_time]]</f>
        <v>#N/A</v>
      </c>
      <c r="AT15" s="135" t="e">
        <f aca="false">[1]!table2[[#this row],[object_a_._head_time]]+[1]!table2[[#this row],[object_b_._head_time]]</f>
        <v>#N/A</v>
      </c>
      <c r="AU15" s="135" t="e">
        <f aca="false">[1]!table2[[#this row],[object_b_._head_time]]-[1]!table2[[#this row],[object_a_._head_time]]</f>
        <v>#N/A</v>
      </c>
      <c r="AV15" s="136" t="e">
        <f aca="false">[1]!table2[[#this row],[d1: absolute discrimination measure (D1 = B2- A2)]]/[1]!table2[[#this row],[e2: total exploration time in second trial E2 ( E2 = A2 + B2)]]</f>
        <v>#N/A</v>
      </c>
      <c r="AW15" s="135" t="e">
        <f aca="false">(W15/AT15)*100</f>
        <v>#N/A</v>
      </c>
      <c r="AX15" s="135" t="e">
        <f aca="false">([1]!table2[[#this row],[object_a_._head_time]]/([1]!table2[[#this row],[object_a_._head_time]]+[1]!table2[[#this row],[object_b_._head_time]]))*100</f>
        <v>#N/A</v>
      </c>
      <c r="AY15" s="30" t="s">
        <v>79</v>
      </c>
      <c r="AZ15" s="30" t="s">
        <v>65</v>
      </c>
      <c r="BA15" s="30" t="s">
        <v>93</v>
      </c>
      <c r="BB15" s="31" t="n">
        <v>170</v>
      </c>
      <c r="BC15" s="32" t="n">
        <v>5.66666666666667</v>
      </c>
      <c r="BD15" s="33" t="s">
        <v>67</v>
      </c>
      <c r="BE15" s="30" t="n">
        <v>4</v>
      </c>
      <c r="BF15" s="34"/>
    </row>
    <row r="16" customFormat="false" ht="12" hidden="false" customHeight="true" outlineLevel="0" collapsed="false">
      <c r="A16" s="130" t="n">
        <v>50</v>
      </c>
      <c r="B16" s="131" t="s">
        <v>113</v>
      </c>
      <c r="C16" s="131" t="s">
        <v>59</v>
      </c>
      <c r="D16" s="131" t="s">
        <v>73</v>
      </c>
      <c r="E16" s="131" t="s">
        <v>282</v>
      </c>
      <c r="F16" s="131" t="s">
        <v>303</v>
      </c>
      <c r="G16" s="131" t="s">
        <v>304</v>
      </c>
      <c r="H16" s="132" t="n">
        <v>360</v>
      </c>
      <c r="I16" s="133" t="n">
        <v>12.5</v>
      </c>
      <c r="J16" s="133" t="n">
        <v>0.035</v>
      </c>
      <c r="K16" s="133" t="n">
        <v>0.268</v>
      </c>
      <c r="L16" s="132" t="n">
        <v>44.7</v>
      </c>
      <c r="M16" s="134" t="n">
        <v>26</v>
      </c>
      <c r="N16" s="132" t="n">
        <v>32.5</v>
      </c>
      <c r="O16" s="133" t="n">
        <v>1.091</v>
      </c>
      <c r="P16" s="133" t="n">
        <v>0.034</v>
      </c>
      <c r="Q16" s="133" t="n">
        <v>0.236</v>
      </c>
      <c r="R16" s="132" t="n">
        <v>16.8</v>
      </c>
      <c r="S16" s="134" t="n">
        <v>1513</v>
      </c>
      <c r="T16" s="132" t="n">
        <v>2.7</v>
      </c>
      <c r="U16" s="132" t="n">
        <v>22.2</v>
      </c>
      <c r="V16" s="134" t="n">
        <v>18</v>
      </c>
      <c r="W16" s="132" t="n">
        <v>20.3</v>
      </c>
      <c r="X16" s="133" t="n">
        <v>0.965</v>
      </c>
      <c r="Y16" s="133" t="n">
        <v>0.048</v>
      </c>
      <c r="Z16" s="133" t="n">
        <v>0.23</v>
      </c>
      <c r="AA16" s="132" t="n">
        <v>6.4</v>
      </c>
      <c r="AB16" s="134" t="n">
        <v>1605</v>
      </c>
      <c r="AC16" s="132" t="n">
        <v>1.3</v>
      </c>
      <c r="AD16" s="132" t="n">
        <v>9</v>
      </c>
      <c r="AE16" s="134" t="n">
        <v>12</v>
      </c>
      <c r="AF16" s="132" t="n">
        <v>25.3</v>
      </c>
      <c r="AG16" s="133" t="n">
        <v>1.901</v>
      </c>
      <c r="AH16" s="133" t="n">
        <v>0.075</v>
      </c>
      <c r="AI16" s="132" t="n">
        <v>1.3</v>
      </c>
      <c r="AJ16" s="134" t="n">
        <v>11</v>
      </c>
      <c r="AK16" s="132" t="n">
        <v>334.7</v>
      </c>
      <c r="AL16" s="133" t="n">
        <v>10.599</v>
      </c>
      <c r="AM16" s="133" t="n">
        <v>0.032</v>
      </c>
      <c r="AN16" s="132" t="n">
        <v>43.4</v>
      </c>
      <c r="AO16" s="26"/>
      <c r="AP16" s="26"/>
      <c r="AQ16" s="26"/>
      <c r="AR16" s="26"/>
      <c r="AS16" s="135" t="e">
        <f aca="false">[1]!table2[[#this row],[object_a_._head_time]]+[1]!table2[[#this row],[object_b_._head_time]]</f>
        <v>#N/A</v>
      </c>
      <c r="AT16" s="135" t="e">
        <f aca="false">[1]!table2[[#this row],[object_a_._head_time]]+[1]!table2[[#this row],[object_b_._head_time]]</f>
        <v>#N/A</v>
      </c>
      <c r="AU16" s="135" t="e">
        <f aca="false">[1]!table2[[#this row],[object_b_._head_time]]-[1]!table2[[#this row],[object_a_._head_time]]</f>
        <v>#N/A</v>
      </c>
      <c r="AV16" s="136" t="e">
        <f aca="false">[1]!table2[[#this row],[d1: absolute discrimination measure (D1 = B2- A2)]]/[1]!table2[[#this row],[e2: total exploration time in second trial E2 ( E2 = A2 + B2)]]</f>
        <v>#N/A</v>
      </c>
      <c r="AW16" s="135" t="e">
        <f aca="false">(W16/AT16)*100</f>
        <v>#N/A</v>
      </c>
      <c r="AX16" s="135" t="e">
        <f aca="false">([1]!table2[[#this row],[object_a_._head_time]]/([1]!table2[[#this row],[object_a_._head_time]]+[1]!table2[[#this row],[object_b_._head_time]]))*100</f>
        <v>#N/A</v>
      </c>
      <c r="AY16" s="30" t="s">
        <v>79</v>
      </c>
      <c r="AZ16" s="30" t="s">
        <v>65</v>
      </c>
      <c r="BA16" s="30" t="s">
        <v>93</v>
      </c>
      <c r="BB16" s="31" t="n">
        <v>170</v>
      </c>
      <c r="BC16" s="32" t="n">
        <v>5.66666666666667</v>
      </c>
      <c r="BD16" s="33" t="s">
        <v>80</v>
      </c>
      <c r="BE16" s="30" t="n">
        <v>3</v>
      </c>
      <c r="BF16" s="34"/>
    </row>
    <row r="17" customFormat="false" ht="12" hidden="false" customHeight="true" outlineLevel="0" collapsed="false">
      <c r="A17" s="130" t="n">
        <v>49</v>
      </c>
      <c r="B17" s="131" t="s">
        <v>116</v>
      </c>
      <c r="C17" s="131" t="s">
        <v>59</v>
      </c>
      <c r="D17" s="131" t="s">
        <v>77</v>
      </c>
      <c r="E17" s="131" t="s">
        <v>282</v>
      </c>
      <c r="F17" s="131" t="s">
        <v>303</v>
      </c>
      <c r="G17" s="131" t="s">
        <v>305</v>
      </c>
      <c r="H17" s="132" t="n">
        <v>360</v>
      </c>
      <c r="I17" s="133" t="n">
        <v>6.701</v>
      </c>
      <c r="J17" s="133" t="n">
        <v>0.019</v>
      </c>
      <c r="K17" s="133" t="n">
        <v>0.277</v>
      </c>
      <c r="L17" s="132" t="n">
        <v>107.7</v>
      </c>
      <c r="M17" s="134" t="n">
        <v>30</v>
      </c>
      <c r="N17" s="132" t="n">
        <v>62.1</v>
      </c>
      <c r="O17" s="133" t="n">
        <v>0.432</v>
      </c>
      <c r="P17" s="133" t="n">
        <v>0.007</v>
      </c>
      <c r="Q17" s="133" t="n">
        <v>0.225</v>
      </c>
      <c r="R17" s="132" t="n">
        <v>34.1</v>
      </c>
      <c r="S17" s="134" t="n">
        <v>2961</v>
      </c>
      <c r="T17" s="132" t="n">
        <v>24.1</v>
      </c>
      <c r="U17" s="132" t="n">
        <v>55.6</v>
      </c>
      <c r="V17" s="134" t="n">
        <v>15</v>
      </c>
      <c r="W17" s="132" t="n">
        <v>13.9</v>
      </c>
      <c r="X17" s="133" t="n">
        <v>0.4</v>
      </c>
      <c r="Y17" s="133" t="n">
        <v>0.029</v>
      </c>
      <c r="Z17" s="133" t="n">
        <v>0.223</v>
      </c>
      <c r="AA17" s="132" t="n">
        <v>10.1</v>
      </c>
      <c r="AB17" s="134" t="n">
        <v>651</v>
      </c>
      <c r="AC17" s="132" t="n">
        <v>3.2</v>
      </c>
      <c r="AD17" s="132" t="n">
        <v>12.8</v>
      </c>
      <c r="AE17" s="134" t="n">
        <v>3</v>
      </c>
      <c r="AF17" s="132" t="n">
        <v>4</v>
      </c>
      <c r="AG17" s="133" t="n">
        <v>0.56</v>
      </c>
      <c r="AH17" s="133" t="n">
        <v>0.141</v>
      </c>
      <c r="AI17" s="132" t="n">
        <v>0</v>
      </c>
      <c r="AJ17" s="134" t="n">
        <v>4</v>
      </c>
      <c r="AK17" s="132" t="n">
        <v>356</v>
      </c>
      <c r="AL17" s="133" t="n">
        <v>6.141</v>
      </c>
      <c r="AM17" s="133" t="n">
        <v>0.017</v>
      </c>
      <c r="AN17" s="132" t="n">
        <v>107.7</v>
      </c>
      <c r="AO17" s="26"/>
      <c r="AP17" s="26"/>
      <c r="AQ17" s="26"/>
      <c r="AR17" s="26"/>
      <c r="AS17" s="135" t="e">
        <f aca="false">[1]!table2[[#this row],[object_a_._head_time]]+[1]!table2[[#this row],[object_b_._head_time]]</f>
        <v>#N/A</v>
      </c>
      <c r="AT17" s="135" t="e">
        <f aca="false">[1]!table2[[#this row],[object_a_._head_time]]+[1]!table2[[#this row],[object_b_._head_time]]</f>
        <v>#N/A</v>
      </c>
      <c r="AU17" s="135" t="e">
        <f aca="false">[1]!table2[[#this row],[object_b_._head_time]]-[1]!table2[[#this row],[object_a_._head_time]]</f>
        <v>#N/A</v>
      </c>
      <c r="AV17" s="136" t="e">
        <f aca="false">[1]!table2[[#this row],[d1: absolute discrimination measure (D1 = B2- A2)]]/[1]!table2[[#this row],[e2: total exploration time in second trial E2 ( E2 = A2 + B2)]]</f>
        <v>#N/A</v>
      </c>
      <c r="AW17" s="135" t="e">
        <f aca="false">(W17/AT17)*100</f>
        <v>#N/A</v>
      </c>
      <c r="AX17" s="135" t="e">
        <f aca="false">([1]!table2[[#this row],[object_a_._head_time]]/([1]!table2[[#this row],[object_a_._head_time]]+[1]!table2[[#this row],[object_b_._head_time]]))*100</f>
        <v>#N/A</v>
      </c>
      <c r="AY17" s="30" t="s">
        <v>79</v>
      </c>
      <c r="AZ17" s="30" t="s">
        <v>119</v>
      </c>
      <c r="BA17" s="30" t="s">
        <v>66</v>
      </c>
      <c r="BB17" s="31" t="n">
        <v>163</v>
      </c>
      <c r="BC17" s="32" t="n">
        <v>5.43333333333333</v>
      </c>
      <c r="BD17" s="33" t="s">
        <v>67</v>
      </c>
      <c r="BE17" s="30" t="n">
        <v>6</v>
      </c>
      <c r="BF17" s="34" t="s">
        <v>120</v>
      </c>
    </row>
    <row r="18" customFormat="false" ht="12" hidden="false" customHeight="true" outlineLevel="0" collapsed="false">
      <c r="A18" s="130" t="n">
        <v>52</v>
      </c>
      <c r="B18" s="131" t="s">
        <v>121</v>
      </c>
      <c r="C18" s="131" t="s">
        <v>59</v>
      </c>
      <c r="D18" s="131" t="s">
        <v>60</v>
      </c>
      <c r="E18" s="131" t="s">
        <v>282</v>
      </c>
      <c r="F18" s="131" t="s">
        <v>306</v>
      </c>
      <c r="G18" s="131" t="s">
        <v>307</v>
      </c>
      <c r="H18" s="132" t="n">
        <v>360</v>
      </c>
      <c r="I18" s="133" t="n">
        <v>9.385</v>
      </c>
      <c r="J18" s="133" t="n">
        <v>0.026</v>
      </c>
      <c r="K18" s="133" t="n">
        <v>0.279</v>
      </c>
      <c r="L18" s="132" t="n">
        <v>96</v>
      </c>
      <c r="M18" s="134" t="n">
        <v>12</v>
      </c>
      <c r="N18" s="132" t="n">
        <v>7.7</v>
      </c>
      <c r="O18" s="133" t="n">
        <v>0.345</v>
      </c>
      <c r="P18" s="133" t="n">
        <v>0.045</v>
      </c>
      <c r="Q18" s="133" t="n">
        <v>0.158</v>
      </c>
      <c r="R18" s="132" t="n">
        <v>4.9</v>
      </c>
      <c r="S18" s="134" t="n">
        <v>560</v>
      </c>
      <c r="T18" s="132" t="n">
        <v>0</v>
      </c>
      <c r="U18" s="132" t="n">
        <v>7</v>
      </c>
      <c r="V18" s="134" t="n">
        <v>14</v>
      </c>
      <c r="W18" s="132" t="n">
        <v>7.7</v>
      </c>
      <c r="X18" s="133" t="n">
        <v>0.277</v>
      </c>
      <c r="Y18" s="133" t="n">
        <v>0.036</v>
      </c>
      <c r="Z18" s="133" t="n">
        <v>0.179</v>
      </c>
      <c r="AA18" s="132" t="n">
        <v>3.8</v>
      </c>
      <c r="AB18" s="134" t="n">
        <v>762</v>
      </c>
      <c r="AC18" s="132" t="n">
        <v>0</v>
      </c>
      <c r="AD18" s="132" t="n">
        <v>6.4</v>
      </c>
      <c r="AE18" s="134" t="n">
        <v>7</v>
      </c>
      <c r="AF18" s="132" t="n">
        <v>8.2</v>
      </c>
      <c r="AG18" s="133" t="n">
        <v>0.736</v>
      </c>
      <c r="AH18" s="133" t="n">
        <v>0.09</v>
      </c>
      <c r="AI18" s="132" t="n">
        <v>0</v>
      </c>
      <c r="AJ18" s="134" t="n">
        <v>8</v>
      </c>
      <c r="AK18" s="132" t="n">
        <v>351.8</v>
      </c>
      <c r="AL18" s="133" t="n">
        <v>8.648</v>
      </c>
      <c r="AM18" s="133" t="n">
        <v>0.025</v>
      </c>
      <c r="AN18" s="132" t="n">
        <v>96</v>
      </c>
      <c r="AO18" s="26"/>
      <c r="AP18" s="26"/>
      <c r="AQ18" s="26"/>
      <c r="AR18" s="26"/>
      <c r="AS18" s="135" t="e">
        <f aca="false">[1]!table2[[#this row],[object_a_._head_time]]+[1]!table2[[#this row],[object_b_._head_time]]</f>
        <v>#N/A</v>
      </c>
      <c r="AT18" s="135" t="e">
        <f aca="false">[1]!table2[[#this row],[object_a_._head_time]]+[1]!table2[[#this row],[object_b_._head_time]]</f>
        <v>#N/A</v>
      </c>
      <c r="AU18" s="135" t="e">
        <f aca="false">[1]!table2[[#this row],[object_b_._head_time]]-[1]!table2[[#this row],[object_a_._head_time]]</f>
        <v>#N/A</v>
      </c>
      <c r="AV18" s="136" t="e">
        <f aca="false">[1]!table2[[#this row],[d1: absolute discrimination measure (D1 = B2- A2)]]/[1]!table2[[#this row],[e2: total exploration time in second trial E2 ( E2 = A2 + B2)]]</f>
        <v>#N/A</v>
      </c>
      <c r="AW18" s="135" t="e">
        <f aca="false">(W18/AT18)*100</f>
        <v>#N/A</v>
      </c>
      <c r="AX18" s="135" t="e">
        <f aca="false">([1]!table2[[#this row],[object_a_._head_time]]/([1]!table2[[#this row],[object_a_._head_time]]+[1]!table2[[#this row],[object_b_._head_time]]))*100</f>
        <v>#N/A</v>
      </c>
      <c r="AY18" s="30" t="s">
        <v>79</v>
      </c>
      <c r="AZ18" s="30" t="s">
        <v>123</v>
      </c>
      <c r="BA18" s="30" t="s">
        <v>93</v>
      </c>
      <c r="BB18" s="31" t="n">
        <v>163</v>
      </c>
      <c r="BC18" s="32" t="n">
        <v>5.43333333333333</v>
      </c>
      <c r="BD18" s="30" t="s">
        <v>67</v>
      </c>
      <c r="BE18" s="30" t="n">
        <v>4</v>
      </c>
      <c r="BF18" s="34" t="s">
        <v>120</v>
      </c>
    </row>
    <row r="19" customFormat="false" ht="12" hidden="false" customHeight="true" outlineLevel="0" collapsed="false">
      <c r="A19" s="130" t="n">
        <v>51</v>
      </c>
      <c r="B19" s="131" t="s">
        <v>124</v>
      </c>
      <c r="C19" s="131" t="s">
        <v>59</v>
      </c>
      <c r="D19" s="131" t="s">
        <v>70</v>
      </c>
      <c r="E19" s="131" t="s">
        <v>282</v>
      </c>
      <c r="F19" s="131" t="s">
        <v>308</v>
      </c>
      <c r="G19" s="131" t="s">
        <v>309</v>
      </c>
      <c r="H19" s="132" t="n">
        <v>360</v>
      </c>
      <c r="I19" s="133" t="n">
        <v>11.035</v>
      </c>
      <c r="J19" s="133" t="n">
        <v>0.031</v>
      </c>
      <c r="K19" s="133" t="n">
        <v>0.275</v>
      </c>
      <c r="L19" s="132" t="n">
        <v>104.9</v>
      </c>
      <c r="M19" s="134" t="n">
        <v>10</v>
      </c>
      <c r="N19" s="132" t="n">
        <v>7.9</v>
      </c>
      <c r="O19" s="133" t="n">
        <v>0.278</v>
      </c>
      <c r="P19" s="133" t="n">
        <v>0.035</v>
      </c>
      <c r="Q19" s="133" t="n">
        <v>0.193</v>
      </c>
      <c r="R19" s="132" t="n">
        <v>4.4</v>
      </c>
      <c r="S19" s="134" t="n">
        <v>649</v>
      </c>
      <c r="T19" s="132" t="n">
        <v>0</v>
      </c>
      <c r="U19" s="132" t="n">
        <v>4.1</v>
      </c>
      <c r="V19" s="134" t="n">
        <v>33</v>
      </c>
      <c r="W19" s="132" t="n">
        <v>21.6</v>
      </c>
      <c r="X19" s="133" t="n">
        <v>1.014</v>
      </c>
      <c r="Y19" s="133" t="n">
        <v>0.047</v>
      </c>
      <c r="Z19" s="133" t="n">
        <v>0.233</v>
      </c>
      <c r="AA19" s="132" t="n">
        <v>9.3</v>
      </c>
      <c r="AB19" s="134" t="n">
        <v>1755</v>
      </c>
      <c r="AC19" s="132" t="n">
        <v>0.7</v>
      </c>
      <c r="AD19" s="132" t="n">
        <v>13.6</v>
      </c>
      <c r="AE19" s="134" t="n">
        <v>7</v>
      </c>
      <c r="AF19" s="132" t="n">
        <v>11.6</v>
      </c>
      <c r="AG19" s="133" t="n">
        <v>1.152</v>
      </c>
      <c r="AH19" s="133" t="n">
        <v>0.1</v>
      </c>
      <c r="AI19" s="132" t="n">
        <v>0</v>
      </c>
      <c r="AJ19" s="134" t="n">
        <v>7</v>
      </c>
      <c r="AK19" s="132" t="n">
        <v>348.4</v>
      </c>
      <c r="AL19" s="133" t="n">
        <v>9.883</v>
      </c>
      <c r="AM19" s="133" t="n">
        <v>0.028</v>
      </c>
      <c r="AN19" s="132" t="n">
        <v>104.9</v>
      </c>
      <c r="AO19" s="26"/>
      <c r="AP19" s="26"/>
      <c r="AQ19" s="26"/>
      <c r="AR19" s="26"/>
      <c r="AS19" s="135" t="e">
        <f aca="false">[1]!table2[[#this row],[object_a_._head_time]]+[1]!table2[[#this row],[object_b_._head_time]]</f>
        <v>#N/A</v>
      </c>
      <c r="AT19" s="135" t="e">
        <f aca="false">[1]!table2[[#this row],[object_a_._head_time]]+[1]!table2[[#this row],[object_b_._head_time]]</f>
        <v>#N/A</v>
      </c>
      <c r="AU19" s="135" t="e">
        <f aca="false">[1]!table2[[#this row],[object_b_._head_time]]-[1]!table2[[#this row],[object_a_._head_time]]</f>
        <v>#N/A</v>
      </c>
      <c r="AV19" s="136" t="e">
        <f aca="false">[1]!table2[[#this row],[d1: absolute discrimination measure (D1 = B2- A2)]]/[1]!table2[[#this row],[e2: total exploration time in second trial E2 ( E2 = A2 + B2)]]</f>
        <v>#N/A</v>
      </c>
      <c r="AW19" s="135" t="e">
        <f aca="false">(W19/AT19)*100</f>
        <v>#N/A</v>
      </c>
      <c r="AX19" s="135" t="e">
        <f aca="false">([1]!table2[[#this row],[object_a_._head_time]]/([1]!table2[[#this row],[object_a_._head_time]]+[1]!table2[[#this row],[object_b_._head_time]]))*100</f>
        <v>#N/A</v>
      </c>
      <c r="AY19" s="30" t="s">
        <v>64</v>
      </c>
      <c r="AZ19" s="30" t="s">
        <v>105</v>
      </c>
      <c r="BA19" s="30" t="s">
        <v>66</v>
      </c>
      <c r="BB19" s="31" t="n">
        <v>145</v>
      </c>
      <c r="BC19" s="32" t="n">
        <v>4.83333333333333</v>
      </c>
      <c r="BD19" s="33" t="s">
        <v>80</v>
      </c>
      <c r="BE19" s="30" t="n">
        <v>5</v>
      </c>
      <c r="BF19" s="34"/>
    </row>
    <row r="20" customFormat="false" ht="12" hidden="false" customHeight="true" outlineLevel="0" collapsed="false">
      <c r="A20" s="130" t="n">
        <v>53</v>
      </c>
      <c r="B20" s="131" t="s">
        <v>126</v>
      </c>
      <c r="C20" s="131" t="s">
        <v>59</v>
      </c>
      <c r="D20" s="131" t="s">
        <v>73</v>
      </c>
      <c r="E20" s="131" t="s">
        <v>282</v>
      </c>
      <c r="F20" s="131" t="s">
        <v>306</v>
      </c>
      <c r="G20" s="131" t="s">
        <v>310</v>
      </c>
      <c r="H20" s="132" t="n">
        <v>360</v>
      </c>
      <c r="I20" s="133" t="n">
        <v>1.856</v>
      </c>
      <c r="J20" s="133" t="n">
        <v>0.005</v>
      </c>
      <c r="K20" s="133" t="n">
        <v>0.163</v>
      </c>
      <c r="L20" s="132" t="n">
        <v>31.9</v>
      </c>
      <c r="M20" s="134" t="n">
        <v>2</v>
      </c>
      <c r="N20" s="132" t="n">
        <v>2.4</v>
      </c>
      <c r="O20" s="133" t="n">
        <v>0.039</v>
      </c>
      <c r="P20" s="133" t="n">
        <v>0.016</v>
      </c>
      <c r="Q20" s="133" t="n">
        <v>0.095</v>
      </c>
      <c r="R20" s="132" t="n">
        <v>1.5</v>
      </c>
      <c r="S20" s="134" t="n">
        <v>147</v>
      </c>
      <c r="T20" s="132" t="n">
        <v>0</v>
      </c>
      <c r="U20" s="132" t="n">
        <v>2.4</v>
      </c>
      <c r="V20" s="134" t="n">
        <v>9</v>
      </c>
      <c r="W20" s="132" t="n">
        <v>6.2</v>
      </c>
      <c r="X20" s="133" t="n">
        <v>0.039</v>
      </c>
      <c r="Y20" s="133" t="n">
        <v>0.006</v>
      </c>
      <c r="Z20" s="133" t="n">
        <v>0.163</v>
      </c>
      <c r="AA20" s="132" t="n">
        <v>4.9</v>
      </c>
      <c r="AB20" s="134" t="n">
        <v>304</v>
      </c>
      <c r="AC20" s="132" t="n">
        <v>0</v>
      </c>
      <c r="AD20" s="132" t="n">
        <v>5.5</v>
      </c>
      <c r="AE20" s="134" t="n">
        <v>1</v>
      </c>
      <c r="AF20" s="132" t="n">
        <v>81.8</v>
      </c>
      <c r="AG20" s="133" t="n">
        <v>0.298</v>
      </c>
      <c r="AH20" s="133" t="n">
        <v>0.004</v>
      </c>
      <c r="AI20" s="132" t="n">
        <v>10.3</v>
      </c>
      <c r="AJ20" s="134" t="n">
        <v>1</v>
      </c>
      <c r="AK20" s="132" t="n">
        <v>278.2</v>
      </c>
      <c r="AL20" s="133" t="n">
        <v>1.558</v>
      </c>
      <c r="AM20" s="133" t="n">
        <v>0.006</v>
      </c>
      <c r="AN20" s="132" t="n">
        <v>21.6</v>
      </c>
      <c r="AO20" s="26"/>
      <c r="AP20" s="26"/>
      <c r="AQ20" s="26"/>
      <c r="AR20" s="26"/>
      <c r="AS20" s="135" t="e">
        <f aca="false">[1]!table2[[#this row],[object_a_._head_time]]+[1]!table2[[#this row],[object_b_._head_time]]</f>
        <v>#N/A</v>
      </c>
      <c r="AT20" s="135" t="e">
        <f aca="false">[1]!table2[[#this row],[object_a_._head_time]]+[1]!table2[[#this row],[object_b_._head_time]]</f>
        <v>#N/A</v>
      </c>
      <c r="AU20" s="135" t="e">
        <f aca="false">[1]!table2[[#this row],[object_b_._head_time]]-[1]!table2[[#this row],[object_a_._head_time]]</f>
        <v>#N/A</v>
      </c>
      <c r="AV20" s="136" t="e">
        <f aca="false">[1]!table2[[#this row],[d1: absolute discrimination measure (D1 = B2- A2)]]/[1]!table2[[#this row],[e2: total exploration time in second trial E2 ( E2 = A2 + B2)]]</f>
        <v>#N/A</v>
      </c>
      <c r="AW20" s="135" t="e">
        <f aca="false">(W20/AT20)*100</f>
        <v>#N/A</v>
      </c>
      <c r="AX20" s="135" t="e">
        <f aca="false">([1]!table2[[#this row],[object_a_._head_time]]/([1]!table2[[#this row],[object_a_._head_time]]+[1]!table2[[#this row],[object_b_._head_time]]))*100</f>
        <v>#N/A</v>
      </c>
      <c r="AY20" s="30" t="s">
        <v>64</v>
      </c>
      <c r="AZ20" s="30" t="s">
        <v>105</v>
      </c>
      <c r="BA20" s="30" t="s">
        <v>66</v>
      </c>
      <c r="BB20" s="31" t="n">
        <v>143</v>
      </c>
      <c r="BC20" s="32" t="n">
        <v>4.76666666666667</v>
      </c>
      <c r="BD20" s="33" t="s">
        <v>67</v>
      </c>
      <c r="BE20" s="30" t="n">
        <v>6</v>
      </c>
      <c r="BF20" s="34" t="s">
        <v>94</v>
      </c>
    </row>
    <row r="21" customFormat="false" ht="12" hidden="false" customHeight="true" outlineLevel="0" collapsed="false">
      <c r="A21" s="130" t="n">
        <v>54</v>
      </c>
      <c r="B21" s="131" t="s">
        <v>128</v>
      </c>
      <c r="C21" s="131" t="s">
        <v>59</v>
      </c>
      <c r="D21" s="131" t="s">
        <v>77</v>
      </c>
      <c r="E21" s="131" t="s">
        <v>282</v>
      </c>
      <c r="F21" s="131" t="s">
        <v>306</v>
      </c>
      <c r="G21" s="131" t="s">
        <v>311</v>
      </c>
      <c r="H21" s="132" t="n">
        <v>360</v>
      </c>
      <c r="I21" s="133" t="n">
        <v>5.701</v>
      </c>
      <c r="J21" s="133" t="n">
        <v>0.016</v>
      </c>
      <c r="K21" s="133" t="n">
        <v>0.267</v>
      </c>
      <c r="L21" s="132" t="n">
        <v>200.3</v>
      </c>
      <c r="M21" s="134" t="n">
        <v>10</v>
      </c>
      <c r="N21" s="132" t="n">
        <v>10.2</v>
      </c>
      <c r="O21" s="133" t="n">
        <v>0.131</v>
      </c>
      <c r="P21" s="133" t="n">
        <v>0.013</v>
      </c>
      <c r="Q21" s="133" t="n">
        <v>0.134</v>
      </c>
      <c r="R21" s="132" t="n">
        <v>5.9</v>
      </c>
      <c r="S21" s="134" t="n">
        <v>795</v>
      </c>
      <c r="T21" s="132" t="n">
        <v>1.3</v>
      </c>
      <c r="U21" s="132" t="n">
        <v>8.7</v>
      </c>
      <c r="V21" s="134" t="n">
        <v>7</v>
      </c>
      <c r="W21" s="132" t="n">
        <v>6.2</v>
      </c>
      <c r="X21" s="133" t="n">
        <v>0.305</v>
      </c>
      <c r="Y21" s="133" t="n">
        <v>0.049</v>
      </c>
      <c r="Z21" s="133" t="n">
        <v>0.176</v>
      </c>
      <c r="AA21" s="132" t="n">
        <v>4.6</v>
      </c>
      <c r="AB21" s="134" t="n">
        <v>431</v>
      </c>
      <c r="AC21" s="132" t="n">
        <v>0</v>
      </c>
      <c r="AD21" s="132" t="n">
        <v>4.4</v>
      </c>
      <c r="AE21" s="134" t="n">
        <v>1</v>
      </c>
      <c r="AF21" s="132" t="n">
        <v>1.2</v>
      </c>
      <c r="AG21" s="133" t="n">
        <v>0</v>
      </c>
      <c r="AH21" s="133" t="n">
        <v>0</v>
      </c>
      <c r="AI21" s="132" t="n">
        <v>0</v>
      </c>
      <c r="AJ21" s="134" t="n">
        <v>1</v>
      </c>
      <c r="AK21" s="132" t="n">
        <v>358.8</v>
      </c>
      <c r="AL21" s="133" t="n">
        <v>5.701</v>
      </c>
      <c r="AM21" s="133" t="n">
        <v>0.016</v>
      </c>
      <c r="AN21" s="132" t="n">
        <v>200.3</v>
      </c>
      <c r="AO21" s="26"/>
      <c r="AP21" s="26"/>
      <c r="AQ21" s="26"/>
      <c r="AR21" s="26"/>
      <c r="AS21" s="135" t="e">
        <f aca="false">[1]!table2[[#this row],[object_a_._head_time]]+[1]!table2[[#this row],[object_b_._head_time]]</f>
        <v>#N/A</v>
      </c>
      <c r="AT21" s="135" t="e">
        <f aca="false">[1]!table2[[#this row],[object_a_._head_time]]+[1]!table2[[#this row],[object_b_._head_time]]</f>
        <v>#N/A</v>
      </c>
      <c r="AU21" s="135" t="e">
        <f aca="false">[1]!table2[[#this row],[object_b_._head_time]]-[1]!table2[[#this row],[object_a_._head_time]]</f>
        <v>#N/A</v>
      </c>
      <c r="AV21" s="136" t="e">
        <f aca="false">[1]!table2[[#this row],[d1: absolute discrimination measure (D1 = B2- A2)]]/[1]!table2[[#this row],[e2: total exploration time in second trial E2 ( E2 = A2 + B2)]]</f>
        <v>#N/A</v>
      </c>
      <c r="AW21" s="135" t="e">
        <f aca="false">(W21/AT21)*100</f>
        <v>#N/A</v>
      </c>
      <c r="AX21" s="135" t="e">
        <f aca="false">([1]!table2[[#this row],[object_a_._head_time]]/([1]!table2[[#this row],[object_a_._head_time]]+[1]!table2[[#this row],[object_b_._head_time]]))*100</f>
        <v>#N/A</v>
      </c>
      <c r="AY21" s="30" t="s">
        <v>64</v>
      </c>
      <c r="AZ21" s="30" t="s">
        <v>131</v>
      </c>
      <c r="BA21" s="30" t="s">
        <v>93</v>
      </c>
      <c r="BB21" s="31" t="n">
        <v>140</v>
      </c>
      <c r="BC21" s="32" t="n">
        <v>4.66666666666667</v>
      </c>
      <c r="BD21" s="33" t="s">
        <v>67</v>
      </c>
      <c r="BE21" s="30" t="n">
        <v>8</v>
      </c>
      <c r="BF21" s="34"/>
    </row>
    <row r="22" customFormat="false" ht="12" hidden="false" customHeight="true" outlineLevel="0" collapsed="false">
      <c r="A22" s="130" t="n">
        <v>56</v>
      </c>
      <c r="B22" s="131" t="s">
        <v>132</v>
      </c>
      <c r="C22" s="131" t="s">
        <v>59</v>
      </c>
      <c r="D22" s="131" t="s">
        <v>60</v>
      </c>
      <c r="E22" s="131" t="s">
        <v>282</v>
      </c>
      <c r="F22" s="131" t="s">
        <v>312</v>
      </c>
      <c r="G22" s="131" t="s">
        <v>313</v>
      </c>
      <c r="H22" s="132" t="n">
        <v>360</v>
      </c>
      <c r="I22" s="133" t="n">
        <v>9.243</v>
      </c>
      <c r="J22" s="133" t="n">
        <v>0.026</v>
      </c>
      <c r="K22" s="133" t="n">
        <v>0.237</v>
      </c>
      <c r="L22" s="132" t="n">
        <v>122.6</v>
      </c>
      <c r="M22" s="134" t="n">
        <v>25</v>
      </c>
      <c r="N22" s="132" t="n">
        <v>54.7</v>
      </c>
      <c r="O22" s="133" t="n">
        <v>1.114</v>
      </c>
      <c r="P22" s="133" t="n">
        <v>0.02</v>
      </c>
      <c r="Q22" s="133" t="n">
        <v>0.194</v>
      </c>
      <c r="R22" s="132" t="n">
        <v>13.6</v>
      </c>
      <c r="S22" s="134" t="n">
        <v>3027</v>
      </c>
      <c r="T22" s="132" t="n">
        <v>12.1</v>
      </c>
      <c r="U22" s="132" t="n">
        <v>30.7</v>
      </c>
      <c r="V22" s="134" t="n">
        <v>81</v>
      </c>
      <c r="W22" s="132" t="n">
        <v>99.4</v>
      </c>
      <c r="X22" s="133" t="n">
        <v>1.563</v>
      </c>
      <c r="Y22" s="133" t="n">
        <v>0.016</v>
      </c>
      <c r="Z22" s="133" t="n">
        <v>0.235</v>
      </c>
      <c r="AA22" s="132" t="n">
        <v>60</v>
      </c>
      <c r="AB22" s="134" t="n">
        <v>5697</v>
      </c>
      <c r="AC22" s="132" t="n">
        <v>44</v>
      </c>
      <c r="AD22" s="132" t="n">
        <v>75.4</v>
      </c>
      <c r="AE22" s="134" t="n">
        <v>16</v>
      </c>
      <c r="AF22" s="132" t="n">
        <v>24.3</v>
      </c>
      <c r="AG22" s="133" t="n">
        <v>2.36</v>
      </c>
      <c r="AH22" s="133" t="n">
        <v>0.097</v>
      </c>
      <c r="AI22" s="132" t="n">
        <v>0</v>
      </c>
      <c r="AJ22" s="134" t="n">
        <v>16</v>
      </c>
      <c r="AK22" s="132" t="n">
        <v>335.7</v>
      </c>
      <c r="AL22" s="133" t="n">
        <v>6.883</v>
      </c>
      <c r="AM22" s="133" t="n">
        <v>0.021</v>
      </c>
      <c r="AN22" s="132" t="n">
        <v>122.6</v>
      </c>
      <c r="AO22" s="26"/>
      <c r="AP22" s="26"/>
      <c r="AQ22" s="26"/>
      <c r="AR22" s="26"/>
      <c r="AS22" s="135" t="e">
        <f aca="false">[1]!table2[[#this row],[object_a_._head_time]]+[1]!table2[[#this row],[object_b_._head_time]]</f>
        <v>#N/A</v>
      </c>
      <c r="AT22" s="135" t="e">
        <f aca="false">[1]!table2[[#this row],[object_a_._head_time]]+[1]!table2[[#this row],[object_b_._head_time]]</f>
        <v>#N/A</v>
      </c>
      <c r="AU22" s="135" t="e">
        <f aca="false">[1]!table2[[#this row],[object_b_._head_time]]-[1]!table2[[#this row],[object_a_._head_time]]</f>
        <v>#N/A</v>
      </c>
      <c r="AV22" s="136" t="e">
        <f aca="false">[1]!table2[[#this row],[d1: absolute discrimination measure (D1 = B2- A2)]]/[1]!table2[[#this row],[e2: total exploration time in second trial E2 ( E2 = A2 + B2)]]</f>
        <v>#N/A</v>
      </c>
      <c r="AW22" s="135" t="e">
        <f aca="false">(W22/AT22)*100</f>
        <v>#N/A</v>
      </c>
      <c r="AX22" s="135" t="e">
        <f aca="false">([1]!table2[[#this row],[object_a_._head_time]]/([1]!table2[[#this row],[object_a_._head_time]]+[1]!table2[[#this row],[object_b_._head_time]]))*100</f>
        <v>#N/A</v>
      </c>
      <c r="AY22" s="30" t="s">
        <v>64</v>
      </c>
      <c r="AZ22" s="30" t="s">
        <v>131</v>
      </c>
      <c r="BA22" s="30" t="s">
        <v>93</v>
      </c>
      <c r="BB22" s="31" t="n">
        <v>140</v>
      </c>
      <c r="BC22" s="32" t="n">
        <v>4.66666666666667</v>
      </c>
      <c r="BD22" s="33" t="s">
        <v>80</v>
      </c>
      <c r="BE22" s="30" t="n">
        <v>7</v>
      </c>
      <c r="BF22" s="34"/>
    </row>
    <row r="23" customFormat="false" ht="12" hidden="false" customHeight="true" outlineLevel="0" collapsed="false">
      <c r="A23" s="130" t="n">
        <v>55</v>
      </c>
      <c r="B23" s="131" t="s">
        <v>134</v>
      </c>
      <c r="C23" s="131" t="s">
        <v>59</v>
      </c>
      <c r="D23" s="131" t="s">
        <v>70</v>
      </c>
      <c r="E23" s="131" t="s">
        <v>282</v>
      </c>
      <c r="F23" s="131" t="s">
        <v>312</v>
      </c>
      <c r="G23" s="131" t="s">
        <v>314</v>
      </c>
      <c r="H23" s="132" t="n">
        <v>360</v>
      </c>
      <c r="I23" s="133" t="n">
        <v>7.021</v>
      </c>
      <c r="J23" s="133" t="n">
        <v>0.02</v>
      </c>
      <c r="K23" s="133" t="n">
        <v>0.285</v>
      </c>
      <c r="L23" s="132" t="n">
        <v>174.2</v>
      </c>
      <c r="M23" s="134" t="n">
        <v>17</v>
      </c>
      <c r="N23" s="132" t="n">
        <v>30.5</v>
      </c>
      <c r="O23" s="133" t="n">
        <v>0.906</v>
      </c>
      <c r="P23" s="133" t="n">
        <v>0.03</v>
      </c>
      <c r="Q23" s="133" t="n">
        <v>0.238</v>
      </c>
      <c r="R23" s="132" t="n">
        <v>10.2</v>
      </c>
      <c r="S23" s="134" t="n">
        <v>2016</v>
      </c>
      <c r="T23" s="132" t="n">
        <v>1.8</v>
      </c>
      <c r="U23" s="132" t="n">
        <v>13.1</v>
      </c>
      <c r="V23" s="134" t="n">
        <v>11</v>
      </c>
      <c r="W23" s="132" t="n">
        <v>13.2</v>
      </c>
      <c r="X23" s="133" t="n">
        <v>0.871</v>
      </c>
      <c r="Y23" s="133" t="n">
        <v>0.066</v>
      </c>
      <c r="Z23" s="133" t="n">
        <v>0.204</v>
      </c>
      <c r="AA23" s="132" t="n">
        <v>4.4</v>
      </c>
      <c r="AB23" s="134" t="n">
        <v>945</v>
      </c>
      <c r="AC23" s="132" t="n">
        <v>0</v>
      </c>
      <c r="AD23" s="132" t="n">
        <v>3.4</v>
      </c>
      <c r="AE23" s="134" t="n">
        <v>10</v>
      </c>
      <c r="AF23" s="132" t="n">
        <v>30.7</v>
      </c>
      <c r="AG23" s="133" t="n">
        <v>1.601</v>
      </c>
      <c r="AH23" s="133" t="n">
        <v>0.052</v>
      </c>
      <c r="AI23" s="132" t="n">
        <v>0</v>
      </c>
      <c r="AJ23" s="134" t="n">
        <v>10</v>
      </c>
      <c r="AK23" s="132" t="n">
        <v>329.3</v>
      </c>
      <c r="AL23" s="133" t="n">
        <v>5.42</v>
      </c>
      <c r="AM23" s="133" t="n">
        <v>0.016</v>
      </c>
      <c r="AN23" s="132" t="n">
        <v>174.2</v>
      </c>
      <c r="AO23" s="26"/>
      <c r="AP23" s="26"/>
      <c r="AQ23" s="26"/>
      <c r="AR23" s="26"/>
      <c r="AS23" s="135" t="e">
        <f aca="false">[1]!table2[[#this row],[object_a_._head_time]]+[1]!table2[[#this row],[object_b_._head_time]]</f>
        <v>#N/A</v>
      </c>
      <c r="AT23" s="135" t="e">
        <f aca="false">[1]!table2[[#this row],[object_a_._head_time]]+[1]!table2[[#this row],[object_b_._head_time]]</f>
        <v>#N/A</v>
      </c>
      <c r="AU23" s="135" t="e">
        <f aca="false">[1]!table2[[#this row],[object_b_._head_time]]-[1]!table2[[#this row],[object_a_._head_time]]</f>
        <v>#N/A</v>
      </c>
      <c r="AV23" s="136" t="e">
        <f aca="false">[1]!table2[[#this row],[d1: absolute discrimination measure (D1 = B2- A2)]]/[1]!table2[[#this row],[e2: total exploration time in second trial E2 ( E2 = A2 + B2)]]</f>
        <v>#N/A</v>
      </c>
      <c r="AW23" s="135" t="e">
        <f aca="false">(W23/AT23)*100</f>
        <v>#N/A</v>
      </c>
      <c r="AX23" s="135" t="e">
        <f aca="false">([1]!table2[[#this row],[object_a_._head_time]]/([1]!table2[[#this row],[object_a_._head_time]]+[1]!table2[[#this row],[object_b_._head_time]]))*100</f>
        <v>#N/A</v>
      </c>
      <c r="AY23" s="30" t="s">
        <v>64</v>
      </c>
      <c r="AZ23" s="30" t="s">
        <v>131</v>
      </c>
      <c r="BA23" s="30" t="s">
        <v>93</v>
      </c>
      <c r="BB23" s="31" t="n">
        <v>140</v>
      </c>
      <c r="BC23" s="32" t="n">
        <v>4.66666666666667</v>
      </c>
      <c r="BD23" s="33" t="s">
        <v>67</v>
      </c>
      <c r="BE23" s="30" t="n">
        <v>8</v>
      </c>
      <c r="BF23" s="34"/>
    </row>
    <row r="24" customFormat="false" ht="12" hidden="false" customHeight="true" outlineLevel="0" collapsed="false">
      <c r="A24" s="130" t="n">
        <v>57</v>
      </c>
      <c r="B24" s="131" t="s">
        <v>137</v>
      </c>
      <c r="C24" s="131" t="s">
        <v>59</v>
      </c>
      <c r="D24" s="131" t="s">
        <v>73</v>
      </c>
      <c r="E24" s="131" t="s">
        <v>282</v>
      </c>
      <c r="F24" s="131" t="s">
        <v>315</v>
      </c>
      <c r="G24" s="131" t="s">
        <v>316</v>
      </c>
      <c r="H24" s="132" t="n">
        <v>360</v>
      </c>
      <c r="I24" s="133" t="n">
        <v>5.358</v>
      </c>
      <c r="J24" s="133" t="n">
        <v>0.015</v>
      </c>
      <c r="K24" s="133" t="n">
        <v>0.258</v>
      </c>
      <c r="L24" s="132" t="n">
        <v>123.2</v>
      </c>
      <c r="M24" s="134" t="n">
        <v>11</v>
      </c>
      <c r="N24" s="132" t="n">
        <v>52.8</v>
      </c>
      <c r="O24" s="133" t="n">
        <v>0.574</v>
      </c>
      <c r="P24" s="133" t="n">
        <v>0.011</v>
      </c>
      <c r="Q24" s="133" t="n">
        <v>0.231</v>
      </c>
      <c r="R24" s="132" t="n">
        <v>5.1</v>
      </c>
      <c r="S24" s="134" t="n">
        <v>899</v>
      </c>
      <c r="T24" s="132" t="n">
        <v>18.8</v>
      </c>
      <c r="U24" s="132" t="n">
        <v>48.1</v>
      </c>
      <c r="V24" s="134" t="n">
        <v>23</v>
      </c>
      <c r="W24" s="132" t="n">
        <v>36.2</v>
      </c>
      <c r="X24" s="133" t="n">
        <v>0.84</v>
      </c>
      <c r="Y24" s="133" t="n">
        <v>0.023</v>
      </c>
      <c r="Z24" s="133" t="n">
        <v>0.258</v>
      </c>
      <c r="AA24" s="132" t="n">
        <v>18.3</v>
      </c>
      <c r="AB24" s="134" t="n">
        <v>1903</v>
      </c>
      <c r="AC24" s="132" t="n">
        <v>5.1</v>
      </c>
      <c r="AD24" s="132" t="n">
        <v>27.4</v>
      </c>
      <c r="AE24" s="134" t="n">
        <v>4</v>
      </c>
      <c r="AF24" s="132" t="n">
        <v>28.2</v>
      </c>
      <c r="AG24" s="133" t="n">
        <v>0.504</v>
      </c>
      <c r="AH24" s="133" t="n">
        <v>0.018</v>
      </c>
      <c r="AI24" s="132" t="n">
        <v>11</v>
      </c>
      <c r="AJ24" s="134" t="n">
        <v>4</v>
      </c>
      <c r="AK24" s="132" t="n">
        <v>331.8</v>
      </c>
      <c r="AL24" s="133" t="n">
        <v>4.854</v>
      </c>
      <c r="AM24" s="133" t="n">
        <v>0.015</v>
      </c>
      <c r="AN24" s="132" t="n">
        <v>112.3</v>
      </c>
      <c r="AO24" s="26"/>
      <c r="AP24" s="26"/>
      <c r="AQ24" s="26"/>
      <c r="AR24" s="26"/>
      <c r="AS24" s="135" t="e">
        <f aca="false">[1]!table2[[#this row],[object_a_._head_time]]+[1]!table2[[#this row],[object_b_._head_time]]</f>
        <v>#N/A</v>
      </c>
      <c r="AT24" s="135" t="e">
        <f aca="false">[1]!table2[[#this row],[object_a_._head_time]]+[1]!table2[[#this row],[object_b_._head_time]]</f>
        <v>#N/A</v>
      </c>
      <c r="AU24" s="135" t="e">
        <f aca="false">[1]!table2[[#this row],[object_b_._head_time]]-[1]!table2[[#this row],[object_a_._head_time]]</f>
        <v>#N/A</v>
      </c>
      <c r="AV24" s="136" t="e">
        <f aca="false">[1]!table2[[#this row],[d1: absolute discrimination measure (D1 = B2- A2)]]/[1]!table2[[#this row],[e2: total exploration time in second trial E2 ( E2 = A2 + B2)]]</f>
        <v>#N/A</v>
      </c>
      <c r="AW24" s="135" t="e">
        <f aca="false">(W24/AT24)*100</f>
        <v>#N/A</v>
      </c>
      <c r="AX24" s="135" t="e">
        <f aca="false">([1]!table2[[#this row],[object_a_._head_time]]/([1]!table2[[#this row],[object_a_._head_time]]+[1]!table2[[#this row],[object_b_._head_time]]))*100</f>
        <v>#N/A</v>
      </c>
      <c r="AY24" s="30" t="s">
        <v>79</v>
      </c>
      <c r="AZ24" s="30" t="s">
        <v>131</v>
      </c>
      <c r="BA24" s="30" t="s">
        <v>93</v>
      </c>
      <c r="BB24" s="31" t="n">
        <v>140</v>
      </c>
      <c r="BC24" s="32" t="n">
        <v>4.66666666666667</v>
      </c>
      <c r="BD24" s="33" t="s">
        <v>67</v>
      </c>
      <c r="BE24" s="30" t="n">
        <v>8</v>
      </c>
      <c r="BF24" s="34"/>
    </row>
    <row r="25" customFormat="false" ht="12" hidden="false" customHeight="true" outlineLevel="0" collapsed="false">
      <c r="A25" s="130" t="n">
        <v>58</v>
      </c>
      <c r="B25" s="131" t="s">
        <v>139</v>
      </c>
      <c r="C25" s="131" t="s">
        <v>59</v>
      </c>
      <c r="D25" s="131" t="s">
        <v>77</v>
      </c>
      <c r="E25" s="131" t="s">
        <v>282</v>
      </c>
      <c r="F25" s="131" t="s">
        <v>315</v>
      </c>
      <c r="G25" s="131" t="s">
        <v>317</v>
      </c>
      <c r="H25" s="132" t="n">
        <v>360</v>
      </c>
      <c r="I25" s="133" t="n">
        <v>7.924</v>
      </c>
      <c r="J25" s="133" t="n">
        <v>0.022</v>
      </c>
      <c r="K25" s="133" t="n">
        <v>0.218</v>
      </c>
      <c r="L25" s="132" t="n">
        <v>89.5</v>
      </c>
      <c r="M25" s="134" t="n">
        <v>12</v>
      </c>
      <c r="N25" s="132" t="n">
        <v>19.2</v>
      </c>
      <c r="O25" s="133" t="n">
        <v>0.836</v>
      </c>
      <c r="P25" s="133" t="n">
        <v>0.044</v>
      </c>
      <c r="Q25" s="133" t="n">
        <v>0.202</v>
      </c>
      <c r="R25" s="132" t="n">
        <v>4.7</v>
      </c>
      <c r="S25" s="134" t="n">
        <v>1215</v>
      </c>
      <c r="T25" s="132" t="n">
        <v>0</v>
      </c>
      <c r="U25" s="132" t="n">
        <v>8.7</v>
      </c>
      <c r="V25" s="134" t="n">
        <v>29</v>
      </c>
      <c r="W25" s="132" t="n">
        <v>46.7</v>
      </c>
      <c r="X25" s="133" t="n">
        <v>1.048</v>
      </c>
      <c r="Y25" s="133" t="n">
        <v>0.022</v>
      </c>
      <c r="Z25" s="133" t="n">
        <v>0.134</v>
      </c>
      <c r="AA25" s="132" t="n">
        <v>22.6</v>
      </c>
      <c r="AB25" s="134" t="n">
        <v>2639</v>
      </c>
      <c r="AC25" s="132" t="n">
        <v>6.4</v>
      </c>
      <c r="AD25" s="132" t="n">
        <v>34.9</v>
      </c>
      <c r="AE25" s="134" t="n">
        <v>9</v>
      </c>
      <c r="AF25" s="132" t="n">
        <v>24</v>
      </c>
      <c r="AG25" s="133" t="n">
        <v>1.419</v>
      </c>
      <c r="AH25" s="133" t="n">
        <v>0.059</v>
      </c>
      <c r="AI25" s="132" t="n">
        <v>0</v>
      </c>
      <c r="AJ25" s="134" t="n">
        <v>9</v>
      </c>
      <c r="AK25" s="132" t="n">
        <v>336</v>
      </c>
      <c r="AL25" s="133" t="n">
        <v>6.504</v>
      </c>
      <c r="AM25" s="133" t="n">
        <v>0.019</v>
      </c>
      <c r="AN25" s="132" t="n">
        <v>89.5</v>
      </c>
      <c r="AO25" s="26"/>
      <c r="AP25" s="26"/>
      <c r="AQ25" s="26"/>
      <c r="AR25" s="26"/>
      <c r="AS25" s="135" t="e">
        <f aca="false">[1]!table2[[#this row],[object_a_._head_time]]+[1]!table2[[#this row],[object_b_._head_time]]</f>
        <v>#N/A</v>
      </c>
      <c r="AT25" s="135" t="e">
        <f aca="false">[1]!table2[[#this row],[object_a_._head_time]]+[1]!table2[[#this row],[object_b_._head_time]]</f>
        <v>#N/A</v>
      </c>
      <c r="AU25" s="135" t="e">
        <f aca="false">[1]!table2[[#this row],[object_b_._head_time]]-[1]!table2[[#this row],[object_a_._head_time]]</f>
        <v>#N/A</v>
      </c>
      <c r="AV25" s="136" t="e">
        <f aca="false">[1]!table2[[#this row],[d1: absolute discrimination measure (D1 = B2- A2)]]/[1]!table2[[#this row],[e2: total exploration time in second trial E2 ( E2 = A2 + B2)]]</f>
        <v>#N/A</v>
      </c>
      <c r="AW25" s="135" t="e">
        <f aca="false">(W25/AT25)*100</f>
        <v>#N/A</v>
      </c>
      <c r="AX25" s="135" t="e">
        <f aca="false">([1]!table2[[#this row],[object_a_._head_time]]/([1]!table2[[#this row],[object_a_._head_time]]+[1]!table2[[#this row],[object_b_._head_time]]))*100</f>
        <v>#N/A</v>
      </c>
      <c r="AY25" s="30" t="s">
        <v>79</v>
      </c>
      <c r="AZ25" s="30" t="s">
        <v>119</v>
      </c>
      <c r="BA25" s="30" t="s">
        <v>66</v>
      </c>
      <c r="BB25" s="31" t="n">
        <v>140</v>
      </c>
      <c r="BC25" s="32" t="n">
        <v>4.66666666666667</v>
      </c>
      <c r="BD25" s="33" t="s">
        <v>80</v>
      </c>
      <c r="BE25" s="30" t="n">
        <v>5</v>
      </c>
      <c r="BF25" s="34"/>
    </row>
    <row r="26" customFormat="false" ht="12" hidden="false" customHeight="true" outlineLevel="0" collapsed="false">
      <c r="A26" s="130" t="n">
        <v>60</v>
      </c>
      <c r="B26" s="131" t="s">
        <v>142</v>
      </c>
      <c r="C26" s="131" t="s">
        <v>59</v>
      </c>
      <c r="D26" s="131" t="s">
        <v>60</v>
      </c>
      <c r="E26" s="131" t="s">
        <v>282</v>
      </c>
      <c r="F26" s="131" t="s">
        <v>318</v>
      </c>
      <c r="G26" s="131" t="s">
        <v>319</v>
      </c>
      <c r="H26" s="132" t="n">
        <v>360</v>
      </c>
      <c r="I26" s="133" t="n">
        <v>9.096</v>
      </c>
      <c r="J26" s="133" t="n">
        <v>0.025</v>
      </c>
      <c r="K26" s="133" t="n">
        <v>0.276</v>
      </c>
      <c r="L26" s="132" t="n">
        <v>146.6</v>
      </c>
      <c r="M26" s="134" t="n">
        <v>18</v>
      </c>
      <c r="N26" s="132" t="n">
        <v>16.5</v>
      </c>
      <c r="O26" s="133" t="n">
        <v>0.984</v>
      </c>
      <c r="P26" s="133" t="n">
        <v>0.06</v>
      </c>
      <c r="Q26" s="133" t="n">
        <v>0.203</v>
      </c>
      <c r="R26" s="132" t="n">
        <v>2.3</v>
      </c>
      <c r="S26" s="134" t="n">
        <v>1311</v>
      </c>
      <c r="T26" s="132" t="n">
        <v>0</v>
      </c>
      <c r="U26" s="132" t="n">
        <v>3.6</v>
      </c>
      <c r="V26" s="134" t="n">
        <v>30</v>
      </c>
      <c r="W26" s="132" t="n">
        <v>30.8</v>
      </c>
      <c r="X26" s="133" t="n">
        <v>1.298</v>
      </c>
      <c r="Y26" s="133" t="n">
        <v>0.042</v>
      </c>
      <c r="Z26" s="133" t="n">
        <v>0.236</v>
      </c>
      <c r="AA26" s="132" t="n">
        <v>9.2</v>
      </c>
      <c r="AB26" s="134" t="n">
        <v>2833</v>
      </c>
      <c r="AC26" s="132" t="n">
        <v>2.1</v>
      </c>
      <c r="AD26" s="132" t="n">
        <v>16.1</v>
      </c>
      <c r="AE26" s="134" t="n">
        <v>8</v>
      </c>
      <c r="AF26" s="132" t="n">
        <v>11.9</v>
      </c>
      <c r="AG26" s="133" t="n">
        <v>1.515</v>
      </c>
      <c r="AH26" s="133" t="n">
        <v>0.127</v>
      </c>
      <c r="AI26" s="132" t="n">
        <v>0</v>
      </c>
      <c r="AJ26" s="134" t="n">
        <v>9</v>
      </c>
      <c r="AK26" s="132" t="n">
        <v>348.1</v>
      </c>
      <c r="AL26" s="133" t="n">
        <v>7.581</v>
      </c>
      <c r="AM26" s="133" t="n">
        <v>0.022</v>
      </c>
      <c r="AN26" s="132" t="n">
        <v>146.6</v>
      </c>
      <c r="AO26" s="26"/>
      <c r="AP26" s="26"/>
      <c r="AQ26" s="26"/>
      <c r="AR26" s="26"/>
      <c r="AS26" s="135" t="e">
        <f aca="false">[1]!table2[[#this row],[object_a_._head_time]]+[1]!table2[[#this row],[object_b_._head_time]]</f>
        <v>#N/A</v>
      </c>
      <c r="AT26" s="135" t="e">
        <f aca="false">[1]!table2[[#this row],[object_a_._head_time]]+[1]!table2[[#this row],[object_b_._head_time]]</f>
        <v>#N/A</v>
      </c>
      <c r="AU26" s="135" t="e">
        <f aca="false">[1]!table2[[#this row],[object_b_._head_time]]-[1]!table2[[#this row],[object_a_._head_time]]</f>
        <v>#N/A</v>
      </c>
      <c r="AV26" s="136" t="e">
        <f aca="false">[1]!table2[[#this row],[d1: absolute discrimination measure (D1 = B2- A2)]]/[1]!table2[[#this row],[e2: total exploration time in second trial E2 ( E2 = A2 + B2)]]</f>
        <v>#N/A</v>
      </c>
      <c r="AW26" s="135" t="e">
        <f aca="false">(W26/AT26)*100</f>
        <v>#N/A</v>
      </c>
      <c r="AX26" s="135" t="e">
        <f aca="false">([1]!table2[[#this row],[object_a_._head_time]]/([1]!table2[[#this row],[object_a_._head_time]]+[1]!table2[[#this row],[object_b_._head_time]]))*100</f>
        <v>#N/A</v>
      </c>
      <c r="AY26" s="30" t="s">
        <v>79</v>
      </c>
      <c r="AZ26" s="30" t="s">
        <v>131</v>
      </c>
      <c r="BA26" s="30" t="s">
        <v>93</v>
      </c>
      <c r="BB26" s="31" t="n">
        <v>140</v>
      </c>
      <c r="BC26" s="32" t="n">
        <v>4.66666666666667</v>
      </c>
      <c r="BD26" s="33" t="s">
        <v>80</v>
      </c>
      <c r="BE26" s="30" t="n">
        <v>7</v>
      </c>
      <c r="BF26" s="34"/>
    </row>
    <row r="27" customFormat="false" ht="12" hidden="false" customHeight="true" outlineLevel="0" collapsed="false">
      <c r="A27" s="130" t="n">
        <v>59</v>
      </c>
      <c r="B27" s="131" t="s">
        <v>144</v>
      </c>
      <c r="C27" s="131" t="s">
        <v>59</v>
      </c>
      <c r="D27" s="131" t="s">
        <v>70</v>
      </c>
      <c r="E27" s="131" t="s">
        <v>282</v>
      </c>
      <c r="F27" s="131" t="s">
        <v>318</v>
      </c>
      <c r="G27" s="131" t="s">
        <v>320</v>
      </c>
      <c r="H27" s="132" t="n">
        <v>360</v>
      </c>
      <c r="I27" s="133" t="n">
        <v>17.901</v>
      </c>
      <c r="J27" s="133" t="n">
        <v>0.05</v>
      </c>
      <c r="K27" s="133" t="n">
        <v>0.281</v>
      </c>
      <c r="L27" s="132" t="n">
        <v>39.7</v>
      </c>
      <c r="M27" s="134" t="n">
        <v>24</v>
      </c>
      <c r="N27" s="132" t="n">
        <v>54.9</v>
      </c>
      <c r="O27" s="133" t="n">
        <v>2.36</v>
      </c>
      <c r="P27" s="133" t="n">
        <v>0.043</v>
      </c>
      <c r="Q27" s="133" t="n">
        <v>0.247</v>
      </c>
      <c r="R27" s="132" t="n">
        <v>30.5</v>
      </c>
      <c r="S27" s="134" t="n">
        <v>3430</v>
      </c>
      <c r="T27" s="132" t="n">
        <v>12.9</v>
      </c>
      <c r="U27" s="132" t="n">
        <v>31.9</v>
      </c>
      <c r="V27" s="134" t="n">
        <v>38</v>
      </c>
      <c r="W27" s="132" t="n">
        <v>62.8</v>
      </c>
      <c r="X27" s="133" t="n">
        <v>3.359</v>
      </c>
      <c r="Y27" s="133" t="n">
        <v>0.054</v>
      </c>
      <c r="Z27" s="133" t="n">
        <v>0.281</v>
      </c>
      <c r="AA27" s="132" t="n">
        <v>14.9</v>
      </c>
      <c r="AB27" s="134" t="n">
        <v>5141</v>
      </c>
      <c r="AC27" s="132" t="n">
        <v>1.8</v>
      </c>
      <c r="AD27" s="132" t="n">
        <v>9</v>
      </c>
      <c r="AE27" s="134" t="n">
        <v>25</v>
      </c>
      <c r="AF27" s="132" t="n">
        <v>30.9</v>
      </c>
      <c r="AG27" s="133" t="n">
        <v>4.269</v>
      </c>
      <c r="AH27" s="133" t="n">
        <v>0.138</v>
      </c>
      <c r="AI27" s="132" t="n">
        <v>0</v>
      </c>
      <c r="AJ27" s="134" t="n">
        <v>26</v>
      </c>
      <c r="AK27" s="132" t="n">
        <v>329.1</v>
      </c>
      <c r="AL27" s="133" t="n">
        <v>13.632</v>
      </c>
      <c r="AM27" s="133" t="n">
        <v>0.041</v>
      </c>
      <c r="AN27" s="132" t="n">
        <v>39.7</v>
      </c>
      <c r="AO27" s="26"/>
      <c r="AP27" s="26"/>
      <c r="AQ27" s="26"/>
      <c r="AR27" s="26"/>
      <c r="AS27" s="135" t="e">
        <f aca="false">[1]!table2[[#this row],[object_a_._head_time]]+[1]!table2[[#this row],[object_b_._head_time]]</f>
        <v>#N/A</v>
      </c>
      <c r="AT27" s="135" t="e">
        <f aca="false">[1]!table2[[#this row],[object_a_._head_time]]+[1]!table2[[#this row],[object_b_._head_time]]</f>
        <v>#N/A</v>
      </c>
      <c r="AU27" s="135" t="e">
        <f aca="false">[1]!table2[[#this row],[object_b_._head_time]]-[1]!table2[[#this row],[object_a_._head_time]]</f>
        <v>#N/A</v>
      </c>
      <c r="AV27" s="136" t="e">
        <f aca="false">[1]!table2[[#this row],[d1: absolute discrimination measure (D1 = B2- A2)]]/[1]!table2[[#this row],[e2: total exploration time in second trial E2 ( E2 = A2 + B2)]]</f>
        <v>#N/A</v>
      </c>
      <c r="AW27" s="135" t="e">
        <f aca="false">(W27/AT27)*100</f>
        <v>#N/A</v>
      </c>
      <c r="AX27" s="135" t="e">
        <f aca="false">([1]!table2[[#this row],[object_a_._head_time]]/([1]!table2[[#this row],[object_a_._head_time]]+[1]!table2[[#this row],[object_b_._head_time]]))*100</f>
        <v>#N/A</v>
      </c>
      <c r="AY27" s="30" t="s">
        <v>79</v>
      </c>
      <c r="AZ27" s="30" t="s">
        <v>105</v>
      </c>
      <c r="BA27" s="30" t="s">
        <v>66</v>
      </c>
      <c r="BB27" s="31" t="n">
        <v>140</v>
      </c>
      <c r="BC27" s="32" t="n">
        <v>4.66666666666667</v>
      </c>
      <c r="BD27" s="33" t="s">
        <v>67</v>
      </c>
      <c r="BE27" s="30" t="n">
        <v>6</v>
      </c>
      <c r="BF27" s="34"/>
    </row>
    <row r="28" customFormat="false" ht="12" hidden="false" customHeight="true" outlineLevel="0" collapsed="false">
      <c r="A28" s="130" t="n">
        <v>61</v>
      </c>
      <c r="B28" s="131" t="s">
        <v>149</v>
      </c>
      <c r="C28" s="131" t="s">
        <v>59</v>
      </c>
      <c r="D28" s="131" t="s">
        <v>73</v>
      </c>
      <c r="E28" s="131" t="s">
        <v>282</v>
      </c>
      <c r="F28" s="131" t="s">
        <v>321</v>
      </c>
      <c r="G28" s="131" t="s">
        <v>322</v>
      </c>
      <c r="H28" s="132" t="n">
        <v>360</v>
      </c>
      <c r="I28" s="133" t="n">
        <v>9.345</v>
      </c>
      <c r="J28" s="133" t="n">
        <v>0.026</v>
      </c>
      <c r="K28" s="133" t="n">
        <v>0.256</v>
      </c>
      <c r="L28" s="132" t="n">
        <v>49.9</v>
      </c>
      <c r="M28" s="134" t="n">
        <v>36</v>
      </c>
      <c r="N28" s="132" t="n">
        <v>86.3</v>
      </c>
      <c r="O28" s="133" t="n">
        <v>1.421</v>
      </c>
      <c r="P28" s="133" t="n">
        <v>0.016</v>
      </c>
      <c r="Q28" s="133" t="n">
        <v>0.227</v>
      </c>
      <c r="R28" s="132" t="n">
        <v>33.5</v>
      </c>
      <c r="S28" s="134" t="n">
        <v>3805</v>
      </c>
      <c r="T28" s="132" t="n">
        <v>17.3</v>
      </c>
      <c r="U28" s="132" t="n">
        <v>47.4</v>
      </c>
      <c r="V28" s="134" t="n">
        <v>40</v>
      </c>
      <c r="W28" s="132" t="n">
        <v>44.9</v>
      </c>
      <c r="X28" s="133" t="n">
        <v>1.629</v>
      </c>
      <c r="Y28" s="133" t="n">
        <v>0.036</v>
      </c>
      <c r="Z28" s="133" t="n">
        <v>0.225</v>
      </c>
      <c r="AA28" s="132" t="n">
        <v>12</v>
      </c>
      <c r="AB28" s="134" t="n">
        <v>3348</v>
      </c>
      <c r="AC28" s="132" t="n">
        <v>4.1</v>
      </c>
      <c r="AD28" s="132" t="n">
        <v>20.9</v>
      </c>
      <c r="AE28" s="134" t="n">
        <v>16</v>
      </c>
      <c r="AF28" s="132" t="n">
        <v>54.9</v>
      </c>
      <c r="AG28" s="133" t="n">
        <v>3.008</v>
      </c>
      <c r="AH28" s="133" t="n">
        <v>0.055</v>
      </c>
      <c r="AI28" s="132" t="n">
        <v>2.7</v>
      </c>
      <c r="AJ28" s="134" t="n">
        <v>16</v>
      </c>
      <c r="AK28" s="132" t="n">
        <v>305.1</v>
      </c>
      <c r="AL28" s="133" t="n">
        <v>6.336</v>
      </c>
      <c r="AM28" s="133" t="n">
        <v>0.021</v>
      </c>
      <c r="AN28" s="132" t="n">
        <v>47.2</v>
      </c>
      <c r="AO28" s="26"/>
      <c r="AP28" s="26"/>
      <c r="AQ28" s="26"/>
      <c r="AR28" s="26"/>
      <c r="AS28" s="135" t="e">
        <f aca="false">[1]!table2[[#this row],[object_a_._head_time]]+[1]!table2[[#this row],[object_b_._head_time]]</f>
        <v>#N/A</v>
      </c>
      <c r="AT28" s="135" t="e">
        <f aca="false">[1]!table2[[#this row],[object_a_._head_time]]+[1]!table2[[#this row],[object_b_._head_time]]</f>
        <v>#N/A</v>
      </c>
      <c r="AU28" s="135" t="e">
        <f aca="false">[1]!table2[[#this row],[object_b_._head_time]]-[1]!table2[[#this row],[object_a_._head_time]]</f>
        <v>#N/A</v>
      </c>
      <c r="AV28" s="136" t="e">
        <f aca="false">[1]!table2[[#this row],[d1: absolute discrimination measure (D1 = B2- A2)]]/[1]!table2[[#this row],[e2: total exploration time in second trial E2 ( E2 = A2 + B2)]]</f>
        <v>#N/A</v>
      </c>
      <c r="AW28" s="135" t="e">
        <f aca="false">(W28/AT28)*100</f>
        <v>#N/A</v>
      </c>
      <c r="AX28" s="135" t="e">
        <f aca="false">([1]!table2[[#this row],[object_a_._head_time]]/([1]!table2[[#this row],[object_a_._head_time]]+[1]!table2[[#this row],[object_b_._head_time]]))*100</f>
        <v>#N/A</v>
      </c>
      <c r="AY28" s="30" t="s">
        <v>64</v>
      </c>
      <c r="AZ28" s="30" t="s">
        <v>123</v>
      </c>
      <c r="BA28" s="30" t="s">
        <v>66</v>
      </c>
      <c r="BB28" s="31" t="n">
        <v>141</v>
      </c>
      <c r="BC28" s="32" t="n">
        <v>4.7</v>
      </c>
      <c r="BD28" s="33" t="s">
        <v>80</v>
      </c>
      <c r="BE28" s="30" t="n">
        <v>1</v>
      </c>
      <c r="BF28" s="34" t="s">
        <v>94</v>
      </c>
    </row>
    <row r="29" customFormat="false" ht="12" hidden="false" customHeight="true" outlineLevel="0" collapsed="false">
      <c r="A29" s="130" t="n">
        <v>62</v>
      </c>
      <c r="B29" s="131" t="s">
        <v>154</v>
      </c>
      <c r="C29" s="131" t="s">
        <v>59</v>
      </c>
      <c r="D29" s="131" t="s">
        <v>77</v>
      </c>
      <c r="E29" s="131" t="s">
        <v>282</v>
      </c>
      <c r="F29" s="131" t="s">
        <v>321</v>
      </c>
      <c r="G29" s="131" t="s">
        <v>323</v>
      </c>
      <c r="H29" s="132" t="n">
        <v>360</v>
      </c>
      <c r="I29" s="133" t="n">
        <v>6.36</v>
      </c>
      <c r="J29" s="133" t="n">
        <v>0.018</v>
      </c>
      <c r="K29" s="133" t="n">
        <v>0.254</v>
      </c>
      <c r="L29" s="132" t="n">
        <v>185.3</v>
      </c>
      <c r="M29" s="134" t="n">
        <v>45</v>
      </c>
      <c r="N29" s="132" t="n">
        <v>55.9</v>
      </c>
      <c r="O29" s="133" t="n">
        <v>0.746</v>
      </c>
      <c r="P29" s="133" t="n">
        <v>0.013</v>
      </c>
      <c r="Q29" s="133" t="n">
        <v>0.254</v>
      </c>
      <c r="R29" s="132" t="n">
        <v>35.9</v>
      </c>
      <c r="S29" s="134" t="n">
        <v>2620</v>
      </c>
      <c r="T29" s="132" t="n">
        <v>28.8</v>
      </c>
      <c r="U29" s="132" t="n">
        <v>48.8</v>
      </c>
      <c r="V29" s="134" t="n">
        <v>21</v>
      </c>
      <c r="W29" s="132" t="n">
        <v>18.3</v>
      </c>
      <c r="X29" s="133" t="n">
        <v>0.332</v>
      </c>
      <c r="Y29" s="133" t="n">
        <v>0.018</v>
      </c>
      <c r="Z29" s="133" t="n">
        <v>0.187</v>
      </c>
      <c r="AA29" s="132" t="n">
        <v>12.4</v>
      </c>
      <c r="AB29" s="134" t="n">
        <v>875</v>
      </c>
      <c r="AC29" s="132" t="n">
        <v>5.6</v>
      </c>
      <c r="AD29" s="132" t="n">
        <v>13</v>
      </c>
      <c r="AE29" s="134" t="n">
        <v>6</v>
      </c>
      <c r="AF29" s="132" t="n">
        <v>8.8</v>
      </c>
      <c r="AG29" s="133" t="n">
        <v>0.642</v>
      </c>
      <c r="AH29" s="133" t="n">
        <v>0.073</v>
      </c>
      <c r="AI29" s="132" t="n">
        <v>0</v>
      </c>
      <c r="AJ29" s="134" t="n">
        <v>6</v>
      </c>
      <c r="AK29" s="132" t="n">
        <v>351.2</v>
      </c>
      <c r="AL29" s="133" t="n">
        <v>5.718</v>
      </c>
      <c r="AM29" s="133" t="n">
        <v>0.016</v>
      </c>
      <c r="AN29" s="132" t="n">
        <v>185.3</v>
      </c>
      <c r="AO29" s="26"/>
      <c r="AP29" s="26"/>
      <c r="AQ29" s="26"/>
      <c r="AR29" s="26"/>
      <c r="AS29" s="135" t="e">
        <f aca="false">[1]!table2[[#this row],[object_a_._head_time]]+[1]!table2[[#this row],[object_b_._head_time]]</f>
        <v>#N/A</v>
      </c>
      <c r="AT29" s="135" t="e">
        <f aca="false">[1]!table2[[#this row],[object_a_._head_time]]+[1]!table2[[#this row],[object_b_._head_time]]</f>
        <v>#N/A</v>
      </c>
      <c r="AU29" s="135" t="e">
        <f aca="false">[1]!table2[[#this row],[object_b_._head_time]]-[1]!table2[[#this row],[object_a_._head_time]]</f>
        <v>#N/A</v>
      </c>
      <c r="AV29" s="136" t="e">
        <f aca="false">[1]!table2[[#this row],[d1: absolute discrimination measure (D1 = B2- A2)]]/[1]!table2[[#this row],[e2: total exploration time in second trial E2 ( E2 = A2 + B2)]]</f>
        <v>#N/A</v>
      </c>
      <c r="AW29" s="135" t="e">
        <f aca="false">(W29/AT29)*100</f>
        <v>#N/A</v>
      </c>
      <c r="AX29" s="135" t="e">
        <f aca="false">([1]!table2[[#this row],[object_a_._head_time]]/([1]!table2[[#this row],[object_a_._head_time]]+[1]!table2[[#this row],[object_b_._head_time]]))*100</f>
        <v>#N/A</v>
      </c>
      <c r="AY29" s="30" t="s">
        <v>79</v>
      </c>
      <c r="AZ29" s="30" t="s">
        <v>123</v>
      </c>
      <c r="BA29" s="30" t="s">
        <v>93</v>
      </c>
      <c r="BB29" s="31" t="n">
        <v>121</v>
      </c>
      <c r="BC29" s="32" t="n">
        <v>4.03333333333333</v>
      </c>
      <c r="BD29" s="33" t="s">
        <v>80</v>
      </c>
      <c r="BE29" s="30" t="n">
        <v>3</v>
      </c>
      <c r="BF29" s="34"/>
    </row>
    <row r="30" customFormat="false" ht="12" hidden="false" customHeight="true" outlineLevel="0" collapsed="false">
      <c r="A30" s="130" t="n">
        <v>64</v>
      </c>
      <c r="B30" s="131" t="s">
        <v>157</v>
      </c>
      <c r="C30" s="131" t="s">
        <v>59</v>
      </c>
      <c r="D30" s="131" t="s">
        <v>60</v>
      </c>
      <c r="E30" s="131" t="s">
        <v>282</v>
      </c>
      <c r="F30" s="131" t="s">
        <v>324</v>
      </c>
      <c r="G30" s="131" t="s">
        <v>325</v>
      </c>
      <c r="H30" s="132" t="n">
        <v>360</v>
      </c>
      <c r="I30" s="133" t="n">
        <v>8.486</v>
      </c>
      <c r="J30" s="133" t="n">
        <v>0.024</v>
      </c>
      <c r="K30" s="133" t="n">
        <v>0.218</v>
      </c>
      <c r="L30" s="132" t="n">
        <v>92.3</v>
      </c>
      <c r="M30" s="134" t="n">
        <v>8</v>
      </c>
      <c r="N30" s="132" t="n">
        <v>14.1</v>
      </c>
      <c r="O30" s="133" t="n">
        <v>0.665</v>
      </c>
      <c r="P30" s="133" t="n">
        <v>0.047</v>
      </c>
      <c r="Q30" s="133" t="n">
        <v>0.178</v>
      </c>
      <c r="R30" s="132" t="n">
        <v>5.1</v>
      </c>
      <c r="S30" s="134" t="n">
        <v>1019</v>
      </c>
      <c r="T30" s="132" t="n">
        <v>0</v>
      </c>
      <c r="U30" s="132" t="n">
        <v>3.4</v>
      </c>
      <c r="V30" s="134" t="n">
        <v>41</v>
      </c>
      <c r="W30" s="132" t="n">
        <v>154</v>
      </c>
      <c r="X30" s="133" t="n">
        <v>1.903</v>
      </c>
      <c r="Y30" s="133" t="n">
        <v>0.012</v>
      </c>
      <c r="Z30" s="133" t="n">
        <v>0.176</v>
      </c>
      <c r="AA30" s="132" t="n">
        <v>69.2</v>
      </c>
      <c r="AB30" s="134" t="n">
        <v>6169</v>
      </c>
      <c r="AC30" s="132" t="n">
        <v>69</v>
      </c>
      <c r="AD30" s="132" t="n">
        <v>108.4</v>
      </c>
      <c r="AE30" s="134" t="n">
        <v>16</v>
      </c>
      <c r="AF30" s="132" t="n">
        <v>29.5</v>
      </c>
      <c r="AG30" s="133" t="n">
        <v>1.779</v>
      </c>
      <c r="AH30" s="133" t="n">
        <v>0.06</v>
      </c>
      <c r="AI30" s="132" t="n">
        <v>0</v>
      </c>
      <c r="AJ30" s="134" t="n">
        <v>15</v>
      </c>
      <c r="AK30" s="132" t="n">
        <v>330.5</v>
      </c>
      <c r="AL30" s="133" t="n">
        <v>6.708</v>
      </c>
      <c r="AM30" s="133" t="n">
        <v>0.02</v>
      </c>
      <c r="AN30" s="132" t="n">
        <v>92.3</v>
      </c>
      <c r="AO30" s="26"/>
      <c r="AP30" s="26"/>
      <c r="AQ30" s="26"/>
      <c r="AR30" s="26"/>
      <c r="AS30" s="135" t="e">
        <f aca="false">[1]!table2[[#this row],[object_a_._head_time]]+[1]!table2[[#this row],[object_b_._head_time]]</f>
        <v>#N/A</v>
      </c>
      <c r="AT30" s="135" t="e">
        <f aca="false">[1]!table2[[#this row],[object_a_._head_time]]+[1]!table2[[#this row],[object_b_._head_time]]</f>
        <v>#N/A</v>
      </c>
      <c r="AU30" s="135" t="e">
        <f aca="false">[1]!table2[[#this row],[object_b_._head_time]]-[1]!table2[[#this row],[object_a_._head_time]]</f>
        <v>#N/A</v>
      </c>
      <c r="AV30" s="136" t="e">
        <f aca="false">[1]!table2[[#this row],[d1: absolute discrimination measure (D1 = B2- A2)]]/[1]!table2[[#this row],[e2: total exploration time in second trial E2 ( E2 = A2 + B2)]]</f>
        <v>#N/A</v>
      </c>
      <c r="AW30" s="135" t="e">
        <f aca="false">(W30/AT30)*100</f>
        <v>#N/A</v>
      </c>
      <c r="AX30" s="135" t="e">
        <f aca="false">([1]!table2[[#this row],[object_a_._head_time]]/([1]!table2[[#this row],[object_a_._head_time]]+[1]!table2[[#this row],[object_b_._head_time]]))*100</f>
        <v>#N/A</v>
      </c>
      <c r="AY30" s="30" t="s">
        <v>79</v>
      </c>
      <c r="AZ30" s="30" t="s">
        <v>123</v>
      </c>
      <c r="BA30" s="30" t="s">
        <v>93</v>
      </c>
      <c r="BB30" s="31" t="n">
        <v>121</v>
      </c>
      <c r="BC30" s="32" t="n">
        <v>4.03333333333333</v>
      </c>
      <c r="BD30" s="33" t="s">
        <v>67</v>
      </c>
      <c r="BE30" s="30" t="n">
        <v>4</v>
      </c>
      <c r="BF30" s="34"/>
    </row>
    <row r="31" customFormat="false" ht="12" hidden="false" customHeight="true" outlineLevel="0" collapsed="false">
      <c r="A31" s="130" t="n">
        <v>63</v>
      </c>
      <c r="B31" s="131" t="s">
        <v>159</v>
      </c>
      <c r="C31" s="131" t="s">
        <v>59</v>
      </c>
      <c r="D31" s="131" t="s">
        <v>70</v>
      </c>
      <c r="E31" s="131" t="s">
        <v>282</v>
      </c>
      <c r="F31" s="131" t="s">
        <v>155</v>
      </c>
      <c r="G31" s="131" t="s">
        <v>326</v>
      </c>
      <c r="H31" s="132" t="n">
        <v>360</v>
      </c>
      <c r="I31" s="133" t="n">
        <v>7.665</v>
      </c>
      <c r="J31" s="133" t="n">
        <v>0.021</v>
      </c>
      <c r="K31" s="133" t="n">
        <v>0.266</v>
      </c>
      <c r="L31" s="132" t="n">
        <v>151</v>
      </c>
      <c r="M31" s="134" t="n">
        <v>24</v>
      </c>
      <c r="N31" s="132" t="n">
        <v>30.7</v>
      </c>
      <c r="O31" s="133" t="n">
        <v>0.71</v>
      </c>
      <c r="P31" s="133" t="n">
        <v>0.023</v>
      </c>
      <c r="Q31" s="133" t="n">
        <v>0.184</v>
      </c>
      <c r="R31" s="132" t="n">
        <v>14</v>
      </c>
      <c r="S31" s="134" t="n">
        <v>1491</v>
      </c>
      <c r="T31" s="132" t="n">
        <v>7.2</v>
      </c>
      <c r="U31" s="132" t="n">
        <v>17.5</v>
      </c>
      <c r="V31" s="134" t="n">
        <v>21</v>
      </c>
      <c r="W31" s="132" t="n">
        <v>18.8</v>
      </c>
      <c r="X31" s="133" t="n">
        <v>0.92</v>
      </c>
      <c r="Y31" s="133" t="n">
        <v>0.049</v>
      </c>
      <c r="Z31" s="133" t="n">
        <v>0.224</v>
      </c>
      <c r="AA31" s="132" t="n">
        <v>3.3</v>
      </c>
      <c r="AB31" s="134" t="n">
        <v>1271</v>
      </c>
      <c r="AC31" s="132" t="n">
        <v>2.3</v>
      </c>
      <c r="AD31" s="132" t="n">
        <v>11.2</v>
      </c>
      <c r="AE31" s="134" t="n">
        <v>9</v>
      </c>
      <c r="AF31" s="132" t="n">
        <v>15.9</v>
      </c>
      <c r="AG31" s="133" t="n">
        <v>1.452</v>
      </c>
      <c r="AH31" s="133" t="n">
        <v>0.091</v>
      </c>
      <c r="AI31" s="132" t="n">
        <v>0</v>
      </c>
      <c r="AJ31" s="134" t="n">
        <v>9</v>
      </c>
      <c r="AK31" s="132" t="n">
        <v>344.1</v>
      </c>
      <c r="AL31" s="133" t="n">
        <v>6.213</v>
      </c>
      <c r="AM31" s="133" t="n">
        <v>0.018</v>
      </c>
      <c r="AN31" s="132" t="n">
        <v>151</v>
      </c>
      <c r="AO31" s="26"/>
      <c r="AP31" s="26"/>
      <c r="AQ31" s="26"/>
      <c r="AR31" s="26"/>
      <c r="AS31" s="135" t="e">
        <f aca="false">[1]!table2[[#this row],[object_a_._head_time]]+[1]!table2[[#this row],[object_b_._head_time]]</f>
        <v>#N/A</v>
      </c>
      <c r="AT31" s="135" t="e">
        <f aca="false">[1]!table2[[#this row],[object_a_._head_time]]+[1]!table2[[#this row],[object_b_._head_time]]</f>
        <v>#N/A</v>
      </c>
      <c r="AU31" s="135" t="e">
        <f aca="false">[1]!table2[[#this row],[object_b_._head_time]]-[1]!table2[[#this row],[object_a_._head_time]]</f>
        <v>#N/A</v>
      </c>
      <c r="AV31" s="136" t="e">
        <f aca="false">[1]!table2[[#this row],[d1: absolute discrimination measure (D1 = B2- A2)]]/[1]!table2[[#this row],[e2: total exploration time in second trial E2 ( E2 = A2 + B2)]]</f>
        <v>#N/A</v>
      </c>
      <c r="AW31" s="135" t="e">
        <f aca="false">(W31/AT31)*100</f>
        <v>#N/A</v>
      </c>
      <c r="AX31" s="135" t="e">
        <f aca="false">([1]!table2[[#this row],[object_a_._head_time]]/([1]!table2[[#this row],[object_a_._head_time]]+[1]!table2[[#this row],[object_b_._head_time]]))*100</f>
        <v>#N/A</v>
      </c>
      <c r="AY31" s="30" t="s">
        <v>64</v>
      </c>
      <c r="AZ31" s="30" t="s">
        <v>123</v>
      </c>
      <c r="BA31" s="30" t="s">
        <v>66</v>
      </c>
      <c r="BB31" s="31" t="n">
        <v>119</v>
      </c>
      <c r="BC31" s="32" t="n">
        <v>3.96666666666667</v>
      </c>
      <c r="BD31" s="33" t="s">
        <v>67</v>
      </c>
      <c r="BE31" s="30" t="n">
        <v>2</v>
      </c>
      <c r="BF31" s="34"/>
    </row>
    <row r="32" customFormat="false" ht="12" hidden="false" customHeight="true" outlineLevel="0" collapsed="false">
      <c r="A32" s="130" t="n">
        <v>66</v>
      </c>
      <c r="B32" s="131" t="s">
        <v>162</v>
      </c>
      <c r="C32" s="131" t="s">
        <v>59</v>
      </c>
      <c r="D32" s="131" t="s">
        <v>73</v>
      </c>
      <c r="E32" s="131" t="s">
        <v>282</v>
      </c>
      <c r="F32" s="131" t="s">
        <v>324</v>
      </c>
      <c r="G32" s="131" t="s">
        <v>327</v>
      </c>
      <c r="H32" s="132" t="n">
        <v>360</v>
      </c>
      <c r="I32" s="133" t="n">
        <v>4.161</v>
      </c>
      <c r="J32" s="133" t="n">
        <v>0.012</v>
      </c>
      <c r="K32" s="133" t="n">
        <v>0.236</v>
      </c>
      <c r="L32" s="132" t="n">
        <v>175.6</v>
      </c>
      <c r="M32" s="134" t="n">
        <v>27</v>
      </c>
      <c r="N32" s="132" t="n">
        <v>197.6</v>
      </c>
      <c r="O32" s="133" t="n">
        <v>0.481</v>
      </c>
      <c r="P32" s="133" t="n">
        <v>0.002</v>
      </c>
      <c r="Q32" s="133" t="n">
        <v>0.127</v>
      </c>
      <c r="R32" s="132" t="n">
        <v>186.1</v>
      </c>
      <c r="S32" s="134" t="n">
        <v>3531</v>
      </c>
      <c r="T32" s="132" t="n">
        <v>135.5</v>
      </c>
      <c r="U32" s="132" t="n">
        <v>186.8</v>
      </c>
      <c r="V32" s="134" t="n">
        <v>4</v>
      </c>
      <c r="W32" s="132" t="n">
        <v>7</v>
      </c>
      <c r="X32" s="133" t="n">
        <v>0.365</v>
      </c>
      <c r="Y32" s="133" t="n">
        <v>0.052</v>
      </c>
      <c r="Z32" s="133" t="n">
        <v>0.185</v>
      </c>
      <c r="AA32" s="132" t="n">
        <v>3.5</v>
      </c>
      <c r="AB32" s="134" t="n">
        <v>365</v>
      </c>
      <c r="AC32" s="132" t="n">
        <v>0</v>
      </c>
      <c r="AD32" s="132" t="n">
        <v>2.7</v>
      </c>
      <c r="AE32" s="134" t="n">
        <v>2</v>
      </c>
      <c r="AF32" s="132" t="n">
        <v>5.8</v>
      </c>
      <c r="AG32" s="133" t="n">
        <v>0.348</v>
      </c>
      <c r="AH32" s="133" t="n">
        <v>0.06</v>
      </c>
      <c r="AI32" s="132" t="n">
        <v>0</v>
      </c>
      <c r="AJ32" s="134" t="n">
        <v>2</v>
      </c>
      <c r="AK32" s="132" t="n">
        <v>354.2</v>
      </c>
      <c r="AL32" s="133" t="n">
        <v>3.812</v>
      </c>
      <c r="AM32" s="133" t="n">
        <v>0.011</v>
      </c>
      <c r="AN32" s="132" t="n">
        <v>175.6</v>
      </c>
      <c r="AO32" s="26"/>
      <c r="AP32" s="26"/>
      <c r="AQ32" s="26"/>
      <c r="AR32" s="26"/>
      <c r="AS32" s="135" t="e">
        <f aca="false">[1]!table2[[#this row],[object_a_._head_time]]+[1]!table2[[#this row],[object_b_._head_time]]</f>
        <v>#N/A</v>
      </c>
      <c r="AT32" s="135" t="e">
        <f aca="false">[1]!table2[[#this row],[object_a_._head_time]]+[1]!table2[[#this row],[object_b_._head_time]]</f>
        <v>#N/A</v>
      </c>
      <c r="AU32" s="135" t="e">
        <f aca="false">[1]!table2[[#this row],[object_b_._head_time]]-[1]!table2[[#this row],[object_a_._head_time]]</f>
        <v>#N/A</v>
      </c>
      <c r="AV32" s="136" t="e">
        <f aca="false">[1]!table2[[#this row],[d1: absolute discrimination measure (D1 = B2- A2)]]/[1]!table2[[#this row],[e2: total exploration time in second trial E2 ( E2 = A2 + B2)]]</f>
        <v>#N/A</v>
      </c>
      <c r="AW32" s="135" t="e">
        <f aca="false">(W32/AT32)*100</f>
        <v>#N/A</v>
      </c>
      <c r="AX32" s="135" t="e">
        <f aca="false">([1]!table2[[#this row],[object_a_._head_time]]/([1]!table2[[#this row],[object_a_._head_time]]+[1]!table2[[#this row],[object_b_._head_time]]))*100</f>
        <v>#N/A</v>
      </c>
      <c r="AY32" s="30" t="s">
        <v>64</v>
      </c>
      <c r="AZ32" s="46" t="s">
        <v>119</v>
      </c>
      <c r="BA32" s="30" t="s">
        <v>66</v>
      </c>
      <c r="BB32" s="31" t="n">
        <v>119</v>
      </c>
      <c r="BC32" s="32" t="n">
        <v>3.96666666666667</v>
      </c>
      <c r="BD32" s="33" t="s">
        <v>67</v>
      </c>
      <c r="BE32" s="30" t="n">
        <v>6</v>
      </c>
      <c r="BF32" s="34"/>
    </row>
    <row r="33" customFormat="false" ht="12" hidden="false" customHeight="true" outlineLevel="0" collapsed="false">
      <c r="A33" s="130" t="n">
        <v>65</v>
      </c>
      <c r="B33" s="131" t="s">
        <v>164</v>
      </c>
      <c r="C33" s="131" t="s">
        <v>59</v>
      </c>
      <c r="D33" s="131" t="s">
        <v>77</v>
      </c>
      <c r="E33" s="131" t="s">
        <v>282</v>
      </c>
      <c r="F33" s="131" t="s">
        <v>324</v>
      </c>
      <c r="G33" s="131" t="s">
        <v>328</v>
      </c>
      <c r="H33" s="132" t="n">
        <v>360</v>
      </c>
      <c r="I33" s="133" t="n">
        <v>2.468</v>
      </c>
      <c r="J33" s="133" t="n">
        <v>0.007</v>
      </c>
      <c r="K33" s="133" t="n">
        <v>0.203</v>
      </c>
      <c r="L33" s="132" t="n">
        <v>258.3</v>
      </c>
      <c r="M33" s="134" t="n">
        <v>2</v>
      </c>
      <c r="N33" s="132" t="n">
        <v>1.1</v>
      </c>
      <c r="O33" s="133" t="n">
        <v>0</v>
      </c>
      <c r="P33" s="133" t="n">
        <v>0</v>
      </c>
      <c r="Q33" s="133" t="n">
        <v>0.13</v>
      </c>
      <c r="R33" s="132" t="n">
        <v>0.7</v>
      </c>
      <c r="S33" s="134" t="n">
        <v>43</v>
      </c>
      <c r="T33" s="132" t="n">
        <v>0</v>
      </c>
      <c r="U33" s="132" t="n">
        <v>1.1</v>
      </c>
      <c r="V33" s="134" t="n">
        <v>2</v>
      </c>
      <c r="W33" s="132" t="n">
        <v>0.7</v>
      </c>
      <c r="X33" s="133" t="n">
        <v>0.031</v>
      </c>
      <c r="Y33" s="133" t="n">
        <v>0.046</v>
      </c>
      <c r="Z33" s="133" t="n">
        <v>0.069</v>
      </c>
      <c r="AA33" s="132" t="n">
        <v>0</v>
      </c>
      <c r="AB33" s="134" t="n">
        <v>77</v>
      </c>
      <c r="AC33" s="132" t="n">
        <v>0</v>
      </c>
      <c r="AD33" s="132" t="n">
        <v>0.7</v>
      </c>
      <c r="AE33" s="134" t="n">
        <v>0</v>
      </c>
      <c r="AF33" s="132" t="n">
        <v>0</v>
      </c>
      <c r="AG33" s="133" t="n">
        <v>0</v>
      </c>
      <c r="AH33" s="133"/>
      <c r="AI33" s="132" t="n">
        <v>0</v>
      </c>
      <c r="AJ33" s="134" t="n">
        <v>1</v>
      </c>
      <c r="AK33" s="132" t="n">
        <v>360</v>
      </c>
      <c r="AL33" s="133" t="n">
        <v>2.468</v>
      </c>
      <c r="AM33" s="133" t="n">
        <v>0.007</v>
      </c>
      <c r="AN33" s="132" t="n">
        <v>258.3</v>
      </c>
      <c r="AO33" s="26"/>
      <c r="AP33" s="26"/>
      <c r="AQ33" s="26"/>
      <c r="AR33" s="26"/>
      <c r="AS33" s="135" t="e">
        <f aca="false">[1]!table2[[#this row],[object_a_._head_time]]+[1]!table2[[#this row],[object_b_._head_time]]</f>
        <v>#N/A</v>
      </c>
      <c r="AT33" s="135" t="e">
        <f aca="false">[1]!table2[[#this row],[object_a_._head_time]]+[1]!table2[[#this row],[object_b_._head_time]]</f>
        <v>#N/A</v>
      </c>
      <c r="AU33" s="135" t="e">
        <f aca="false">[1]!table2[[#this row],[object_b_._head_time]]-[1]!table2[[#this row],[object_a_._head_time]]</f>
        <v>#N/A</v>
      </c>
      <c r="AV33" s="136" t="e">
        <f aca="false">[1]!table2[[#this row],[d1: absolute discrimination measure (D1 = B2- A2)]]/[1]!table2[[#this row],[e2: total exploration time in second trial E2 ( E2 = A2 + B2)]]</f>
        <v>#N/A</v>
      </c>
      <c r="AW33" s="135" t="e">
        <f aca="false">(W33/AT33)*100</f>
        <v>#N/A</v>
      </c>
      <c r="AX33" s="135" t="e">
        <f aca="false">([1]!table2[[#this row],[object_a_._head_time]]/([1]!table2[[#this row],[object_a_._head_time]]+[1]!table2[[#this row],[object_b_._head_time]]))*100</f>
        <v>#N/A</v>
      </c>
      <c r="AY33" s="30" t="s">
        <v>64</v>
      </c>
      <c r="AZ33" s="30" t="s">
        <v>123</v>
      </c>
      <c r="BA33" s="30" t="s">
        <v>93</v>
      </c>
      <c r="BB33" s="31" t="n">
        <v>119</v>
      </c>
      <c r="BC33" s="32" t="n">
        <v>3.96666666666667</v>
      </c>
      <c r="BD33" s="33" t="s">
        <v>80</v>
      </c>
      <c r="BE33" s="30" t="n">
        <v>3</v>
      </c>
      <c r="BF33" s="34"/>
    </row>
    <row r="34" customFormat="false" ht="12" hidden="false" customHeight="true" outlineLevel="0" collapsed="false">
      <c r="A34" s="130" t="n">
        <v>68</v>
      </c>
      <c r="B34" s="131" t="s">
        <v>166</v>
      </c>
      <c r="C34" s="131" t="s">
        <v>59</v>
      </c>
      <c r="D34" s="131" t="s">
        <v>60</v>
      </c>
      <c r="E34" s="131" t="s">
        <v>282</v>
      </c>
      <c r="F34" s="131" t="s">
        <v>329</v>
      </c>
      <c r="G34" s="131" t="s">
        <v>330</v>
      </c>
      <c r="H34" s="132" t="n">
        <v>360</v>
      </c>
      <c r="I34" s="133" t="n">
        <v>6.261</v>
      </c>
      <c r="J34" s="133" t="n">
        <v>0.017</v>
      </c>
      <c r="K34" s="133" t="n">
        <v>0.292</v>
      </c>
      <c r="L34" s="132" t="n">
        <v>109.1</v>
      </c>
      <c r="M34" s="134" t="n">
        <v>8</v>
      </c>
      <c r="N34" s="132" t="n">
        <v>6</v>
      </c>
      <c r="O34" s="133" t="n">
        <v>0.215</v>
      </c>
      <c r="P34" s="133" t="n">
        <v>0.036</v>
      </c>
      <c r="Q34" s="133" t="n">
        <v>0.165</v>
      </c>
      <c r="R34" s="132" t="n">
        <v>3</v>
      </c>
      <c r="S34" s="134" t="n">
        <v>315</v>
      </c>
      <c r="T34" s="132" t="n">
        <v>0</v>
      </c>
      <c r="U34" s="132" t="n">
        <v>6</v>
      </c>
      <c r="V34" s="134" t="n">
        <v>6</v>
      </c>
      <c r="W34" s="132" t="n">
        <v>3.3</v>
      </c>
      <c r="X34" s="133" t="n">
        <v>0.121</v>
      </c>
      <c r="Y34" s="133" t="n">
        <v>0.036</v>
      </c>
      <c r="Z34" s="133" t="n">
        <v>0.091</v>
      </c>
      <c r="AA34" s="132" t="n">
        <v>1.6</v>
      </c>
      <c r="AB34" s="134" t="n">
        <v>176</v>
      </c>
      <c r="AC34" s="132" t="n">
        <v>0</v>
      </c>
      <c r="AD34" s="132" t="n">
        <v>3.3</v>
      </c>
      <c r="AE34" s="134" t="n">
        <v>1</v>
      </c>
      <c r="AF34" s="132" t="n">
        <v>0.1</v>
      </c>
      <c r="AG34" s="133" t="n">
        <v>0.03</v>
      </c>
      <c r="AH34" s="133" t="n">
        <v>0.232</v>
      </c>
      <c r="AI34" s="132" t="n">
        <v>0</v>
      </c>
      <c r="AJ34" s="134" t="n">
        <v>2</v>
      </c>
      <c r="AK34" s="132" t="n">
        <v>359.9</v>
      </c>
      <c r="AL34" s="133" t="n">
        <v>6.232</v>
      </c>
      <c r="AM34" s="133" t="n">
        <v>0.017</v>
      </c>
      <c r="AN34" s="132" t="n">
        <v>109.1</v>
      </c>
      <c r="AO34" s="26"/>
      <c r="AP34" s="26"/>
      <c r="AQ34" s="26"/>
      <c r="AR34" s="26"/>
      <c r="AS34" s="135" t="e">
        <f aca="false">[1]!table2[[#this row],[object_a_._head_time]]+[1]!table2[[#this row],[object_b_._head_time]]</f>
        <v>#N/A</v>
      </c>
      <c r="AT34" s="135" t="e">
        <f aca="false">[1]!table2[[#this row],[object_a_._head_time]]+[1]!table2[[#this row],[object_b_._head_time]]</f>
        <v>#N/A</v>
      </c>
      <c r="AU34" s="135" t="e">
        <f aca="false">[1]!table2[[#this row],[object_b_._head_time]]-[1]!table2[[#this row],[object_a_._head_time]]</f>
        <v>#N/A</v>
      </c>
      <c r="AV34" s="136" t="e">
        <f aca="false">[1]!table2[[#this row],[d1: absolute discrimination measure (D1 = B2- A2)]]/[1]!table2[[#this row],[e2: total exploration time in second trial E2 ( E2 = A2 + B2)]]</f>
        <v>#N/A</v>
      </c>
      <c r="AW34" s="135" t="e">
        <f aca="false">(W34/AT34)*100</f>
        <v>#N/A</v>
      </c>
      <c r="AX34" s="135" t="e">
        <f aca="false">([1]!table2[[#this row],[object_a_._head_time]]/([1]!table2[[#this row],[object_a_._head_time]]+[1]!table2[[#this row],[object_b_._head_time]]))*100</f>
        <v>#N/A</v>
      </c>
      <c r="AY34" s="30" t="s">
        <v>79</v>
      </c>
      <c r="AZ34" s="30" t="s">
        <v>123</v>
      </c>
      <c r="BA34" s="30" t="s">
        <v>93</v>
      </c>
      <c r="BB34" s="31" t="n">
        <v>119</v>
      </c>
      <c r="BC34" s="32" t="n">
        <v>3.96666666666667</v>
      </c>
      <c r="BD34" s="33" t="s">
        <v>67</v>
      </c>
      <c r="BE34" s="30" t="n">
        <v>4</v>
      </c>
      <c r="BF34" s="34"/>
    </row>
    <row r="35" customFormat="false" ht="12" hidden="false" customHeight="true" outlineLevel="0" collapsed="false">
      <c r="A35" s="130" t="n">
        <v>67</v>
      </c>
      <c r="B35" s="131" t="s">
        <v>169</v>
      </c>
      <c r="C35" s="131" t="s">
        <v>59</v>
      </c>
      <c r="D35" s="131" t="s">
        <v>70</v>
      </c>
      <c r="E35" s="131" t="s">
        <v>282</v>
      </c>
      <c r="F35" s="131" t="s">
        <v>329</v>
      </c>
      <c r="G35" s="131" t="s">
        <v>331</v>
      </c>
      <c r="H35" s="132" t="n">
        <v>360</v>
      </c>
      <c r="I35" s="133" t="n">
        <v>5.244</v>
      </c>
      <c r="J35" s="133" t="n">
        <v>0.015</v>
      </c>
      <c r="K35" s="133" t="n">
        <v>0.23</v>
      </c>
      <c r="L35" s="132" t="n">
        <v>173.5</v>
      </c>
      <c r="M35" s="134" t="n">
        <v>18</v>
      </c>
      <c r="N35" s="132" t="n">
        <v>20.9</v>
      </c>
      <c r="O35" s="133" t="n">
        <v>0.713</v>
      </c>
      <c r="P35" s="133" t="n">
        <v>0.034</v>
      </c>
      <c r="Q35" s="133" t="n">
        <v>0.23</v>
      </c>
      <c r="R35" s="132" t="n">
        <v>8.1</v>
      </c>
      <c r="S35" s="134" t="n">
        <v>1482</v>
      </c>
      <c r="T35" s="132" t="n">
        <v>0.8</v>
      </c>
      <c r="U35" s="132" t="n">
        <v>8</v>
      </c>
      <c r="V35" s="134" t="n">
        <v>8</v>
      </c>
      <c r="W35" s="132" t="n">
        <v>9</v>
      </c>
      <c r="X35" s="133" t="n">
        <v>0.631</v>
      </c>
      <c r="Y35" s="133" t="n">
        <v>0.07</v>
      </c>
      <c r="Z35" s="133" t="n">
        <v>0.181</v>
      </c>
      <c r="AA35" s="132" t="n">
        <v>2.2</v>
      </c>
      <c r="AB35" s="134" t="n">
        <v>751</v>
      </c>
      <c r="AC35" s="132" t="n">
        <v>0</v>
      </c>
      <c r="AD35" s="132" t="n">
        <v>2.3</v>
      </c>
      <c r="AE35" s="134" t="n">
        <v>7</v>
      </c>
      <c r="AF35" s="132" t="n">
        <v>9.9</v>
      </c>
      <c r="AG35" s="133" t="n">
        <v>1.084</v>
      </c>
      <c r="AH35" s="133" t="n">
        <v>0.109</v>
      </c>
      <c r="AI35" s="132" t="n">
        <v>0</v>
      </c>
      <c r="AJ35" s="134" t="n">
        <v>8</v>
      </c>
      <c r="AK35" s="132" t="n">
        <v>350.1</v>
      </c>
      <c r="AL35" s="133" t="n">
        <v>4.16</v>
      </c>
      <c r="AM35" s="133" t="n">
        <v>0.012</v>
      </c>
      <c r="AN35" s="132" t="n">
        <v>173.5</v>
      </c>
      <c r="AO35" s="26"/>
      <c r="AP35" s="26"/>
      <c r="AQ35" s="26"/>
      <c r="AR35" s="26"/>
      <c r="AS35" s="135" t="e">
        <f aca="false">[1]!table2[[#this row],[object_a_._head_time]]+[1]!table2[[#this row],[object_b_._head_time]]</f>
        <v>#N/A</v>
      </c>
      <c r="AT35" s="135" t="e">
        <f aca="false">[1]!table2[[#this row],[object_a_._head_time]]+[1]!table2[[#this row],[object_b_._head_time]]</f>
        <v>#N/A</v>
      </c>
      <c r="AU35" s="135" t="e">
        <f aca="false">[1]!table2[[#this row],[object_b_._head_time]]-[1]!table2[[#this row],[object_a_._head_time]]</f>
        <v>#N/A</v>
      </c>
      <c r="AV35" s="136" t="e">
        <f aca="false">[1]!table2[[#this row],[d1: absolute discrimination measure (D1 = B2- A2)]]/[1]!table2[[#this row],[e2: total exploration time in second trial E2 ( E2 = A2 + B2)]]</f>
        <v>#N/A</v>
      </c>
      <c r="AW35" s="135" t="e">
        <f aca="false">(W35/AT35)*100</f>
        <v>#N/A</v>
      </c>
      <c r="AX35" s="135" t="e">
        <f aca="false">([1]!table2[[#this row],[object_a_._head_time]]/([1]!table2[[#this row],[object_a_._head_time]]+[1]!table2[[#this row],[object_b_._head_time]]))*100</f>
        <v>#N/A</v>
      </c>
      <c r="AY35" s="30" t="s">
        <v>79</v>
      </c>
      <c r="AZ35" s="30" t="s">
        <v>123</v>
      </c>
      <c r="BA35" s="30" t="s">
        <v>66</v>
      </c>
      <c r="BB35" s="31" t="n">
        <v>119</v>
      </c>
      <c r="BC35" s="32" t="n">
        <v>3.96666666666667</v>
      </c>
      <c r="BD35" s="33" t="s">
        <v>67</v>
      </c>
      <c r="BE35" s="30" t="n">
        <v>2</v>
      </c>
      <c r="BF35" s="34"/>
    </row>
    <row r="36" customFormat="false" ht="12" hidden="false" customHeight="true" outlineLevel="0" collapsed="false">
      <c r="A36" s="137" t="n">
        <v>70</v>
      </c>
      <c r="B36" s="138" t="s">
        <v>58</v>
      </c>
      <c r="C36" s="138" t="s">
        <v>172</v>
      </c>
      <c r="D36" s="138" t="s">
        <v>60</v>
      </c>
      <c r="E36" s="138" t="s">
        <v>282</v>
      </c>
      <c r="F36" s="138" t="s">
        <v>332</v>
      </c>
      <c r="G36" s="138" t="s">
        <v>333</v>
      </c>
      <c r="H36" s="139" t="n">
        <v>360</v>
      </c>
      <c r="I36" s="140" t="n">
        <v>4.463</v>
      </c>
      <c r="J36" s="140" t="n">
        <v>0.012</v>
      </c>
      <c r="K36" s="140" t="n">
        <v>0.271</v>
      </c>
      <c r="L36" s="139" t="n">
        <v>246</v>
      </c>
      <c r="M36" s="141" t="n">
        <v>3</v>
      </c>
      <c r="N36" s="139" t="n">
        <v>1.7</v>
      </c>
      <c r="O36" s="140" t="n">
        <v>0.063</v>
      </c>
      <c r="P36" s="140" t="n">
        <v>0.036</v>
      </c>
      <c r="Q36" s="140" t="n">
        <v>0.115</v>
      </c>
      <c r="R36" s="139" t="n">
        <v>1.6</v>
      </c>
      <c r="S36" s="141" t="n">
        <v>207</v>
      </c>
      <c r="T36" s="139" t="n">
        <v>0</v>
      </c>
      <c r="U36" s="139" t="n">
        <v>1.7</v>
      </c>
      <c r="V36" s="141" t="n">
        <v>65</v>
      </c>
      <c r="W36" s="139" t="n">
        <v>41.8</v>
      </c>
      <c r="X36" s="140" t="n">
        <v>0.257</v>
      </c>
      <c r="Y36" s="140" t="n">
        <v>0.006</v>
      </c>
      <c r="Z36" s="140" t="n">
        <v>0.155</v>
      </c>
      <c r="AA36" s="139" t="n">
        <v>35.6</v>
      </c>
      <c r="AB36" s="141" t="n">
        <v>3168</v>
      </c>
      <c r="AC36" s="139" t="n">
        <v>27</v>
      </c>
      <c r="AD36" s="139" t="n">
        <v>35.7</v>
      </c>
      <c r="AE36" s="141" t="n">
        <v>3</v>
      </c>
      <c r="AF36" s="139" t="n">
        <v>10.2</v>
      </c>
      <c r="AG36" s="140" t="n">
        <v>0.465</v>
      </c>
      <c r="AH36" s="140" t="n">
        <v>0.046</v>
      </c>
      <c r="AI36" s="139" t="n">
        <v>0</v>
      </c>
      <c r="AJ36" s="141" t="n">
        <v>3</v>
      </c>
      <c r="AK36" s="139" t="n">
        <v>349.8</v>
      </c>
      <c r="AL36" s="140" t="n">
        <v>3.997</v>
      </c>
      <c r="AM36" s="140" t="n">
        <v>0.011</v>
      </c>
      <c r="AN36" s="139" t="n">
        <v>246</v>
      </c>
      <c r="AO36" s="52"/>
      <c r="AP36" s="52"/>
      <c r="AQ36" s="52"/>
      <c r="AR36" s="52"/>
      <c r="AS36" s="142" t="e">
        <f aca="false">[1]!table2[[#this row],[object_a_._head_time]]+[1]!table2[[#this row],[object_b_._head_time]]</f>
        <v>#N/A</v>
      </c>
      <c r="AT36" s="142" t="e">
        <f aca="false">[1]!table2[[#this row],[object_a_._head_time]]+[1]!table2[[#this row],[object_b_._head_time]]</f>
        <v>#N/A</v>
      </c>
      <c r="AU36" s="142" t="e">
        <f aca="false">[1]!table2[[#this row],[object_b_._head_time]]-[1]!table2[[#this row],[object_a_._head_time]]</f>
        <v>#N/A</v>
      </c>
      <c r="AV36" s="143" t="e">
        <f aca="false">[1]!table2[[#this row],[d1: absolute discrimination measure (D1 = B2- A2)]]/[1]!table2[[#this row],[e2: total exploration time in second trial E2 ( E2 = A2 + B2)]]</f>
        <v>#N/A</v>
      </c>
      <c r="AW36" s="142" t="e">
        <f aca="false">(W36/AT36)*100</f>
        <v>#N/A</v>
      </c>
      <c r="AX36" s="142" t="e">
        <f aca="false">([1]!table2[[#this row],[object_a_._head_time]]/([1]!table2[[#this row],[object_a_._head_time]]+[1]!table2[[#this row],[object_b_._head_time]]))*100</f>
        <v>#N/A</v>
      </c>
      <c r="AY36" s="57" t="s">
        <v>64</v>
      </c>
      <c r="AZ36" s="57" t="s">
        <v>65</v>
      </c>
      <c r="BA36" s="57" t="s">
        <v>66</v>
      </c>
      <c r="BB36" s="58" t="n">
        <v>195</v>
      </c>
      <c r="BC36" s="59" t="n">
        <v>6.5</v>
      </c>
      <c r="BD36" s="60" t="s">
        <v>67</v>
      </c>
      <c r="BE36" s="57" t="n">
        <v>2</v>
      </c>
      <c r="BF36" s="61" t="s">
        <v>68</v>
      </c>
    </row>
    <row r="37" customFormat="false" ht="12" hidden="false" customHeight="true" outlineLevel="0" collapsed="false">
      <c r="A37" s="137" t="n">
        <v>69</v>
      </c>
      <c r="B37" s="138" t="s">
        <v>72</v>
      </c>
      <c r="C37" s="138" t="s">
        <v>172</v>
      </c>
      <c r="D37" s="138" t="s">
        <v>70</v>
      </c>
      <c r="E37" s="138" t="s">
        <v>282</v>
      </c>
      <c r="F37" s="138" t="s">
        <v>173</v>
      </c>
      <c r="G37" s="138" t="s">
        <v>334</v>
      </c>
      <c r="H37" s="139" t="n">
        <v>360</v>
      </c>
      <c r="I37" s="140" t="n">
        <v>2.541</v>
      </c>
      <c r="J37" s="140" t="n">
        <v>0.007</v>
      </c>
      <c r="K37" s="140" t="n">
        <v>0.277</v>
      </c>
      <c r="L37" s="139" t="n">
        <v>303.4</v>
      </c>
      <c r="M37" s="141" t="n">
        <v>1</v>
      </c>
      <c r="N37" s="139" t="n">
        <v>0.7</v>
      </c>
      <c r="O37" s="140" t="n">
        <v>0.051</v>
      </c>
      <c r="P37" s="140" t="n">
        <v>0.069</v>
      </c>
      <c r="Q37" s="140" t="n">
        <v>0.081</v>
      </c>
      <c r="R37" s="139" t="n">
        <v>0.6</v>
      </c>
      <c r="S37" s="141" t="n">
        <v>203</v>
      </c>
      <c r="T37" s="139" t="n">
        <v>0</v>
      </c>
      <c r="U37" s="139" t="n">
        <v>0.7</v>
      </c>
      <c r="V37" s="141" t="n">
        <v>5</v>
      </c>
      <c r="W37" s="139" t="n">
        <v>7.6</v>
      </c>
      <c r="X37" s="140" t="n">
        <v>0.185</v>
      </c>
      <c r="Y37" s="140" t="n">
        <v>0.024</v>
      </c>
      <c r="Z37" s="140" t="n">
        <v>0.12</v>
      </c>
      <c r="AA37" s="139" t="n">
        <v>3.4</v>
      </c>
      <c r="AB37" s="141" t="n">
        <v>509</v>
      </c>
      <c r="AC37" s="139" t="n">
        <v>0</v>
      </c>
      <c r="AD37" s="139" t="n">
        <v>3.4</v>
      </c>
      <c r="AE37" s="141" t="n">
        <v>0</v>
      </c>
      <c r="AF37" s="139" t="n">
        <v>0</v>
      </c>
      <c r="AG37" s="140" t="n">
        <v>0</v>
      </c>
      <c r="AH37" s="140"/>
      <c r="AI37" s="139" t="n">
        <v>0</v>
      </c>
      <c r="AJ37" s="141" t="n">
        <v>1</v>
      </c>
      <c r="AK37" s="139" t="n">
        <v>360</v>
      </c>
      <c r="AL37" s="140" t="n">
        <v>2.541</v>
      </c>
      <c r="AM37" s="140" t="n">
        <v>0.007</v>
      </c>
      <c r="AN37" s="139" t="n">
        <v>303.4</v>
      </c>
      <c r="AO37" s="52"/>
      <c r="AP37" s="52"/>
      <c r="AQ37" s="52"/>
      <c r="AR37" s="52"/>
      <c r="AS37" s="142" t="e">
        <f aca="false">[1]!table2[[#this row],[object_a_._head_time]]+[1]!table2[[#this row],[object_b_._head_time]]</f>
        <v>#N/A</v>
      </c>
      <c r="AT37" s="142" t="e">
        <f aca="false">[1]!table2[[#this row],[object_a_._head_time]]+[1]!table2[[#this row],[object_b_._head_time]]</f>
        <v>#N/A</v>
      </c>
      <c r="AU37" s="142" t="e">
        <f aca="false">[1]!table2[[#this row],[object_b_._head_time]]-[1]!table2[[#this row],[object_a_._head_time]]</f>
        <v>#N/A</v>
      </c>
      <c r="AV37" s="143" t="e">
        <f aca="false">[1]!table2[[#this row],[d1: absolute discrimination measure (D1 = B2- A2)]]/[1]!table2[[#this row],[e2: total exploration time in second trial E2 ( E2 = A2 + B2)]]</f>
        <v>#N/A</v>
      </c>
      <c r="AW37" s="142" t="e">
        <f aca="false">(W37/AT37)*100</f>
        <v>#N/A</v>
      </c>
      <c r="AX37" s="142" t="e">
        <f aca="false">([1]!table2[[#this row],[object_a_._head_time]]/([1]!table2[[#this row],[object_a_._head_time]]+[1]!table2[[#this row],[object_b_._head_time]]))*100</f>
        <v>#N/A</v>
      </c>
      <c r="AY37" s="57" t="s">
        <v>64</v>
      </c>
      <c r="AZ37" s="57" t="s">
        <v>65</v>
      </c>
      <c r="BA37" s="57" t="s">
        <v>66</v>
      </c>
      <c r="BB37" s="58" t="n">
        <v>195</v>
      </c>
      <c r="BC37" s="59" t="n">
        <v>6.5</v>
      </c>
      <c r="BD37" s="60" t="s">
        <v>67</v>
      </c>
      <c r="BE37" s="57" t="n">
        <v>2</v>
      </c>
      <c r="BF37" s="61" t="s">
        <v>75</v>
      </c>
    </row>
    <row r="38" customFormat="false" ht="12" hidden="false" customHeight="true" outlineLevel="0" collapsed="false">
      <c r="A38" s="137" t="n">
        <v>71</v>
      </c>
      <c r="B38" s="138" t="s">
        <v>76</v>
      </c>
      <c r="C38" s="138" t="s">
        <v>172</v>
      </c>
      <c r="D38" s="138" t="s">
        <v>73</v>
      </c>
      <c r="E38" s="138" t="s">
        <v>282</v>
      </c>
      <c r="F38" s="138" t="s">
        <v>332</v>
      </c>
      <c r="G38" s="138" t="s">
        <v>335</v>
      </c>
      <c r="H38" s="139" t="n">
        <v>360</v>
      </c>
      <c r="I38" s="140" t="n">
        <v>33.107</v>
      </c>
      <c r="J38" s="140" t="n">
        <v>0.092</v>
      </c>
      <c r="K38" s="140" t="n">
        <v>0.407</v>
      </c>
      <c r="L38" s="139" t="n">
        <v>36.1</v>
      </c>
      <c r="M38" s="141" t="n">
        <v>36</v>
      </c>
      <c r="N38" s="139" t="n">
        <v>15.3</v>
      </c>
      <c r="O38" s="140" t="n">
        <v>0.937</v>
      </c>
      <c r="P38" s="140" t="n">
        <v>0.061</v>
      </c>
      <c r="Q38" s="140" t="n">
        <v>0.357</v>
      </c>
      <c r="R38" s="139" t="n">
        <v>10.5</v>
      </c>
      <c r="S38" s="141" t="n">
        <v>2281</v>
      </c>
      <c r="T38" s="139" t="n">
        <v>0</v>
      </c>
      <c r="U38" s="139" t="n">
        <v>12.9</v>
      </c>
      <c r="V38" s="141" t="n">
        <v>47</v>
      </c>
      <c r="W38" s="139" t="n">
        <v>22.1</v>
      </c>
      <c r="X38" s="140" t="n">
        <v>1.377</v>
      </c>
      <c r="Y38" s="140" t="n">
        <v>0.062</v>
      </c>
      <c r="Z38" s="140" t="n">
        <v>0.375</v>
      </c>
      <c r="AA38" s="139" t="n">
        <v>7.3</v>
      </c>
      <c r="AB38" s="141" t="n">
        <v>3184</v>
      </c>
      <c r="AC38" s="139" t="n">
        <v>1.4</v>
      </c>
      <c r="AD38" s="139" t="n">
        <v>12.4</v>
      </c>
      <c r="AE38" s="141" t="n">
        <v>30</v>
      </c>
      <c r="AF38" s="139" t="n">
        <v>20.1</v>
      </c>
      <c r="AG38" s="140" t="n">
        <v>3.777</v>
      </c>
      <c r="AH38" s="140" t="n">
        <v>0.188</v>
      </c>
      <c r="AI38" s="139" t="n">
        <v>0</v>
      </c>
      <c r="AJ38" s="141" t="n">
        <v>31</v>
      </c>
      <c r="AK38" s="139" t="n">
        <v>339.9</v>
      </c>
      <c r="AL38" s="140" t="n">
        <v>29.33</v>
      </c>
      <c r="AM38" s="140" t="n">
        <v>0.086</v>
      </c>
      <c r="AN38" s="139" t="n">
        <v>36.1</v>
      </c>
      <c r="AO38" s="52"/>
      <c r="AP38" s="52"/>
      <c r="AQ38" s="52"/>
      <c r="AR38" s="52"/>
      <c r="AS38" s="142" t="e">
        <f aca="false">[1]!table2[[#this row],[object_a_._head_time]]+[1]!table2[[#this row],[object_b_._head_time]]</f>
        <v>#N/A</v>
      </c>
      <c r="AT38" s="142" t="e">
        <f aca="false">[1]!table2[[#this row],[object_a_._head_time]]+[1]!table2[[#this row],[object_b_._head_time]]</f>
        <v>#N/A</v>
      </c>
      <c r="AU38" s="142" t="e">
        <f aca="false">[1]!table2[[#this row],[object_b_._head_time]]-[1]!table2[[#this row],[object_a_._head_time]]</f>
        <v>#N/A</v>
      </c>
      <c r="AV38" s="143" t="e">
        <f aca="false">[1]!table2[[#this row],[d1: absolute discrimination measure (D1 = B2- A2)]]/[1]!table2[[#this row],[e2: total exploration time in second trial E2 ( E2 = A2 + B2)]]</f>
        <v>#N/A</v>
      </c>
      <c r="AW38" s="142" t="e">
        <f aca="false">(W38/AT38)*100</f>
        <v>#N/A</v>
      </c>
      <c r="AX38" s="142" t="e">
        <f aca="false">([1]!table2[[#this row],[object_a_._head_time]]/([1]!table2[[#this row],[object_a_._head_time]]+[1]!table2[[#this row],[object_b_._head_time]]))*100</f>
        <v>#N/A</v>
      </c>
      <c r="AY38" s="57" t="s">
        <v>79</v>
      </c>
      <c r="AZ38" s="57" t="s">
        <v>65</v>
      </c>
      <c r="BA38" s="57" t="s">
        <v>66</v>
      </c>
      <c r="BB38" s="58" t="n">
        <v>195</v>
      </c>
      <c r="BC38" s="59" t="n">
        <v>6.5</v>
      </c>
      <c r="BD38" s="60" t="s">
        <v>80</v>
      </c>
      <c r="BE38" s="57" t="n">
        <v>1</v>
      </c>
      <c r="BF38" s="61" t="s">
        <v>81</v>
      </c>
    </row>
    <row r="39" customFormat="false" ht="12" hidden="false" customHeight="true" outlineLevel="0" collapsed="false">
      <c r="A39" s="137" t="n">
        <v>72</v>
      </c>
      <c r="B39" s="138" t="s">
        <v>82</v>
      </c>
      <c r="C39" s="138" t="s">
        <v>172</v>
      </c>
      <c r="D39" s="138" t="s">
        <v>77</v>
      </c>
      <c r="E39" s="138" t="s">
        <v>282</v>
      </c>
      <c r="F39" s="138" t="s">
        <v>332</v>
      </c>
      <c r="G39" s="138" t="s">
        <v>336</v>
      </c>
      <c r="H39" s="139" t="n">
        <v>360</v>
      </c>
      <c r="I39" s="140" t="n">
        <v>35.094</v>
      </c>
      <c r="J39" s="140" t="n">
        <v>0.097</v>
      </c>
      <c r="K39" s="140" t="n">
        <v>0.355</v>
      </c>
      <c r="L39" s="139" t="n">
        <v>70.6</v>
      </c>
      <c r="M39" s="141" t="n">
        <v>31</v>
      </c>
      <c r="N39" s="139" t="n">
        <v>11.3</v>
      </c>
      <c r="O39" s="140" t="n">
        <v>0.38</v>
      </c>
      <c r="P39" s="140" t="n">
        <v>0.034</v>
      </c>
      <c r="Q39" s="140" t="n">
        <v>0.33</v>
      </c>
      <c r="R39" s="139" t="n">
        <v>4.1</v>
      </c>
      <c r="S39" s="141" t="n">
        <v>1078</v>
      </c>
      <c r="T39" s="139" t="n">
        <v>0</v>
      </c>
      <c r="U39" s="139" t="n">
        <v>8.2</v>
      </c>
      <c r="V39" s="141" t="n">
        <v>20</v>
      </c>
      <c r="W39" s="139" t="n">
        <v>6.5</v>
      </c>
      <c r="X39" s="140" t="n">
        <v>0.21</v>
      </c>
      <c r="Y39" s="140" t="n">
        <v>0.032</v>
      </c>
      <c r="Z39" s="140" t="n">
        <v>0.293</v>
      </c>
      <c r="AA39" s="139" t="n">
        <v>1.9</v>
      </c>
      <c r="AB39" s="141" t="n">
        <v>803</v>
      </c>
      <c r="AC39" s="139" t="n">
        <v>0</v>
      </c>
      <c r="AD39" s="139" t="n">
        <v>5.4</v>
      </c>
      <c r="AE39" s="141" t="n">
        <v>8</v>
      </c>
      <c r="AF39" s="139" t="n">
        <v>8.7</v>
      </c>
      <c r="AG39" s="140" t="n">
        <v>0.891</v>
      </c>
      <c r="AH39" s="140" t="n">
        <v>0.102</v>
      </c>
      <c r="AI39" s="139" t="n">
        <v>0</v>
      </c>
      <c r="AJ39" s="141" t="n">
        <v>8</v>
      </c>
      <c r="AK39" s="139" t="n">
        <v>351.3</v>
      </c>
      <c r="AL39" s="140" t="n">
        <v>34.203</v>
      </c>
      <c r="AM39" s="140" t="n">
        <v>0.097</v>
      </c>
      <c r="AN39" s="139" t="n">
        <v>70.6</v>
      </c>
      <c r="AO39" s="52"/>
      <c r="AP39" s="52"/>
      <c r="AQ39" s="52"/>
      <c r="AR39" s="52"/>
      <c r="AS39" s="142" t="e">
        <f aca="false">[1]!table2[[#this row],[object_a_._head_time]]+[1]!table2[[#this row],[object_b_._head_time]]</f>
        <v>#N/A</v>
      </c>
      <c r="AT39" s="142" t="e">
        <f aca="false">[1]!table2[[#this row],[object_a_._head_time]]+[1]!table2[[#this row],[object_b_._head_time]]</f>
        <v>#N/A</v>
      </c>
      <c r="AU39" s="142" t="e">
        <f aca="false">[1]!table2[[#this row],[object_b_._head_time]]-[1]!table2[[#this row],[object_a_._head_time]]</f>
        <v>#N/A</v>
      </c>
      <c r="AV39" s="143" t="e">
        <f aca="false">[1]!table2[[#this row],[d1: absolute discrimination measure (D1 = B2- A2)]]/[1]!table2[[#this row],[e2: total exploration time in second trial E2 ( E2 = A2 + B2)]]</f>
        <v>#N/A</v>
      </c>
      <c r="AW39" s="142" t="e">
        <f aca="false">(W39/AT39)*100</f>
        <v>#N/A</v>
      </c>
      <c r="AX39" s="142" t="e">
        <f aca="false">([1]!table2[[#this row],[object_a_._head_time]]/([1]!table2[[#this row],[object_a_._head_time]]+[1]!table2[[#this row],[object_b_._head_time]]))*100</f>
        <v>#N/A</v>
      </c>
      <c r="AY39" s="57" t="s">
        <v>79</v>
      </c>
      <c r="AZ39" s="57" t="s">
        <v>65</v>
      </c>
      <c r="BA39" s="57" t="s">
        <v>66</v>
      </c>
      <c r="BB39" s="58" t="n">
        <v>195</v>
      </c>
      <c r="BC39" s="59" t="n">
        <v>6.5</v>
      </c>
      <c r="BD39" s="60" t="s">
        <v>67</v>
      </c>
      <c r="BE39" s="57" t="n">
        <v>2</v>
      </c>
      <c r="BF39" s="61" t="s">
        <v>85</v>
      </c>
    </row>
    <row r="40" customFormat="false" ht="12" hidden="false" customHeight="true" outlineLevel="0" collapsed="false">
      <c r="A40" s="137" t="n">
        <v>74</v>
      </c>
      <c r="B40" s="138" t="s">
        <v>86</v>
      </c>
      <c r="C40" s="138" t="s">
        <v>172</v>
      </c>
      <c r="D40" s="138" t="s">
        <v>60</v>
      </c>
      <c r="E40" s="138" t="s">
        <v>282</v>
      </c>
      <c r="F40" s="138" t="s">
        <v>337</v>
      </c>
      <c r="G40" s="138" t="s">
        <v>338</v>
      </c>
      <c r="H40" s="139" t="n">
        <v>360</v>
      </c>
      <c r="I40" s="140" t="n">
        <v>3.694</v>
      </c>
      <c r="J40" s="140" t="n">
        <v>0.01</v>
      </c>
      <c r="K40" s="140" t="n">
        <v>0.223</v>
      </c>
      <c r="L40" s="139" t="n">
        <v>123.7</v>
      </c>
      <c r="M40" s="141" t="n">
        <v>5</v>
      </c>
      <c r="N40" s="139" t="n">
        <v>7.7</v>
      </c>
      <c r="O40" s="140" t="n">
        <v>0.26</v>
      </c>
      <c r="P40" s="140" t="n">
        <v>0.034</v>
      </c>
      <c r="Q40" s="140" t="n">
        <v>0.13</v>
      </c>
      <c r="R40" s="139" t="n">
        <v>2.1</v>
      </c>
      <c r="S40" s="141" t="n">
        <v>506</v>
      </c>
      <c r="T40" s="139" t="n">
        <v>0</v>
      </c>
      <c r="U40" s="139" t="n">
        <v>3.5</v>
      </c>
      <c r="V40" s="141" t="n">
        <v>7</v>
      </c>
      <c r="W40" s="139" t="n">
        <v>18</v>
      </c>
      <c r="X40" s="140" t="n">
        <v>0.353</v>
      </c>
      <c r="Y40" s="140" t="n">
        <v>0.02</v>
      </c>
      <c r="Z40" s="140" t="n">
        <v>0.137</v>
      </c>
      <c r="AA40" s="139" t="n">
        <v>6.4</v>
      </c>
      <c r="AB40" s="141" t="n">
        <v>974</v>
      </c>
      <c r="AC40" s="139" t="n">
        <v>0</v>
      </c>
      <c r="AD40" s="139" t="n">
        <v>6.5</v>
      </c>
      <c r="AE40" s="141" t="n">
        <v>2</v>
      </c>
      <c r="AF40" s="139" t="n">
        <v>8.8</v>
      </c>
      <c r="AG40" s="140" t="n">
        <v>0.302</v>
      </c>
      <c r="AH40" s="140" t="n">
        <v>0.034</v>
      </c>
      <c r="AI40" s="139" t="n">
        <v>0</v>
      </c>
      <c r="AJ40" s="141" t="n">
        <v>3</v>
      </c>
      <c r="AK40" s="139" t="n">
        <v>351.2</v>
      </c>
      <c r="AL40" s="140" t="n">
        <v>3.392</v>
      </c>
      <c r="AM40" s="140" t="n">
        <v>0.01</v>
      </c>
      <c r="AN40" s="139" t="n">
        <v>123.7</v>
      </c>
      <c r="AO40" s="52"/>
      <c r="AP40" s="52"/>
      <c r="AQ40" s="52"/>
      <c r="AR40" s="52"/>
      <c r="AS40" s="142" t="e">
        <f aca="false">[1]!table2[[#this row],[object_a_._head_time]]+[1]!table2[[#this row],[object_b_._head_time]]</f>
        <v>#N/A</v>
      </c>
      <c r="AT40" s="142" t="e">
        <f aca="false">[1]!table2[[#this row],[object_a_._head_time]]+[1]!table2[[#this row],[object_b_._head_time]]</f>
        <v>#N/A</v>
      </c>
      <c r="AU40" s="142" t="e">
        <f aca="false">[1]!table2[[#this row],[object_b_._head_time]]-[1]!table2[[#this row],[object_a_._head_time]]</f>
        <v>#N/A</v>
      </c>
      <c r="AV40" s="143" t="e">
        <f aca="false">[1]!table2[[#this row],[d1: absolute discrimination measure (D1 = B2- A2)]]/[1]!table2[[#this row],[e2: total exploration time in second trial E2 ( E2 = A2 + B2)]]</f>
        <v>#N/A</v>
      </c>
      <c r="AW40" s="142" t="e">
        <f aca="false">(W40/AT40)*100</f>
        <v>#N/A</v>
      </c>
      <c r="AX40" s="142" t="e">
        <f aca="false">([1]!table2[[#this row],[object_a_._head_time]]/([1]!table2[[#this row],[object_a_._head_time]]+[1]!table2[[#this row],[object_b_._head_time]]))*100</f>
        <v>#N/A</v>
      </c>
      <c r="AY40" s="57" t="s">
        <v>64</v>
      </c>
      <c r="AZ40" s="57" t="s">
        <v>65</v>
      </c>
      <c r="BA40" s="57" t="s">
        <v>66</v>
      </c>
      <c r="BB40" s="58" t="n">
        <v>185</v>
      </c>
      <c r="BC40" s="59" t="n">
        <v>6.16666666666667</v>
      </c>
      <c r="BD40" s="60" t="s">
        <v>80</v>
      </c>
      <c r="BE40" s="57" t="n">
        <v>1</v>
      </c>
      <c r="BF40" s="61"/>
    </row>
    <row r="41" customFormat="false" ht="12" hidden="false" customHeight="true" outlineLevel="0" collapsed="false">
      <c r="A41" s="137" t="n">
        <v>73</v>
      </c>
      <c r="B41" s="138" t="s">
        <v>89</v>
      </c>
      <c r="C41" s="138" t="s">
        <v>172</v>
      </c>
      <c r="D41" s="138" t="s">
        <v>70</v>
      </c>
      <c r="E41" s="138" t="s">
        <v>282</v>
      </c>
      <c r="F41" s="138" t="s">
        <v>337</v>
      </c>
      <c r="G41" s="138" t="s">
        <v>339</v>
      </c>
      <c r="H41" s="139" t="n">
        <v>360</v>
      </c>
      <c r="I41" s="140" t="n">
        <v>5.077</v>
      </c>
      <c r="J41" s="140" t="n">
        <v>0.014</v>
      </c>
      <c r="K41" s="140" t="n">
        <v>0.192</v>
      </c>
      <c r="L41" s="139" t="n">
        <v>121.7</v>
      </c>
      <c r="M41" s="141" t="n">
        <v>50</v>
      </c>
      <c r="N41" s="139" t="n">
        <v>142</v>
      </c>
      <c r="O41" s="140" t="n">
        <v>0.671</v>
      </c>
      <c r="P41" s="140" t="n">
        <v>0.005</v>
      </c>
      <c r="Q41" s="140" t="n">
        <v>0.192</v>
      </c>
      <c r="R41" s="139" t="n">
        <v>94.6</v>
      </c>
      <c r="S41" s="141" t="n">
        <v>2922</v>
      </c>
      <c r="T41" s="139" t="n">
        <v>51.1</v>
      </c>
      <c r="U41" s="139" t="n">
        <v>112.4</v>
      </c>
      <c r="V41" s="141" t="n">
        <v>11</v>
      </c>
      <c r="W41" s="139" t="n">
        <v>18.1</v>
      </c>
      <c r="X41" s="140" t="n">
        <v>0.377</v>
      </c>
      <c r="Y41" s="140" t="n">
        <v>0.021</v>
      </c>
      <c r="Z41" s="140" t="n">
        <v>0.168</v>
      </c>
      <c r="AA41" s="139" t="n">
        <v>6.4</v>
      </c>
      <c r="AB41" s="141" t="n">
        <v>1299</v>
      </c>
      <c r="AC41" s="139" t="n">
        <v>0</v>
      </c>
      <c r="AD41" s="139" t="n">
        <v>3.9</v>
      </c>
      <c r="AE41" s="141" t="n">
        <v>5</v>
      </c>
      <c r="AF41" s="139" t="n">
        <v>6</v>
      </c>
      <c r="AG41" s="140" t="n">
        <v>0.588</v>
      </c>
      <c r="AH41" s="140" t="n">
        <v>0.098</v>
      </c>
      <c r="AI41" s="139" t="n">
        <v>0</v>
      </c>
      <c r="AJ41" s="141" t="n">
        <v>5</v>
      </c>
      <c r="AK41" s="139" t="n">
        <v>354</v>
      </c>
      <c r="AL41" s="140" t="n">
        <v>4.489</v>
      </c>
      <c r="AM41" s="140" t="n">
        <v>0.013</v>
      </c>
      <c r="AN41" s="139" t="n">
        <v>121.7</v>
      </c>
      <c r="AO41" s="52"/>
      <c r="AP41" s="52"/>
      <c r="AQ41" s="52"/>
      <c r="AR41" s="52"/>
      <c r="AS41" s="142" t="e">
        <f aca="false">[1]!table2[[#this row],[object_a_._head_time]]+[1]!table2[[#this row],[object_b_._head_time]]</f>
        <v>#N/A</v>
      </c>
      <c r="AT41" s="142" t="e">
        <f aca="false">[1]!table2[[#this row],[object_a_._head_time]]+[1]!table2[[#this row],[object_b_._head_time]]</f>
        <v>#N/A</v>
      </c>
      <c r="AU41" s="142" t="e">
        <f aca="false">[1]!table2[[#this row],[object_b_._head_time]]-[1]!table2[[#this row],[object_a_._head_time]]</f>
        <v>#N/A</v>
      </c>
      <c r="AV41" s="143" t="e">
        <f aca="false">[1]!table2[[#this row],[d1: absolute discrimination measure (D1 = B2- A2)]]/[1]!table2[[#this row],[e2: total exploration time in second trial E2 ( E2 = A2 + B2)]]</f>
        <v>#N/A</v>
      </c>
      <c r="AW41" s="142" t="e">
        <f aca="false">(W41/AT41)*100</f>
        <v>#N/A</v>
      </c>
      <c r="AX41" s="142" t="e">
        <f aca="false">([1]!table2[[#this row],[object_a_._head_time]]/([1]!table2[[#this row],[object_a_._head_time]]+[1]!table2[[#this row],[object_b_._head_time]]))*100</f>
        <v>#N/A</v>
      </c>
      <c r="AY41" s="57" t="s">
        <v>64</v>
      </c>
      <c r="AZ41" s="57" t="s">
        <v>65</v>
      </c>
      <c r="BA41" s="57" t="s">
        <v>66</v>
      </c>
      <c r="BB41" s="58" t="n">
        <v>185</v>
      </c>
      <c r="BC41" s="59" t="n">
        <v>6.16666666666667</v>
      </c>
      <c r="BD41" s="60" t="s">
        <v>67</v>
      </c>
      <c r="BE41" s="57" t="n">
        <v>2</v>
      </c>
      <c r="BF41" s="61"/>
    </row>
    <row r="42" customFormat="false" ht="12" hidden="false" customHeight="true" outlineLevel="0" collapsed="false">
      <c r="A42" s="137" t="n">
        <v>75</v>
      </c>
      <c r="B42" s="138" t="s">
        <v>91</v>
      </c>
      <c r="C42" s="138" t="s">
        <v>172</v>
      </c>
      <c r="D42" s="138" t="s">
        <v>73</v>
      </c>
      <c r="E42" s="138" t="s">
        <v>282</v>
      </c>
      <c r="F42" s="138" t="s">
        <v>337</v>
      </c>
      <c r="G42" s="138" t="s">
        <v>340</v>
      </c>
      <c r="H42" s="139" t="n">
        <v>360</v>
      </c>
      <c r="I42" s="140" t="n">
        <v>14.18</v>
      </c>
      <c r="J42" s="140" t="n">
        <v>0.039</v>
      </c>
      <c r="K42" s="140" t="n">
        <v>0.26</v>
      </c>
      <c r="L42" s="139" t="n">
        <v>8.3</v>
      </c>
      <c r="M42" s="141" t="n">
        <v>27</v>
      </c>
      <c r="N42" s="139" t="n">
        <v>28.7</v>
      </c>
      <c r="O42" s="140" t="n">
        <v>1.366</v>
      </c>
      <c r="P42" s="140" t="n">
        <v>0.048</v>
      </c>
      <c r="Q42" s="140" t="n">
        <v>0.201</v>
      </c>
      <c r="R42" s="139" t="n">
        <v>7.1</v>
      </c>
      <c r="S42" s="141" t="n">
        <v>2156</v>
      </c>
      <c r="T42" s="139" t="n">
        <v>0</v>
      </c>
      <c r="U42" s="139" t="n">
        <v>14.7</v>
      </c>
      <c r="V42" s="141" t="n">
        <v>36</v>
      </c>
      <c r="W42" s="139" t="n">
        <v>34.6</v>
      </c>
      <c r="X42" s="140" t="n">
        <v>1.427</v>
      </c>
      <c r="Y42" s="140" t="n">
        <v>0.041</v>
      </c>
      <c r="Z42" s="140" t="n">
        <v>0.245</v>
      </c>
      <c r="AA42" s="139" t="n">
        <v>12.6</v>
      </c>
      <c r="AB42" s="141" t="n">
        <v>2201</v>
      </c>
      <c r="AC42" s="139" t="n">
        <v>0</v>
      </c>
      <c r="AD42" s="139" t="n">
        <v>13.4</v>
      </c>
      <c r="AE42" s="141" t="n">
        <v>16</v>
      </c>
      <c r="AF42" s="139" t="n">
        <v>48.7</v>
      </c>
      <c r="AG42" s="140" t="n">
        <v>2.388</v>
      </c>
      <c r="AH42" s="140" t="n">
        <v>0.049</v>
      </c>
      <c r="AI42" s="139" t="n">
        <v>0</v>
      </c>
      <c r="AJ42" s="141" t="n">
        <v>16</v>
      </c>
      <c r="AK42" s="139" t="n">
        <v>311.3</v>
      </c>
      <c r="AL42" s="140" t="n">
        <v>11.791</v>
      </c>
      <c r="AM42" s="140" t="n">
        <v>0.038</v>
      </c>
      <c r="AN42" s="139" t="n">
        <v>8.3</v>
      </c>
      <c r="AO42" s="52"/>
      <c r="AP42" s="52"/>
      <c r="AQ42" s="52"/>
      <c r="AR42" s="52"/>
      <c r="AS42" s="142" t="e">
        <f aca="false">[1]!table2[[#this row],[object_a_._head_time]]+[1]!table2[[#this row],[object_b_._head_time]]</f>
        <v>#N/A</v>
      </c>
      <c r="AT42" s="142" t="e">
        <f aca="false">[1]!table2[[#this row],[object_a_._head_time]]+[1]!table2[[#this row],[object_b_._head_time]]</f>
        <v>#N/A</v>
      </c>
      <c r="AU42" s="142" t="e">
        <f aca="false">[1]!table2[[#this row],[object_b_._head_time]]-[1]!table2[[#this row],[object_a_._head_time]]</f>
        <v>#N/A</v>
      </c>
      <c r="AV42" s="143" t="e">
        <f aca="false">[1]!table2[[#this row],[d1: absolute discrimination measure (D1 = B2- A2)]]/[1]!table2[[#this row],[e2: total exploration time in second trial E2 ( E2 = A2 + B2)]]</f>
        <v>#N/A</v>
      </c>
      <c r="AW42" s="142" t="e">
        <f aca="false">(W42/AT42)*100</f>
        <v>#N/A</v>
      </c>
      <c r="AX42" s="142" t="e">
        <f aca="false">([1]!table2[[#this row],[object_a_._head_time]]/([1]!table2[[#this row],[object_a_._head_time]]+[1]!table2[[#this row],[object_b_._head_time]]))*100</f>
        <v>#N/A</v>
      </c>
      <c r="AY42" s="57" t="s">
        <v>64</v>
      </c>
      <c r="AZ42" s="57" t="s">
        <v>65</v>
      </c>
      <c r="BA42" s="57" t="s">
        <v>93</v>
      </c>
      <c r="BB42" s="58" t="n">
        <v>185</v>
      </c>
      <c r="BC42" s="59" t="n">
        <v>6.16666666666667</v>
      </c>
      <c r="BD42" s="60" t="s">
        <v>67</v>
      </c>
      <c r="BE42" s="57" t="n">
        <v>4</v>
      </c>
      <c r="BF42" s="61" t="s">
        <v>94</v>
      </c>
    </row>
    <row r="43" customFormat="false" ht="12" hidden="false" customHeight="true" outlineLevel="0" collapsed="false">
      <c r="A43" s="137" t="n">
        <v>76</v>
      </c>
      <c r="B43" s="138" t="s">
        <v>95</v>
      </c>
      <c r="C43" s="138" t="s">
        <v>172</v>
      </c>
      <c r="D43" s="138" t="s">
        <v>77</v>
      </c>
      <c r="E43" s="138" t="s">
        <v>282</v>
      </c>
      <c r="F43" s="138" t="s">
        <v>337</v>
      </c>
      <c r="G43" s="138" t="s">
        <v>341</v>
      </c>
      <c r="H43" s="139" t="n">
        <v>360</v>
      </c>
      <c r="I43" s="140" t="n">
        <v>8.905</v>
      </c>
      <c r="J43" s="140" t="n">
        <v>0.025</v>
      </c>
      <c r="K43" s="140" t="n">
        <v>0.282</v>
      </c>
      <c r="L43" s="139" t="n">
        <v>73.8</v>
      </c>
      <c r="M43" s="141" t="n">
        <v>23</v>
      </c>
      <c r="N43" s="139" t="n">
        <v>38</v>
      </c>
      <c r="O43" s="140" t="n">
        <v>1.367</v>
      </c>
      <c r="P43" s="140" t="n">
        <v>0.036</v>
      </c>
      <c r="Q43" s="140" t="n">
        <v>0.26</v>
      </c>
      <c r="R43" s="139" t="n">
        <v>2.2</v>
      </c>
      <c r="S43" s="141" t="n">
        <v>2715</v>
      </c>
      <c r="T43" s="139" t="n">
        <v>3.6</v>
      </c>
      <c r="U43" s="139" t="n">
        <v>5.1</v>
      </c>
      <c r="V43" s="141" t="n">
        <v>45</v>
      </c>
      <c r="W43" s="139" t="n">
        <v>53.1</v>
      </c>
      <c r="X43" s="140" t="n">
        <v>0.741</v>
      </c>
      <c r="Y43" s="140" t="n">
        <v>0.014</v>
      </c>
      <c r="Z43" s="140" t="n">
        <v>0.276</v>
      </c>
      <c r="AA43" s="139" t="n">
        <v>16.6</v>
      </c>
      <c r="AB43" s="141" t="n">
        <v>3281</v>
      </c>
      <c r="AC43" s="139" t="n">
        <v>12.8</v>
      </c>
      <c r="AD43" s="139" t="n">
        <v>37.5</v>
      </c>
      <c r="AE43" s="141" t="n">
        <v>10</v>
      </c>
      <c r="AF43" s="139" t="n">
        <v>9.3</v>
      </c>
      <c r="AG43" s="140" t="n">
        <v>1.278</v>
      </c>
      <c r="AH43" s="140" t="n">
        <v>0.138</v>
      </c>
      <c r="AI43" s="139" t="n">
        <v>0</v>
      </c>
      <c r="AJ43" s="141" t="n">
        <v>11</v>
      </c>
      <c r="AK43" s="139" t="n">
        <v>350.7</v>
      </c>
      <c r="AL43" s="140" t="n">
        <v>7.626</v>
      </c>
      <c r="AM43" s="140" t="n">
        <v>0.022</v>
      </c>
      <c r="AN43" s="139" t="n">
        <v>73.8</v>
      </c>
      <c r="AO43" s="52"/>
      <c r="AP43" s="52"/>
      <c r="AQ43" s="52"/>
      <c r="AR43" s="52"/>
      <c r="AS43" s="142" t="e">
        <f aca="false">[1]!table2[[#this row],[object_a_._head_time]]+[1]!table2[[#this row],[object_b_._head_time]]</f>
        <v>#N/A</v>
      </c>
      <c r="AT43" s="142" t="e">
        <f aca="false">[1]!table2[[#this row],[object_a_._head_time]]+[1]!table2[[#this row],[object_b_._head_time]]</f>
        <v>#N/A</v>
      </c>
      <c r="AU43" s="142" t="e">
        <f aca="false">[1]!table2[[#this row],[object_b_._head_time]]-[1]!table2[[#this row],[object_a_._head_time]]</f>
        <v>#N/A</v>
      </c>
      <c r="AV43" s="143" t="e">
        <f aca="false">[1]!table2[[#this row],[d1: absolute discrimination measure (D1 = B2- A2)]]/[1]!table2[[#this row],[e2: total exploration time in second trial E2 ( E2 = A2 + B2)]]</f>
        <v>#N/A</v>
      </c>
      <c r="AW43" s="142" t="e">
        <f aca="false">(W43/AT43)*100</f>
        <v>#N/A</v>
      </c>
      <c r="AX43" s="142" t="e">
        <f aca="false">([1]!table2[[#this row],[object_a_._head_time]]/([1]!table2[[#this row],[object_a_._head_time]]+[1]!table2[[#this row],[object_b_._head_time]]))*100</f>
        <v>#N/A</v>
      </c>
      <c r="AY43" s="57" t="s">
        <v>79</v>
      </c>
      <c r="AZ43" s="57" t="s">
        <v>65</v>
      </c>
      <c r="BA43" s="57" t="s">
        <v>93</v>
      </c>
      <c r="BB43" s="58" t="n">
        <v>185</v>
      </c>
      <c r="BC43" s="59" t="n">
        <v>6.16666666666667</v>
      </c>
      <c r="BD43" s="60" t="s">
        <v>67</v>
      </c>
      <c r="BE43" s="57" t="n">
        <v>4</v>
      </c>
      <c r="BF43" s="61"/>
    </row>
    <row r="44" customFormat="false" ht="12" hidden="false" customHeight="true" outlineLevel="0" collapsed="false">
      <c r="A44" s="137" t="n">
        <v>78</v>
      </c>
      <c r="B44" s="138" t="s">
        <v>98</v>
      </c>
      <c r="C44" s="138" t="s">
        <v>172</v>
      </c>
      <c r="D44" s="138" t="s">
        <v>60</v>
      </c>
      <c r="E44" s="138" t="s">
        <v>282</v>
      </c>
      <c r="F44" s="138" t="s">
        <v>183</v>
      </c>
      <c r="G44" s="138" t="s">
        <v>342</v>
      </c>
      <c r="H44" s="139" t="n">
        <v>360</v>
      </c>
      <c r="I44" s="140" t="n">
        <v>11.113</v>
      </c>
      <c r="J44" s="140" t="n">
        <v>0.031</v>
      </c>
      <c r="K44" s="140" t="n">
        <v>0.322</v>
      </c>
      <c r="L44" s="139" t="n">
        <v>25.3</v>
      </c>
      <c r="M44" s="141" t="n">
        <v>17</v>
      </c>
      <c r="N44" s="139" t="n">
        <v>26.9</v>
      </c>
      <c r="O44" s="140" t="n">
        <v>1.135</v>
      </c>
      <c r="P44" s="140" t="n">
        <v>0.042</v>
      </c>
      <c r="Q44" s="140" t="n">
        <v>0.31</v>
      </c>
      <c r="R44" s="139" t="n">
        <v>4</v>
      </c>
      <c r="S44" s="141" t="n">
        <v>2249</v>
      </c>
      <c r="T44" s="139" t="n">
        <v>0</v>
      </c>
      <c r="U44" s="139" t="n">
        <v>7</v>
      </c>
      <c r="V44" s="141" t="n">
        <v>22</v>
      </c>
      <c r="W44" s="139" t="n">
        <v>41.9</v>
      </c>
      <c r="X44" s="140" t="n">
        <v>1.661</v>
      </c>
      <c r="Y44" s="140" t="n">
        <v>0.04</v>
      </c>
      <c r="Z44" s="140" t="n">
        <v>0.237</v>
      </c>
      <c r="AA44" s="139" t="n">
        <v>8.1</v>
      </c>
      <c r="AB44" s="141" t="n">
        <v>3173</v>
      </c>
      <c r="AC44" s="139" t="n">
        <v>0</v>
      </c>
      <c r="AD44" s="139" t="n">
        <v>11.4</v>
      </c>
      <c r="AE44" s="141" t="n">
        <v>28</v>
      </c>
      <c r="AF44" s="139" t="n">
        <v>56.4</v>
      </c>
      <c r="AG44" s="140" t="n">
        <v>3.19</v>
      </c>
      <c r="AH44" s="140" t="n">
        <v>0.057</v>
      </c>
      <c r="AI44" s="139" t="n">
        <v>0</v>
      </c>
      <c r="AJ44" s="141" t="n">
        <v>29</v>
      </c>
      <c r="AK44" s="139" t="n">
        <v>303.6</v>
      </c>
      <c r="AL44" s="140" t="n">
        <v>7.923</v>
      </c>
      <c r="AM44" s="140" t="n">
        <v>0.026</v>
      </c>
      <c r="AN44" s="139" t="n">
        <v>25.3</v>
      </c>
      <c r="AO44" s="52"/>
      <c r="AP44" s="52"/>
      <c r="AQ44" s="52"/>
      <c r="AR44" s="52"/>
      <c r="AS44" s="142" t="e">
        <f aca="false">[1]!table2[[#this row],[object_a_._head_time]]+[1]!table2[[#this row],[object_b_._head_time]]</f>
        <v>#N/A</v>
      </c>
      <c r="AT44" s="142" t="e">
        <f aca="false">[1]!table2[[#this row],[object_a_._head_time]]+[1]!table2[[#this row],[object_b_._head_time]]</f>
        <v>#N/A</v>
      </c>
      <c r="AU44" s="142" t="e">
        <f aca="false">[1]!table2[[#this row],[object_b_._head_time]]-[1]!table2[[#this row],[object_a_._head_time]]</f>
        <v>#N/A</v>
      </c>
      <c r="AV44" s="143" t="e">
        <f aca="false">[1]!table2[[#this row],[d1: absolute discrimination measure (D1 = B2- A2)]]/[1]!table2[[#this row],[e2: total exploration time in second trial E2 ( E2 = A2 + B2)]]</f>
        <v>#N/A</v>
      </c>
      <c r="AW44" s="142" t="e">
        <f aca="false">(W44/AT44)*100</f>
        <v>#N/A</v>
      </c>
      <c r="AX44" s="142" t="e">
        <f aca="false">([1]!table2[[#this row],[object_a_._head_time]]/([1]!table2[[#this row],[object_a_._head_time]]+[1]!table2[[#this row],[object_b_._head_time]]))*100</f>
        <v>#N/A</v>
      </c>
      <c r="AY44" s="57" t="s">
        <v>79</v>
      </c>
      <c r="AZ44" s="57" t="s">
        <v>65</v>
      </c>
      <c r="BA44" s="57" t="s">
        <v>66</v>
      </c>
      <c r="BB44" s="58" t="n">
        <v>180</v>
      </c>
      <c r="BC44" s="59" t="n">
        <v>6</v>
      </c>
      <c r="BD44" s="60" t="s">
        <v>80</v>
      </c>
      <c r="BE44" s="57" t="n">
        <v>1</v>
      </c>
      <c r="BF44" s="61"/>
    </row>
    <row r="45" customFormat="false" ht="12" hidden="false" customHeight="true" outlineLevel="0" collapsed="false">
      <c r="A45" s="137" t="n">
        <v>77</v>
      </c>
      <c r="B45" s="138" t="s">
        <v>100</v>
      </c>
      <c r="C45" s="138" t="s">
        <v>172</v>
      </c>
      <c r="D45" s="138" t="s">
        <v>70</v>
      </c>
      <c r="E45" s="138" t="s">
        <v>282</v>
      </c>
      <c r="F45" s="138" t="s">
        <v>183</v>
      </c>
      <c r="G45" s="138" t="s">
        <v>343</v>
      </c>
      <c r="H45" s="139" t="n">
        <v>360</v>
      </c>
      <c r="I45" s="140" t="n">
        <v>7.58</v>
      </c>
      <c r="J45" s="140" t="n">
        <v>0.021</v>
      </c>
      <c r="K45" s="140" t="n">
        <v>0.226</v>
      </c>
      <c r="L45" s="139" t="n">
        <v>133.8</v>
      </c>
      <c r="M45" s="141" t="n">
        <v>26</v>
      </c>
      <c r="N45" s="139" t="n">
        <v>37.5</v>
      </c>
      <c r="O45" s="140" t="n">
        <v>0.947</v>
      </c>
      <c r="P45" s="140" t="n">
        <v>0.025</v>
      </c>
      <c r="Q45" s="140" t="n">
        <v>0.226</v>
      </c>
      <c r="R45" s="139" t="n">
        <v>20.5</v>
      </c>
      <c r="S45" s="141" t="n">
        <v>1539</v>
      </c>
      <c r="T45" s="139" t="n">
        <v>11.9</v>
      </c>
      <c r="U45" s="139" t="n">
        <v>29.7</v>
      </c>
      <c r="V45" s="141" t="n">
        <v>11</v>
      </c>
      <c r="W45" s="139" t="n">
        <v>13.4</v>
      </c>
      <c r="X45" s="140" t="n">
        <v>0.65</v>
      </c>
      <c r="Y45" s="140" t="n">
        <v>0.049</v>
      </c>
      <c r="Z45" s="140" t="n">
        <v>0.184</v>
      </c>
      <c r="AA45" s="139" t="n">
        <v>3.7</v>
      </c>
      <c r="AB45" s="141" t="n">
        <v>1230</v>
      </c>
      <c r="AC45" s="139" t="n">
        <v>0</v>
      </c>
      <c r="AD45" s="139" t="n">
        <v>1.8</v>
      </c>
      <c r="AE45" s="141" t="n">
        <v>11</v>
      </c>
      <c r="AF45" s="139" t="n">
        <v>13.5</v>
      </c>
      <c r="AG45" s="140" t="n">
        <v>1.337</v>
      </c>
      <c r="AH45" s="140" t="n">
        <v>0.099</v>
      </c>
      <c r="AI45" s="139" t="n">
        <v>0</v>
      </c>
      <c r="AJ45" s="141" t="n">
        <v>12</v>
      </c>
      <c r="AK45" s="139" t="n">
        <v>346.5</v>
      </c>
      <c r="AL45" s="140" t="n">
        <v>6.243</v>
      </c>
      <c r="AM45" s="140" t="n">
        <v>0.018</v>
      </c>
      <c r="AN45" s="139" t="n">
        <v>133.8</v>
      </c>
      <c r="AO45" s="52"/>
      <c r="AP45" s="52"/>
      <c r="AQ45" s="52"/>
      <c r="AR45" s="52"/>
      <c r="AS45" s="142" t="e">
        <f aca="false">[1]!table2[[#this row],[object_a_._head_time]]+[1]!table2[[#this row],[object_b_._head_time]]</f>
        <v>#N/A</v>
      </c>
      <c r="AT45" s="142" t="e">
        <f aca="false">[1]!table2[[#this row],[object_a_._head_time]]+[1]!table2[[#this row],[object_b_._head_time]]</f>
        <v>#N/A</v>
      </c>
      <c r="AU45" s="142" t="e">
        <f aca="false">[1]!table2[[#this row],[object_b_._head_time]]-[1]!table2[[#this row],[object_a_._head_time]]</f>
        <v>#N/A</v>
      </c>
      <c r="AV45" s="143" t="e">
        <f aca="false">[1]!table2[[#this row],[d1: absolute discrimination measure (D1 = B2- A2)]]/[1]!table2[[#this row],[e2: total exploration time in second trial E2 ( E2 = A2 + B2)]]</f>
        <v>#N/A</v>
      </c>
      <c r="AW45" s="142" t="e">
        <f aca="false">(W45/AT45)*100</f>
        <v>#N/A</v>
      </c>
      <c r="AX45" s="142" t="e">
        <f aca="false">([1]!table2[[#this row],[object_a_._head_time]]/([1]!table2[[#this row],[object_a_._head_time]]+[1]!table2[[#this row],[object_b_._head_time]]))*100</f>
        <v>#N/A</v>
      </c>
      <c r="AY45" s="57" t="s">
        <v>64</v>
      </c>
      <c r="AZ45" s="57" t="s">
        <v>65</v>
      </c>
      <c r="BA45" s="57" t="s">
        <v>93</v>
      </c>
      <c r="BB45" s="58" t="n">
        <v>180</v>
      </c>
      <c r="BC45" s="59" t="n">
        <v>6</v>
      </c>
      <c r="BD45" s="60" t="s">
        <v>80</v>
      </c>
      <c r="BE45" s="57" t="n">
        <v>3</v>
      </c>
      <c r="BF45" s="61"/>
    </row>
    <row r="46" customFormat="false" ht="12" hidden="false" customHeight="true" outlineLevel="0" collapsed="false">
      <c r="A46" s="137" t="n">
        <v>80</v>
      </c>
      <c r="B46" s="138" t="s">
        <v>103</v>
      </c>
      <c r="C46" s="138" t="s">
        <v>172</v>
      </c>
      <c r="D46" s="138" t="s">
        <v>73</v>
      </c>
      <c r="E46" s="138" t="s">
        <v>282</v>
      </c>
      <c r="F46" s="138" t="s">
        <v>344</v>
      </c>
      <c r="G46" s="138" t="s">
        <v>345</v>
      </c>
      <c r="H46" s="139" t="n">
        <v>360</v>
      </c>
      <c r="I46" s="140" t="n">
        <v>5.023</v>
      </c>
      <c r="J46" s="140" t="n">
        <v>0.014</v>
      </c>
      <c r="K46" s="140" t="n">
        <v>0.247</v>
      </c>
      <c r="L46" s="139" t="n">
        <v>148</v>
      </c>
      <c r="M46" s="141" t="n">
        <v>6</v>
      </c>
      <c r="N46" s="139" t="n">
        <v>7.1</v>
      </c>
      <c r="O46" s="140" t="n">
        <v>0.493</v>
      </c>
      <c r="P46" s="140" t="n">
        <v>0.07</v>
      </c>
      <c r="Q46" s="140" t="n">
        <v>0.219</v>
      </c>
      <c r="R46" s="139" t="n">
        <v>2.2</v>
      </c>
      <c r="S46" s="141" t="n">
        <v>639</v>
      </c>
      <c r="T46" s="139" t="n">
        <v>0</v>
      </c>
      <c r="U46" s="139" t="n">
        <v>0.7</v>
      </c>
      <c r="V46" s="141" t="n">
        <v>10</v>
      </c>
      <c r="W46" s="139" t="n">
        <v>21.3</v>
      </c>
      <c r="X46" s="140" t="n">
        <v>0.556</v>
      </c>
      <c r="Y46" s="140" t="n">
        <v>0.026</v>
      </c>
      <c r="Z46" s="140" t="n">
        <v>0.173</v>
      </c>
      <c r="AA46" s="139" t="n">
        <v>7.2</v>
      </c>
      <c r="AB46" s="141" t="n">
        <v>1374</v>
      </c>
      <c r="AC46" s="139" t="n">
        <v>6.1</v>
      </c>
      <c r="AD46" s="139" t="n">
        <v>1.7</v>
      </c>
      <c r="AE46" s="141" t="n">
        <v>4</v>
      </c>
      <c r="AF46" s="139" t="n">
        <v>5.7</v>
      </c>
      <c r="AG46" s="140" t="n">
        <v>0.671</v>
      </c>
      <c r="AH46" s="140" t="n">
        <v>0.118</v>
      </c>
      <c r="AI46" s="139" t="n">
        <v>0</v>
      </c>
      <c r="AJ46" s="141" t="n">
        <v>5</v>
      </c>
      <c r="AK46" s="139" t="n">
        <v>354.3</v>
      </c>
      <c r="AL46" s="140" t="n">
        <v>4.352</v>
      </c>
      <c r="AM46" s="140" t="n">
        <v>0.012</v>
      </c>
      <c r="AN46" s="139" t="n">
        <v>148</v>
      </c>
      <c r="AO46" s="52"/>
      <c r="AP46" s="52"/>
      <c r="AQ46" s="52"/>
      <c r="AR46" s="52"/>
      <c r="AS46" s="142" t="e">
        <f aca="false">[1]!table2[[#this row],[object_a_._head_time]]+[1]!table2[[#this row],[object_b_._head_time]]</f>
        <v>#N/A</v>
      </c>
      <c r="AT46" s="142" t="e">
        <f aca="false">[1]!table2[[#this row],[object_a_._head_time]]+[1]!table2[[#this row],[object_b_._head_time]]</f>
        <v>#N/A</v>
      </c>
      <c r="AU46" s="142" t="e">
        <f aca="false">[1]!table2[[#this row],[object_b_._head_time]]-[1]!table2[[#this row],[object_a_._head_time]]</f>
        <v>#N/A</v>
      </c>
      <c r="AV46" s="143" t="e">
        <f aca="false">[1]!table2[[#this row],[d1: absolute discrimination measure (D1 = B2- A2)]]/[1]!table2[[#this row],[e2: total exploration time in second trial E2 ( E2 = A2 + B2)]]</f>
        <v>#N/A</v>
      </c>
      <c r="AW46" s="142" t="e">
        <f aca="false">(W46/AT46)*100</f>
        <v>#N/A</v>
      </c>
      <c r="AX46" s="142" t="e">
        <f aca="false">([1]!table2[[#this row],[object_a_._head_time]]/([1]!table2[[#this row],[object_a_._head_time]]+[1]!table2[[#this row],[object_b_._head_time]]))*100</f>
        <v>#N/A</v>
      </c>
      <c r="AY46" s="57" t="s">
        <v>64</v>
      </c>
      <c r="AZ46" s="57" t="s">
        <v>105</v>
      </c>
      <c r="BA46" s="57" t="s">
        <v>66</v>
      </c>
      <c r="BB46" s="58" t="n">
        <v>180</v>
      </c>
      <c r="BC46" s="59" t="n">
        <v>6</v>
      </c>
      <c r="BD46" s="60" t="s">
        <v>67</v>
      </c>
      <c r="BE46" s="57" t="n">
        <v>6</v>
      </c>
      <c r="BF46" s="61"/>
    </row>
    <row r="47" customFormat="false" ht="12" hidden="false" customHeight="true" outlineLevel="0" collapsed="false">
      <c r="A47" s="137" t="n">
        <v>79</v>
      </c>
      <c r="B47" s="138" t="s">
        <v>106</v>
      </c>
      <c r="C47" s="138" t="s">
        <v>172</v>
      </c>
      <c r="D47" s="138" t="s">
        <v>77</v>
      </c>
      <c r="E47" s="138" t="s">
        <v>282</v>
      </c>
      <c r="F47" s="138" t="s">
        <v>344</v>
      </c>
      <c r="G47" s="138" t="s">
        <v>346</v>
      </c>
      <c r="H47" s="139" t="n">
        <v>360</v>
      </c>
      <c r="I47" s="140" t="n">
        <v>9.239</v>
      </c>
      <c r="J47" s="140" t="n">
        <v>0.026</v>
      </c>
      <c r="K47" s="140" t="n">
        <v>0.272</v>
      </c>
      <c r="L47" s="139" t="n">
        <v>164.8</v>
      </c>
      <c r="M47" s="141" t="n">
        <v>18</v>
      </c>
      <c r="N47" s="139" t="n">
        <v>14.9</v>
      </c>
      <c r="O47" s="140" t="n">
        <v>0.691</v>
      </c>
      <c r="P47" s="140" t="n">
        <v>0.047</v>
      </c>
      <c r="Q47" s="140" t="n">
        <v>0.218</v>
      </c>
      <c r="R47" s="139" t="n">
        <v>4.4</v>
      </c>
      <c r="S47" s="141" t="n">
        <v>1032</v>
      </c>
      <c r="T47" s="139" t="n">
        <v>2.4</v>
      </c>
      <c r="U47" s="139" t="n">
        <v>8.7</v>
      </c>
      <c r="V47" s="141" t="n">
        <v>19</v>
      </c>
      <c r="W47" s="139" t="n">
        <v>22.4</v>
      </c>
      <c r="X47" s="140" t="n">
        <v>0.908</v>
      </c>
      <c r="Y47" s="140" t="n">
        <v>0.041</v>
      </c>
      <c r="Z47" s="140" t="n">
        <v>0.271</v>
      </c>
      <c r="AA47" s="139" t="n">
        <v>10.8</v>
      </c>
      <c r="AB47" s="141" t="n">
        <v>1624</v>
      </c>
      <c r="AC47" s="139" t="n">
        <v>3.1</v>
      </c>
      <c r="AD47" s="139" t="n">
        <v>12.7</v>
      </c>
      <c r="AE47" s="141" t="n">
        <v>4</v>
      </c>
      <c r="AF47" s="139" t="n">
        <v>4.1</v>
      </c>
      <c r="AG47" s="140" t="n">
        <v>0.504</v>
      </c>
      <c r="AH47" s="140" t="n">
        <v>0.122</v>
      </c>
      <c r="AI47" s="139" t="n">
        <v>0</v>
      </c>
      <c r="AJ47" s="141" t="n">
        <v>5</v>
      </c>
      <c r="AK47" s="139" t="n">
        <v>355.9</v>
      </c>
      <c r="AL47" s="140" t="n">
        <v>8.736</v>
      </c>
      <c r="AM47" s="140" t="n">
        <v>0.025</v>
      </c>
      <c r="AN47" s="139" t="n">
        <v>164.8</v>
      </c>
      <c r="AO47" s="52"/>
      <c r="AP47" s="52"/>
      <c r="AQ47" s="52"/>
      <c r="AR47" s="52"/>
      <c r="AS47" s="142" t="e">
        <f aca="false">[1]!table2[[#this row],[object_a_._head_time]]+[1]!table2[[#this row],[object_b_._head_time]]</f>
        <v>#N/A</v>
      </c>
      <c r="AT47" s="142" t="e">
        <f aca="false">[1]!table2[[#this row],[object_a_._head_time]]+[1]!table2[[#this row],[object_b_._head_time]]</f>
        <v>#N/A</v>
      </c>
      <c r="AU47" s="142" t="e">
        <f aca="false">[1]!table2[[#this row],[object_b_._head_time]]-[1]!table2[[#this row],[object_a_._head_time]]</f>
        <v>#N/A</v>
      </c>
      <c r="AV47" s="143" t="e">
        <f aca="false">[1]!table2[[#this row],[d1: absolute discrimination measure (D1 = B2- A2)]]/[1]!table2[[#this row],[e2: total exploration time in second trial E2 ( E2 = A2 + B2)]]</f>
        <v>#N/A</v>
      </c>
      <c r="AW47" s="142" t="e">
        <f aca="false">(W47/AT47)*100</f>
        <v>#N/A</v>
      </c>
      <c r="AX47" s="142" t="e">
        <f aca="false">([1]!table2[[#this row],[object_a_._head_time]]/([1]!table2[[#this row],[object_a_._head_time]]+[1]!table2[[#this row],[object_b_._head_time]]))*100</f>
        <v>#N/A</v>
      </c>
      <c r="AY47" s="57" t="s">
        <v>79</v>
      </c>
      <c r="AZ47" s="57" t="s">
        <v>65</v>
      </c>
      <c r="BA47" s="57" t="s">
        <v>93</v>
      </c>
      <c r="BB47" s="58" t="n">
        <v>170</v>
      </c>
      <c r="BC47" s="59" t="n">
        <v>5.66666666666667</v>
      </c>
      <c r="BD47" s="60" t="s">
        <v>80</v>
      </c>
      <c r="BE47" s="57" t="n">
        <v>3</v>
      </c>
      <c r="BF47" s="61" t="s">
        <v>299</v>
      </c>
    </row>
    <row r="48" customFormat="false" ht="12" hidden="false" customHeight="true" outlineLevel="0" collapsed="false">
      <c r="A48" s="137" t="n">
        <v>82</v>
      </c>
      <c r="B48" s="138" t="s">
        <v>109</v>
      </c>
      <c r="C48" s="138" t="s">
        <v>172</v>
      </c>
      <c r="D48" s="138" t="s">
        <v>60</v>
      </c>
      <c r="E48" s="138" t="s">
        <v>282</v>
      </c>
      <c r="F48" s="138" t="s">
        <v>347</v>
      </c>
      <c r="G48" s="138" t="s">
        <v>348</v>
      </c>
      <c r="H48" s="139" t="n">
        <v>360</v>
      </c>
      <c r="I48" s="140" t="n">
        <v>9.956</v>
      </c>
      <c r="J48" s="140" t="n">
        <v>0.028</v>
      </c>
      <c r="K48" s="140" t="n">
        <v>0.272</v>
      </c>
      <c r="L48" s="139" t="n">
        <v>37</v>
      </c>
      <c r="M48" s="141" t="n">
        <v>14</v>
      </c>
      <c r="N48" s="139" t="n">
        <v>16.6</v>
      </c>
      <c r="O48" s="140" t="n">
        <v>0.841</v>
      </c>
      <c r="P48" s="140" t="n">
        <v>0.051</v>
      </c>
      <c r="Q48" s="140" t="n">
        <v>0.253</v>
      </c>
      <c r="R48" s="139" t="n">
        <v>3.6</v>
      </c>
      <c r="S48" s="141" t="n">
        <v>965</v>
      </c>
      <c r="T48" s="139" t="n">
        <v>2.3</v>
      </c>
      <c r="U48" s="139" t="n">
        <v>6.7</v>
      </c>
      <c r="V48" s="141" t="n">
        <v>41</v>
      </c>
      <c r="W48" s="139" t="n">
        <v>84</v>
      </c>
      <c r="X48" s="140" t="n">
        <v>1.956</v>
      </c>
      <c r="Y48" s="140" t="n">
        <v>0.023</v>
      </c>
      <c r="Z48" s="140" t="n">
        <v>0.196</v>
      </c>
      <c r="AA48" s="139" t="n">
        <v>21.4</v>
      </c>
      <c r="AB48" s="141" t="n">
        <v>4749</v>
      </c>
      <c r="AC48" s="139" t="n">
        <v>4.8</v>
      </c>
      <c r="AD48" s="139" t="n">
        <v>30.9</v>
      </c>
      <c r="AE48" s="141" t="n">
        <v>20</v>
      </c>
      <c r="AF48" s="139" t="n">
        <v>73.6</v>
      </c>
      <c r="AG48" s="140" t="n">
        <v>2.876</v>
      </c>
      <c r="AH48" s="140" t="n">
        <v>0.039</v>
      </c>
      <c r="AI48" s="139" t="n">
        <v>6.5</v>
      </c>
      <c r="AJ48" s="141" t="n">
        <v>21</v>
      </c>
      <c r="AK48" s="139" t="n">
        <v>286.4</v>
      </c>
      <c r="AL48" s="140" t="n">
        <v>7.08</v>
      </c>
      <c r="AM48" s="140" t="n">
        <v>0.025</v>
      </c>
      <c r="AN48" s="139" t="n">
        <v>30.4</v>
      </c>
      <c r="AO48" s="52"/>
      <c r="AP48" s="52"/>
      <c r="AQ48" s="52"/>
      <c r="AR48" s="52"/>
      <c r="AS48" s="142" t="e">
        <f aca="false">[1]!table2[[#this row],[object_a_._head_time]]+[1]!table2[[#this row],[object_b_._head_time]]</f>
        <v>#N/A</v>
      </c>
      <c r="AT48" s="142" t="e">
        <f aca="false">[1]!table2[[#this row],[object_a_._head_time]]+[1]!table2[[#this row],[object_b_._head_time]]</f>
        <v>#N/A</v>
      </c>
      <c r="AU48" s="142" t="e">
        <f aca="false">[1]!table2[[#this row],[object_b_._head_time]]-[1]!table2[[#this row],[object_a_._head_time]]</f>
        <v>#N/A</v>
      </c>
      <c r="AV48" s="143" t="e">
        <f aca="false">[1]!table2[[#this row],[d1: absolute discrimination measure (D1 = B2- A2)]]/[1]!table2[[#this row],[e2: total exploration time in second trial E2 ( E2 = A2 + B2)]]</f>
        <v>#N/A</v>
      </c>
      <c r="AW48" s="142" t="e">
        <f aca="false">(W48/AT48)*100</f>
        <v>#N/A</v>
      </c>
      <c r="AX48" s="142" t="e">
        <f aca="false">([1]!table2[[#this row],[object_a_._head_time]]/([1]!table2[[#this row],[object_a_._head_time]]+[1]!table2[[#this row],[object_b_._head_time]]))*100</f>
        <v>#N/A</v>
      </c>
      <c r="AY48" s="57" t="s">
        <v>79</v>
      </c>
      <c r="AZ48" s="57" t="s">
        <v>65</v>
      </c>
      <c r="BA48" s="57" t="s">
        <v>66</v>
      </c>
      <c r="BB48" s="58" t="n">
        <v>170</v>
      </c>
      <c r="BC48" s="59" t="n">
        <v>5.66666666666667</v>
      </c>
      <c r="BD48" s="60" t="s">
        <v>67</v>
      </c>
      <c r="BE48" s="57" t="n">
        <v>2</v>
      </c>
      <c r="BF48" s="61"/>
    </row>
    <row r="49" customFormat="false" ht="12" hidden="false" customHeight="true" outlineLevel="0" collapsed="false">
      <c r="A49" s="137" t="n">
        <v>81</v>
      </c>
      <c r="B49" s="138" t="s">
        <v>111</v>
      </c>
      <c r="C49" s="138" t="s">
        <v>172</v>
      </c>
      <c r="D49" s="138" t="s">
        <v>70</v>
      </c>
      <c r="E49" s="138" t="s">
        <v>282</v>
      </c>
      <c r="F49" s="138" t="s">
        <v>347</v>
      </c>
      <c r="G49" s="138" t="s">
        <v>349</v>
      </c>
      <c r="H49" s="139" t="n">
        <v>360</v>
      </c>
      <c r="I49" s="140" t="n">
        <v>7.996</v>
      </c>
      <c r="J49" s="140" t="n">
        <v>0.022</v>
      </c>
      <c r="K49" s="140" t="n">
        <v>0.234</v>
      </c>
      <c r="L49" s="139" t="n">
        <v>54.5</v>
      </c>
      <c r="M49" s="141" t="n">
        <v>16</v>
      </c>
      <c r="N49" s="139" t="n">
        <v>20.9</v>
      </c>
      <c r="O49" s="140" t="n">
        <v>0.646</v>
      </c>
      <c r="P49" s="140" t="n">
        <v>0.031</v>
      </c>
      <c r="Q49" s="140" t="n">
        <v>0.198</v>
      </c>
      <c r="R49" s="139" t="n">
        <v>8</v>
      </c>
      <c r="S49" s="141" t="n">
        <v>1403</v>
      </c>
      <c r="T49" s="139" t="n">
        <v>1.5</v>
      </c>
      <c r="U49" s="139" t="n">
        <v>10.3</v>
      </c>
      <c r="V49" s="141" t="n">
        <v>24</v>
      </c>
      <c r="W49" s="139" t="n">
        <v>31.8</v>
      </c>
      <c r="X49" s="140" t="n">
        <v>1.073</v>
      </c>
      <c r="Y49" s="140" t="n">
        <v>0.034</v>
      </c>
      <c r="Z49" s="140" t="n">
        <v>0.172</v>
      </c>
      <c r="AA49" s="139" t="n">
        <v>9.3</v>
      </c>
      <c r="AB49" s="141" t="n">
        <v>2038</v>
      </c>
      <c r="AC49" s="139" t="n">
        <v>1.1</v>
      </c>
      <c r="AD49" s="139" t="n">
        <v>16.1</v>
      </c>
      <c r="AE49" s="141" t="n">
        <v>6</v>
      </c>
      <c r="AF49" s="139" t="n">
        <v>9.5</v>
      </c>
      <c r="AG49" s="140" t="n">
        <v>0.961</v>
      </c>
      <c r="AH49" s="140" t="n">
        <v>0.101</v>
      </c>
      <c r="AI49" s="139" t="n">
        <v>0</v>
      </c>
      <c r="AJ49" s="141" t="n">
        <v>7</v>
      </c>
      <c r="AK49" s="139" t="n">
        <v>350.5</v>
      </c>
      <c r="AL49" s="140" t="n">
        <v>7.035</v>
      </c>
      <c r="AM49" s="140" t="n">
        <v>0.02</v>
      </c>
      <c r="AN49" s="139" t="n">
        <v>54.5</v>
      </c>
      <c r="AO49" s="52"/>
      <c r="AP49" s="52"/>
      <c r="AQ49" s="52"/>
      <c r="AR49" s="52"/>
      <c r="AS49" s="142" t="e">
        <f aca="false">[1]!table2[[#this row],[object_a_._head_time]]+[1]!table2[[#this row],[object_b_._head_time]]</f>
        <v>#N/A</v>
      </c>
      <c r="AT49" s="142" t="e">
        <f aca="false">[1]!table2[[#this row],[object_a_._head_time]]+[1]!table2[[#this row],[object_b_._head_time]]</f>
        <v>#N/A</v>
      </c>
      <c r="AU49" s="142" t="e">
        <f aca="false">[1]!table2[[#this row],[object_b_._head_time]]-[1]!table2[[#this row],[object_a_._head_time]]</f>
        <v>#N/A</v>
      </c>
      <c r="AV49" s="143" t="e">
        <f aca="false">[1]!table2[[#this row],[d1: absolute discrimination measure (D1 = B2- A2)]]/[1]!table2[[#this row],[e2: total exploration time in second trial E2 ( E2 = A2 + B2)]]</f>
        <v>#N/A</v>
      </c>
      <c r="AW49" s="142" t="e">
        <f aca="false">(W49/AT49)*100</f>
        <v>#N/A</v>
      </c>
      <c r="AX49" s="142" t="e">
        <f aca="false">([1]!table2[[#this row],[object_a_._head_time]]/([1]!table2[[#this row],[object_a_._head_time]]+[1]!table2[[#this row],[object_b_._head_time]]))*100</f>
        <v>#N/A</v>
      </c>
      <c r="AY49" s="57" t="s">
        <v>79</v>
      </c>
      <c r="AZ49" s="57" t="s">
        <v>65</v>
      </c>
      <c r="BA49" s="57" t="s">
        <v>93</v>
      </c>
      <c r="BB49" s="58" t="n">
        <v>170</v>
      </c>
      <c r="BC49" s="59" t="n">
        <v>5.66666666666667</v>
      </c>
      <c r="BD49" s="60" t="s">
        <v>67</v>
      </c>
      <c r="BE49" s="57" t="n">
        <v>4</v>
      </c>
      <c r="BF49" s="61"/>
    </row>
    <row r="50" customFormat="false" ht="12" hidden="false" customHeight="true" outlineLevel="0" collapsed="false">
      <c r="A50" s="137" t="n">
        <v>84</v>
      </c>
      <c r="B50" s="138" t="s">
        <v>113</v>
      </c>
      <c r="C50" s="138" t="s">
        <v>172</v>
      </c>
      <c r="D50" s="138" t="s">
        <v>73</v>
      </c>
      <c r="E50" s="138" t="s">
        <v>282</v>
      </c>
      <c r="F50" s="138" t="s">
        <v>350</v>
      </c>
      <c r="G50" s="138" t="s">
        <v>351</v>
      </c>
      <c r="H50" s="139" t="n">
        <v>360</v>
      </c>
      <c r="I50" s="140" t="n">
        <v>9.093</v>
      </c>
      <c r="J50" s="140" t="n">
        <v>0.025</v>
      </c>
      <c r="K50" s="140" t="n">
        <v>0.297</v>
      </c>
      <c r="L50" s="139" t="n">
        <v>87.1</v>
      </c>
      <c r="M50" s="141" t="n">
        <v>31</v>
      </c>
      <c r="N50" s="139" t="n">
        <v>63.4</v>
      </c>
      <c r="O50" s="140" t="n">
        <v>1.007</v>
      </c>
      <c r="P50" s="140" t="n">
        <v>0.016</v>
      </c>
      <c r="Q50" s="140" t="n">
        <v>0.297</v>
      </c>
      <c r="R50" s="139" t="n">
        <v>18.6</v>
      </c>
      <c r="S50" s="141" t="n">
        <v>3205</v>
      </c>
      <c r="T50" s="139" t="n">
        <v>13</v>
      </c>
      <c r="U50" s="139" t="n">
        <v>52.2</v>
      </c>
      <c r="V50" s="141" t="n">
        <v>15</v>
      </c>
      <c r="W50" s="139" t="n">
        <v>16.5</v>
      </c>
      <c r="X50" s="140" t="n">
        <v>0.736</v>
      </c>
      <c r="Y50" s="140" t="n">
        <v>0.045</v>
      </c>
      <c r="Z50" s="140" t="n">
        <v>0.189</v>
      </c>
      <c r="AA50" s="139" t="n">
        <v>4.5</v>
      </c>
      <c r="AB50" s="141" t="n">
        <v>1571</v>
      </c>
      <c r="AC50" s="139" t="n">
        <v>0</v>
      </c>
      <c r="AD50" s="139" t="n">
        <v>4.4</v>
      </c>
      <c r="AE50" s="141" t="n">
        <v>6</v>
      </c>
      <c r="AF50" s="139" t="n">
        <v>7.1</v>
      </c>
      <c r="AG50" s="140" t="n">
        <v>0.996</v>
      </c>
      <c r="AH50" s="140" t="n">
        <v>0.141</v>
      </c>
      <c r="AI50" s="139" t="n">
        <v>0</v>
      </c>
      <c r="AJ50" s="141" t="n">
        <v>7</v>
      </c>
      <c r="AK50" s="139" t="n">
        <v>352.9</v>
      </c>
      <c r="AL50" s="140" t="n">
        <v>8.098</v>
      </c>
      <c r="AM50" s="140" t="n">
        <v>0.023</v>
      </c>
      <c r="AN50" s="139" t="n">
        <v>87.1</v>
      </c>
      <c r="AO50" s="52"/>
      <c r="AP50" s="52"/>
      <c r="AQ50" s="52"/>
      <c r="AR50" s="52"/>
      <c r="AS50" s="142" t="e">
        <f aca="false">[1]!table2[[#this row],[object_a_._head_time]]+[1]!table2[[#this row],[object_b_._head_time]]</f>
        <v>#N/A</v>
      </c>
      <c r="AT50" s="142" t="e">
        <f aca="false">[1]!table2[[#this row],[object_a_._head_time]]+[1]!table2[[#this row],[object_b_._head_time]]</f>
        <v>#N/A</v>
      </c>
      <c r="AU50" s="142" t="e">
        <f aca="false">[1]!table2[[#this row],[object_b_._head_time]]-[1]!table2[[#this row],[object_a_._head_time]]</f>
        <v>#N/A</v>
      </c>
      <c r="AV50" s="143" t="e">
        <f aca="false">[1]!table2[[#this row],[d1: absolute discrimination measure (D1 = B2- A2)]]/[1]!table2[[#this row],[e2: total exploration time in second trial E2 ( E2 = A2 + B2)]]</f>
        <v>#N/A</v>
      </c>
      <c r="AW50" s="142" t="e">
        <f aca="false">(W50/AT50)*100</f>
        <v>#N/A</v>
      </c>
      <c r="AX50" s="142" t="e">
        <f aca="false">([1]!table2[[#this row],[object_a_._head_time]]/([1]!table2[[#this row],[object_a_._head_time]]+[1]!table2[[#this row],[object_b_._head_time]]))*100</f>
        <v>#N/A</v>
      </c>
      <c r="AY50" s="57" t="s">
        <v>79</v>
      </c>
      <c r="AZ50" s="57" t="s">
        <v>65</v>
      </c>
      <c r="BA50" s="57" t="s">
        <v>93</v>
      </c>
      <c r="BB50" s="58" t="n">
        <v>170</v>
      </c>
      <c r="BC50" s="59" t="n">
        <v>5.66666666666667</v>
      </c>
      <c r="BD50" s="60" t="s">
        <v>80</v>
      </c>
      <c r="BE50" s="57" t="n">
        <v>3</v>
      </c>
      <c r="BF50" s="61"/>
    </row>
    <row r="51" customFormat="false" ht="12" hidden="false" customHeight="true" outlineLevel="0" collapsed="false">
      <c r="A51" s="137" t="n">
        <v>83</v>
      </c>
      <c r="B51" s="138" t="s">
        <v>116</v>
      </c>
      <c r="C51" s="138" t="s">
        <v>172</v>
      </c>
      <c r="D51" s="138" t="s">
        <v>77</v>
      </c>
      <c r="E51" s="138" t="s">
        <v>282</v>
      </c>
      <c r="F51" s="138" t="s">
        <v>350</v>
      </c>
      <c r="G51" s="138" t="s">
        <v>352</v>
      </c>
      <c r="H51" s="139" t="n">
        <v>360</v>
      </c>
      <c r="I51" s="140" t="n">
        <v>5.279</v>
      </c>
      <c r="J51" s="140" t="n">
        <v>0.015</v>
      </c>
      <c r="K51" s="140" t="n">
        <v>0.268</v>
      </c>
      <c r="L51" s="139" t="n">
        <v>182.8</v>
      </c>
      <c r="M51" s="141" t="n">
        <v>11</v>
      </c>
      <c r="N51" s="139" t="n">
        <v>25.1</v>
      </c>
      <c r="O51" s="140" t="n">
        <v>0.79</v>
      </c>
      <c r="P51" s="140" t="n">
        <v>0.032</v>
      </c>
      <c r="Q51" s="140" t="n">
        <v>0.184</v>
      </c>
      <c r="R51" s="139" t="n">
        <v>9.2</v>
      </c>
      <c r="S51" s="141" t="n">
        <v>1774</v>
      </c>
      <c r="T51" s="139" t="n">
        <v>0</v>
      </c>
      <c r="U51" s="139" t="n">
        <v>10.4</v>
      </c>
      <c r="V51" s="141" t="n">
        <v>6</v>
      </c>
      <c r="W51" s="139" t="n">
        <v>8.3</v>
      </c>
      <c r="X51" s="140" t="n">
        <v>0.623</v>
      </c>
      <c r="Y51" s="140" t="n">
        <v>0.075</v>
      </c>
      <c r="Z51" s="140" t="n">
        <v>0.232</v>
      </c>
      <c r="AA51" s="139" t="n">
        <v>7.1</v>
      </c>
      <c r="AB51" s="141" t="n">
        <v>307</v>
      </c>
      <c r="AC51" s="139" t="n">
        <v>0</v>
      </c>
      <c r="AD51" s="139" t="n">
        <v>7.7</v>
      </c>
      <c r="AE51" s="141" t="n">
        <v>3</v>
      </c>
      <c r="AF51" s="139" t="n">
        <v>4</v>
      </c>
      <c r="AG51" s="140" t="n">
        <v>0.373</v>
      </c>
      <c r="AH51" s="140" t="n">
        <v>0.093</v>
      </c>
      <c r="AI51" s="139" t="n">
        <v>0</v>
      </c>
      <c r="AJ51" s="141" t="n">
        <v>4</v>
      </c>
      <c r="AK51" s="139" t="n">
        <v>356</v>
      </c>
      <c r="AL51" s="140" t="n">
        <v>4.906</v>
      </c>
      <c r="AM51" s="140" t="n">
        <v>0.014</v>
      </c>
      <c r="AN51" s="139" t="n">
        <v>182.8</v>
      </c>
      <c r="AO51" s="52"/>
      <c r="AP51" s="52"/>
      <c r="AQ51" s="52"/>
      <c r="AR51" s="52"/>
      <c r="AS51" s="142" t="e">
        <f aca="false">[1]!table2[[#this row],[object_a_._head_time]]+[1]!table2[[#this row],[object_b_._head_time]]</f>
        <v>#N/A</v>
      </c>
      <c r="AT51" s="142" t="e">
        <f aca="false">[1]!table2[[#this row],[object_a_._head_time]]+[1]!table2[[#this row],[object_b_._head_time]]</f>
        <v>#N/A</v>
      </c>
      <c r="AU51" s="142" t="e">
        <f aca="false">[1]!table2[[#this row],[object_b_._head_time]]-[1]!table2[[#this row],[object_a_._head_time]]</f>
        <v>#N/A</v>
      </c>
      <c r="AV51" s="143" t="e">
        <f aca="false">[1]!table2[[#this row],[d1: absolute discrimination measure (D1 = B2- A2)]]/[1]!table2[[#this row],[e2: total exploration time in second trial E2 ( E2 = A2 + B2)]]</f>
        <v>#N/A</v>
      </c>
      <c r="AW51" s="142" t="e">
        <f aca="false">(W51/AT51)*100</f>
        <v>#N/A</v>
      </c>
      <c r="AX51" s="142" t="e">
        <f aca="false">([1]!table2[[#this row],[object_a_._head_time]]/([1]!table2[[#this row],[object_a_._head_time]]+[1]!table2[[#this row],[object_b_._head_time]]))*100</f>
        <v>#N/A</v>
      </c>
      <c r="AY51" s="57" t="s">
        <v>79</v>
      </c>
      <c r="AZ51" s="57" t="s">
        <v>119</v>
      </c>
      <c r="BA51" s="57" t="s">
        <v>66</v>
      </c>
      <c r="BB51" s="58" t="n">
        <v>163</v>
      </c>
      <c r="BC51" s="59" t="n">
        <v>5.43333333333333</v>
      </c>
      <c r="BD51" s="60" t="s">
        <v>67</v>
      </c>
      <c r="BE51" s="57" t="n">
        <v>6</v>
      </c>
      <c r="BF51" s="61" t="s">
        <v>120</v>
      </c>
    </row>
    <row r="52" customFormat="false" ht="12" hidden="false" customHeight="true" outlineLevel="0" collapsed="false">
      <c r="A52" s="137" t="n">
        <v>86</v>
      </c>
      <c r="B52" s="138" t="s">
        <v>121</v>
      </c>
      <c r="C52" s="138" t="s">
        <v>172</v>
      </c>
      <c r="D52" s="138" t="s">
        <v>60</v>
      </c>
      <c r="E52" s="138" t="s">
        <v>282</v>
      </c>
      <c r="F52" s="138" t="s">
        <v>353</v>
      </c>
      <c r="G52" s="138" t="s">
        <v>354</v>
      </c>
      <c r="H52" s="139" t="n">
        <v>360</v>
      </c>
      <c r="I52" s="140" t="n">
        <v>13.728</v>
      </c>
      <c r="J52" s="140" t="n">
        <v>0.038</v>
      </c>
      <c r="K52" s="140" t="n">
        <v>0.289</v>
      </c>
      <c r="L52" s="139" t="n">
        <v>51.7</v>
      </c>
      <c r="M52" s="141" t="n">
        <v>18</v>
      </c>
      <c r="N52" s="139" t="n">
        <v>7.9</v>
      </c>
      <c r="O52" s="140" t="n">
        <v>0.227</v>
      </c>
      <c r="P52" s="140" t="n">
        <v>0.029</v>
      </c>
      <c r="Q52" s="140" t="n">
        <v>0.18</v>
      </c>
      <c r="R52" s="139" t="n">
        <v>5.4</v>
      </c>
      <c r="S52" s="141" t="n">
        <v>728</v>
      </c>
      <c r="T52" s="139" t="n">
        <v>1.4</v>
      </c>
      <c r="U52" s="139" t="n">
        <v>7.2</v>
      </c>
      <c r="V52" s="141" t="n">
        <v>12</v>
      </c>
      <c r="W52" s="139" t="n">
        <v>10.6</v>
      </c>
      <c r="X52" s="140" t="n">
        <v>0.329</v>
      </c>
      <c r="Y52" s="140" t="n">
        <v>0.031</v>
      </c>
      <c r="Z52" s="140" t="n">
        <v>0.156</v>
      </c>
      <c r="AA52" s="139" t="n">
        <v>7.3</v>
      </c>
      <c r="AB52" s="141" t="n">
        <v>681</v>
      </c>
      <c r="AC52" s="139" t="n">
        <v>0</v>
      </c>
      <c r="AD52" s="139" t="n">
        <v>8.1</v>
      </c>
      <c r="AE52" s="141" t="n">
        <v>5</v>
      </c>
      <c r="AF52" s="139" t="n">
        <v>8.5</v>
      </c>
      <c r="AG52" s="140" t="n">
        <v>1.008</v>
      </c>
      <c r="AH52" s="140" t="n">
        <v>0.119</v>
      </c>
      <c r="AI52" s="139" t="n">
        <v>0</v>
      </c>
      <c r="AJ52" s="141" t="n">
        <v>5</v>
      </c>
      <c r="AK52" s="139" t="n">
        <v>351.5</v>
      </c>
      <c r="AL52" s="140" t="n">
        <v>12.72</v>
      </c>
      <c r="AM52" s="140" t="n">
        <v>0.036</v>
      </c>
      <c r="AN52" s="139" t="n">
        <v>51.7</v>
      </c>
      <c r="AO52" s="52"/>
      <c r="AP52" s="52"/>
      <c r="AQ52" s="52"/>
      <c r="AR52" s="52"/>
      <c r="AS52" s="142" t="e">
        <f aca="false">[1]!table2[[#this row],[object_a_._head_time]]+[1]!table2[[#this row],[object_b_._head_time]]</f>
        <v>#N/A</v>
      </c>
      <c r="AT52" s="142" t="e">
        <f aca="false">[1]!table2[[#this row],[object_a_._head_time]]+[1]!table2[[#this row],[object_b_._head_time]]</f>
        <v>#N/A</v>
      </c>
      <c r="AU52" s="142" t="e">
        <f aca="false">[1]!table2[[#this row],[object_b_._head_time]]-[1]!table2[[#this row],[object_a_._head_time]]</f>
        <v>#N/A</v>
      </c>
      <c r="AV52" s="143" t="e">
        <f aca="false">[1]!table2[[#this row],[d1: absolute discrimination measure (D1 = B2- A2)]]/[1]!table2[[#this row],[e2: total exploration time in second trial E2 ( E2 = A2 + B2)]]</f>
        <v>#N/A</v>
      </c>
      <c r="AW52" s="142" t="e">
        <f aca="false">(W52/AT52)*100</f>
        <v>#N/A</v>
      </c>
      <c r="AX52" s="142" t="e">
        <f aca="false">([1]!table2[[#this row],[object_a_._head_time]]/([1]!table2[[#this row],[object_a_._head_time]]+[1]!table2[[#this row],[object_b_._head_time]]))*100</f>
        <v>#N/A</v>
      </c>
      <c r="AY52" s="57" t="s">
        <v>79</v>
      </c>
      <c r="AZ52" s="57" t="s">
        <v>123</v>
      </c>
      <c r="BA52" s="57" t="s">
        <v>93</v>
      </c>
      <c r="BB52" s="58" t="n">
        <v>163</v>
      </c>
      <c r="BC52" s="59" t="n">
        <v>5.43333333333333</v>
      </c>
      <c r="BD52" s="57" t="s">
        <v>67</v>
      </c>
      <c r="BE52" s="57" t="n">
        <v>4</v>
      </c>
      <c r="BF52" s="61" t="s">
        <v>120</v>
      </c>
    </row>
    <row r="53" customFormat="false" ht="12" hidden="false" customHeight="true" outlineLevel="0" collapsed="false">
      <c r="A53" s="137" t="n">
        <v>85</v>
      </c>
      <c r="B53" s="138" t="s">
        <v>124</v>
      </c>
      <c r="C53" s="138" t="s">
        <v>172</v>
      </c>
      <c r="D53" s="138" t="s">
        <v>70</v>
      </c>
      <c r="E53" s="138" t="s">
        <v>282</v>
      </c>
      <c r="F53" s="138" t="s">
        <v>353</v>
      </c>
      <c r="G53" s="138" t="s">
        <v>355</v>
      </c>
      <c r="H53" s="139" t="n">
        <v>360</v>
      </c>
      <c r="I53" s="140" t="n">
        <v>12.779</v>
      </c>
      <c r="J53" s="140" t="n">
        <v>0.035</v>
      </c>
      <c r="K53" s="140" t="n">
        <v>0.327</v>
      </c>
      <c r="L53" s="139" t="n">
        <v>81.6</v>
      </c>
      <c r="M53" s="141" t="n">
        <v>15</v>
      </c>
      <c r="N53" s="139" t="n">
        <v>9.5</v>
      </c>
      <c r="O53" s="140" t="n">
        <v>0.614</v>
      </c>
      <c r="P53" s="140" t="n">
        <v>0.065</v>
      </c>
      <c r="Q53" s="140" t="n">
        <v>0.217</v>
      </c>
      <c r="R53" s="139" t="n">
        <v>4.3</v>
      </c>
      <c r="S53" s="141" t="n">
        <v>726</v>
      </c>
      <c r="T53" s="139" t="n">
        <v>0.5</v>
      </c>
      <c r="U53" s="139" t="n">
        <v>3.1</v>
      </c>
      <c r="V53" s="141" t="n">
        <v>12</v>
      </c>
      <c r="W53" s="139" t="n">
        <v>11.2</v>
      </c>
      <c r="X53" s="140" t="n">
        <v>0.639</v>
      </c>
      <c r="Y53" s="140" t="n">
        <v>0.057</v>
      </c>
      <c r="Z53" s="140" t="n">
        <v>0.204</v>
      </c>
      <c r="AA53" s="139" t="n">
        <v>4.4</v>
      </c>
      <c r="AB53" s="141" t="n">
        <v>976</v>
      </c>
      <c r="AC53" s="139" t="n">
        <v>0.8</v>
      </c>
      <c r="AD53" s="139" t="n">
        <v>3.6</v>
      </c>
      <c r="AE53" s="141" t="n">
        <v>6</v>
      </c>
      <c r="AF53" s="139" t="n">
        <v>5.7</v>
      </c>
      <c r="AG53" s="140" t="n">
        <v>1.025</v>
      </c>
      <c r="AH53" s="140" t="n">
        <v>0.178</v>
      </c>
      <c r="AI53" s="139" t="n">
        <v>0</v>
      </c>
      <c r="AJ53" s="141" t="n">
        <v>7</v>
      </c>
      <c r="AK53" s="139" t="n">
        <v>354.3</v>
      </c>
      <c r="AL53" s="140" t="n">
        <v>11.754</v>
      </c>
      <c r="AM53" s="140" t="n">
        <v>0.033</v>
      </c>
      <c r="AN53" s="139" t="n">
        <v>81.6</v>
      </c>
      <c r="AO53" s="52"/>
      <c r="AP53" s="52"/>
      <c r="AQ53" s="52"/>
      <c r="AR53" s="52"/>
      <c r="AS53" s="142" t="e">
        <f aca="false">[1]!table2[[#this row],[object_a_._head_time]]+[1]!table2[[#this row],[object_b_._head_time]]</f>
        <v>#N/A</v>
      </c>
      <c r="AT53" s="142" t="e">
        <f aca="false">[1]!table2[[#this row],[object_a_._head_time]]+[1]!table2[[#this row],[object_b_._head_time]]</f>
        <v>#N/A</v>
      </c>
      <c r="AU53" s="142" t="e">
        <f aca="false">[1]!table2[[#this row],[object_b_._head_time]]-[1]!table2[[#this row],[object_a_._head_time]]</f>
        <v>#N/A</v>
      </c>
      <c r="AV53" s="143" t="e">
        <f aca="false">[1]!table2[[#this row],[d1: absolute discrimination measure (D1 = B2- A2)]]/[1]!table2[[#this row],[e2: total exploration time in second trial E2 ( E2 = A2 + B2)]]</f>
        <v>#N/A</v>
      </c>
      <c r="AW53" s="142" t="e">
        <f aca="false">(W53/AT53)*100</f>
        <v>#N/A</v>
      </c>
      <c r="AX53" s="142" t="e">
        <f aca="false">([1]!table2[[#this row],[object_a_._head_time]]/([1]!table2[[#this row],[object_a_._head_time]]+[1]!table2[[#this row],[object_b_._head_time]]))*100</f>
        <v>#N/A</v>
      </c>
      <c r="AY53" s="57" t="s">
        <v>64</v>
      </c>
      <c r="AZ53" s="57" t="s">
        <v>105</v>
      </c>
      <c r="BA53" s="57" t="s">
        <v>66</v>
      </c>
      <c r="BB53" s="58" t="n">
        <v>145</v>
      </c>
      <c r="BC53" s="59" t="n">
        <v>4.83333333333333</v>
      </c>
      <c r="BD53" s="60" t="s">
        <v>80</v>
      </c>
      <c r="BE53" s="57" t="n">
        <v>5</v>
      </c>
      <c r="BF53" s="61"/>
    </row>
    <row r="54" customFormat="false" ht="12" hidden="false" customHeight="true" outlineLevel="0" collapsed="false">
      <c r="A54" s="137" t="n">
        <v>87</v>
      </c>
      <c r="B54" s="138" t="s">
        <v>126</v>
      </c>
      <c r="C54" s="138" t="s">
        <v>172</v>
      </c>
      <c r="D54" s="138" t="s">
        <v>73</v>
      </c>
      <c r="E54" s="138" t="s">
        <v>282</v>
      </c>
      <c r="F54" s="138" t="s">
        <v>353</v>
      </c>
      <c r="G54" s="138" t="s">
        <v>356</v>
      </c>
      <c r="H54" s="139" t="n">
        <v>360</v>
      </c>
      <c r="I54" s="140" t="n">
        <v>3.372</v>
      </c>
      <c r="J54" s="140" t="n">
        <v>0.009</v>
      </c>
      <c r="K54" s="140" t="n">
        <v>0.243</v>
      </c>
      <c r="L54" s="139" t="n">
        <v>67.5</v>
      </c>
      <c r="M54" s="141" t="n">
        <v>34</v>
      </c>
      <c r="N54" s="139" t="n">
        <v>44.2</v>
      </c>
      <c r="O54" s="140" t="n">
        <v>0.102</v>
      </c>
      <c r="P54" s="140" t="n">
        <v>0.002</v>
      </c>
      <c r="Q54" s="140" t="n">
        <v>0.146</v>
      </c>
      <c r="R54" s="139" t="n">
        <v>29.9</v>
      </c>
      <c r="S54" s="141" t="n">
        <v>1665</v>
      </c>
      <c r="T54" s="139" t="n">
        <v>6.9</v>
      </c>
      <c r="U54" s="139" t="n">
        <v>43.9</v>
      </c>
      <c r="V54" s="141" t="n">
        <v>7</v>
      </c>
      <c r="W54" s="139" t="n">
        <v>4.1</v>
      </c>
      <c r="X54" s="140" t="n">
        <v>0.099</v>
      </c>
      <c r="Y54" s="140" t="n">
        <v>0.024</v>
      </c>
      <c r="Z54" s="140" t="n">
        <v>0.138</v>
      </c>
      <c r="AA54" s="139" t="n">
        <v>1.9</v>
      </c>
      <c r="AB54" s="141" t="n">
        <v>215</v>
      </c>
      <c r="AC54" s="139" t="n">
        <v>0</v>
      </c>
      <c r="AD54" s="139" t="n">
        <v>1.9</v>
      </c>
      <c r="AE54" s="141" t="n">
        <v>4</v>
      </c>
      <c r="AF54" s="139" t="n">
        <v>5.3</v>
      </c>
      <c r="AG54" s="140" t="n">
        <v>0.208</v>
      </c>
      <c r="AH54" s="140" t="n">
        <v>0.039</v>
      </c>
      <c r="AI54" s="139" t="n">
        <v>0</v>
      </c>
      <c r="AJ54" s="141" t="n">
        <v>4</v>
      </c>
      <c r="AK54" s="139" t="n">
        <v>354.7</v>
      </c>
      <c r="AL54" s="140" t="n">
        <v>3.165</v>
      </c>
      <c r="AM54" s="140" t="n">
        <v>0.009</v>
      </c>
      <c r="AN54" s="139" t="n">
        <v>67.5</v>
      </c>
      <c r="AO54" s="52"/>
      <c r="AP54" s="52"/>
      <c r="AQ54" s="52"/>
      <c r="AR54" s="52"/>
      <c r="AS54" s="142" t="e">
        <f aca="false">[1]!table2[[#this row],[object_a_._head_time]]+[1]!table2[[#this row],[object_b_._head_time]]</f>
        <v>#N/A</v>
      </c>
      <c r="AT54" s="142" t="e">
        <f aca="false">[1]!table2[[#this row],[object_a_._head_time]]+[1]!table2[[#this row],[object_b_._head_time]]</f>
        <v>#N/A</v>
      </c>
      <c r="AU54" s="142" t="e">
        <f aca="false">[1]!table2[[#this row],[object_b_._head_time]]-[1]!table2[[#this row],[object_a_._head_time]]</f>
        <v>#N/A</v>
      </c>
      <c r="AV54" s="143" t="e">
        <f aca="false">[1]!table2[[#this row],[d1: absolute discrimination measure (D1 = B2- A2)]]/[1]!table2[[#this row],[e2: total exploration time in second trial E2 ( E2 = A2 + B2)]]</f>
        <v>#N/A</v>
      </c>
      <c r="AW54" s="142" t="e">
        <f aca="false">(W54/AT54)*100</f>
        <v>#N/A</v>
      </c>
      <c r="AX54" s="142" t="e">
        <f aca="false">([1]!table2[[#this row],[object_a_._head_time]]/([1]!table2[[#this row],[object_a_._head_time]]+[1]!table2[[#this row],[object_b_._head_time]]))*100</f>
        <v>#N/A</v>
      </c>
      <c r="AY54" s="57" t="s">
        <v>64</v>
      </c>
      <c r="AZ54" s="57" t="s">
        <v>105</v>
      </c>
      <c r="BA54" s="57" t="s">
        <v>66</v>
      </c>
      <c r="BB54" s="58" t="n">
        <v>143</v>
      </c>
      <c r="BC54" s="59" t="n">
        <v>4.76666666666667</v>
      </c>
      <c r="BD54" s="60" t="s">
        <v>67</v>
      </c>
      <c r="BE54" s="57" t="n">
        <v>6</v>
      </c>
      <c r="BF54" s="61" t="s">
        <v>94</v>
      </c>
    </row>
    <row r="55" customFormat="false" ht="12" hidden="false" customHeight="true" outlineLevel="0" collapsed="false">
      <c r="A55" s="137" t="n">
        <v>88</v>
      </c>
      <c r="B55" s="138" t="s">
        <v>128</v>
      </c>
      <c r="C55" s="138" t="s">
        <v>172</v>
      </c>
      <c r="D55" s="138" t="s">
        <v>77</v>
      </c>
      <c r="E55" s="138" t="s">
        <v>282</v>
      </c>
      <c r="F55" s="138" t="s">
        <v>353</v>
      </c>
      <c r="G55" s="138" t="s">
        <v>357</v>
      </c>
      <c r="H55" s="139" t="n">
        <v>360</v>
      </c>
      <c r="I55" s="140" t="n">
        <v>10.536</v>
      </c>
      <c r="J55" s="140" t="n">
        <v>0.029</v>
      </c>
      <c r="K55" s="140" t="n">
        <v>0.295</v>
      </c>
      <c r="L55" s="139" t="n">
        <v>65.7</v>
      </c>
      <c r="M55" s="141" t="n">
        <v>24</v>
      </c>
      <c r="N55" s="139" t="n">
        <v>19.3</v>
      </c>
      <c r="O55" s="140" t="n">
        <v>0.582</v>
      </c>
      <c r="P55" s="140" t="n">
        <v>0.03</v>
      </c>
      <c r="Q55" s="140" t="n">
        <v>0.179</v>
      </c>
      <c r="R55" s="139" t="n">
        <v>9.5</v>
      </c>
      <c r="S55" s="141" t="n">
        <v>1393</v>
      </c>
      <c r="T55" s="139" t="n">
        <v>2.8</v>
      </c>
      <c r="U55" s="139" t="n">
        <v>13.1</v>
      </c>
      <c r="V55" s="141" t="n">
        <v>17</v>
      </c>
      <c r="W55" s="139" t="n">
        <v>21.2</v>
      </c>
      <c r="X55" s="140" t="n">
        <v>0.327</v>
      </c>
      <c r="Y55" s="140" t="n">
        <v>0.015</v>
      </c>
      <c r="Z55" s="140" t="n">
        <v>0.134</v>
      </c>
      <c r="AA55" s="139" t="n">
        <v>13.5</v>
      </c>
      <c r="AB55" s="141" t="n">
        <v>1521</v>
      </c>
      <c r="AC55" s="139" t="n">
        <v>1.2</v>
      </c>
      <c r="AD55" s="139" t="n">
        <v>17.7</v>
      </c>
      <c r="AE55" s="141" t="n">
        <v>8</v>
      </c>
      <c r="AF55" s="139" t="n">
        <v>18.8</v>
      </c>
      <c r="AG55" s="140" t="n">
        <v>1.114</v>
      </c>
      <c r="AH55" s="140" t="n">
        <v>0.059</v>
      </c>
      <c r="AI55" s="139" t="n">
        <v>0</v>
      </c>
      <c r="AJ55" s="141" t="n">
        <v>7</v>
      </c>
      <c r="AK55" s="139" t="n">
        <v>341.2</v>
      </c>
      <c r="AL55" s="140" t="n">
        <v>9.422</v>
      </c>
      <c r="AM55" s="140" t="n">
        <v>0.028</v>
      </c>
      <c r="AN55" s="139" t="n">
        <v>65.7</v>
      </c>
      <c r="AO55" s="52"/>
      <c r="AP55" s="52"/>
      <c r="AQ55" s="52"/>
      <c r="AR55" s="52"/>
      <c r="AS55" s="142" t="e">
        <f aca="false">[1]!table2[[#this row],[object_a_._head_time]]+[1]!table2[[#this row],[object_b_._head_time]]</f>
        <v>#N/A</v>
      </c>
      <c r="AT55" s="142" t="e">
        <f aca="false">[1]!table2[[#this row],[object_a_._head_time]]+[1]!table2[[#this row],[object_b_._head_time]]</f>
        <v>#N/A</v>
      </c>
      <c r="AU55" s="142" t="e">
        <f aca="false">[1]!table2[[#this row],[object_b_._head_time]]-[1]!table2[[#this row],[object_a_._head_time]]</f>
        <v>#N/A</v>
      </c>
      <c r="AV55" s="143" t="e">
        <f aca="false">[1]!table2[[#this row],[d1: absolute discrimination measure (D1 = B2- A2)]]/[1]!table2[[#this row],[e2: total exploration time in second trial E2 ( E2 = A2 + B2)]]</f>
        <v>#N/A</v>
      </c>
      <c r="AW55" s="142" t="e">
        <f aca="false">(W55/AT55)*100</f>
        <v>#N/A</v>
      </c>
      <c r="AX55" s="142" t="e">
        <f aca="false">([1]!table2[[#this row],[object_a_._head_time]]/([1]!table2[[#this row],[object_a_._head_time]]+[1]!table2[[#this row],[object_b_._head_time]]))*100</f>
        <v>#N/A</v>
      </c>
      <c r="AY55" s="57" t="s">
        <v>64</v>
      </c>
      <c r="AZ55" s="57" t="s">
        <v>131</v>
      </c>
      <c r="BA55" s="57" t="s">
        <v>93</v>
      </c>
      <c r="BB55" s="58" t="n">
        <v>140</v>
      </c>
      <c r="BC55" s="59" t="n">
        <v>4.66666666666667</v>
      </c>
      <c r="BD55" s="60" t="s">
        <v>67</v>
      </c>
      <c r="BE55" s="57" t="n">
        <v>8</v>
      </c>
      <c r="BF55" s="61"/>
    </row>
    <row r="56" customFormat="false" ht="12" hidden="false" customHeight="true" outlineLevel="0" collapsed="false">
      <c r="A56" s="137" t="n">
        <v>90</v>
      </c>
      <c r="B56" s="138" t="s">
        <v>132</v>
      </c>
      <c r="C56" s="138" t="s">
        <v>172</v>
      </c>
      <c r="D56" s="138" t="s">
        <v>60</v>
      </c>
      <c r="E56" s="138" t="s">
        <v>282</v>
      </c>
      <c r="F56" s="138" t="s">
        <v>358</v>
      </c>
      <c r="G56" s="138" t="s">
        <v>359</v>
      </c>
      <c r="H56" s="139" t="n">
        <v>360</v>
      </c>
      <c r="I56" s="140" t="n">
        <v>8.905</v>
      </c>
      <c r="J56" s="140" t="n">
        <v>0.025</v>
      </c>
      <c r="K56" s="140" t="n">
        <v>0.286</v>
      </c>
      <c r="L56" s="139" t="n">
        <v>80.4</v>
      </c>
      <c r="M56" s="141" t="n">
        <v>15</v>
      </c>
      <c r="N56" s="139" t="n">
        <v>32.5</v>
      </c>
      <c r="O56" s="140" t="n">
        <v>0.806</v>
      </c>
      <c r="P56" s="140" t="n">
        <v>0.025</v>
      </c>
      <c r="Q56" s="140" t="n">
        <v>0.216</v>
      </c>
      <c r="R56" s="139" t="n">
        <v>8.9</v>
      </c>
      <c r="S56" s="141" t="n">
        <v>2294</v>
      </c>
      <c r="T56" s="139" t="n">
        <v>4.9</v>
      </c>
      <c r="U56" s="139" t="n">
        <v>4.5</v>
      </c>
      <c r="V56" s="141" t="n">
        <v>22</v>
      </c>
      <c r="W56" s="139" t="n">
        <v>44.4</v>
      </c>
      <c r="X56" s="140" t="n">
        <v>1.388</v>
      </c>
      <c r="Y56" s="140" t="n">
        <v>0.031</v>
      </c>
      <c r="Z56" s="140" t="n">
        <v>0.206</v>
      </c>
      <c r="AA56" s="139" t="n">
        <v>10.5</v>
      </c>
      <c r="AB56" s="141" t="n">
        <v>2495</v>
      </c>
      <c r="AC56" s="139" t="n">
        <v>7.7</v>
      </c>
      <c r="AD56" s="139" t="n">
        <v>3.8</v>
      </c>
      <c r="AE56" s="141" t="n">
        <v>14</v>
      </c>
      <c r="AF56" s="139" t="n">
        <v>22.3</v>
      </c>
      <c r="AG56" s="140" t="n">
        <v>2.007</v>
      </c>
      <c r="AH56" s="140" t="n">
        <v>0.09</v>
      </c>
      <c r="AI56" s="139" t="n">
        <v>1.5</v>
      </c>
      <c r="AJ56" s="141" t="n">
        <v>14</v>
      </c>
      <c r="AK56" s="139" t="n">
        <v>337.7</v>
      </c>
      <c r="AL56" s="140" t="n">
        <v>6.898</v>
      </c>
      <c r="AM56" s="140" t="n">
        <v>0.02</v>
      </c>
      <c r="AN56" s="139" t="n">
        <v>78.9</v>
      </c>
      <c r="AO56" s="52"/>
      <c r="AP56" s="52"/>
      <c r="AQ56" s="52"/>
      <c r="AR56" s="52"/>
      <c r="AS56" s="142" t="e">
        <f aca="false">[1]!table2[[#this row],[object_a_._head_time]]+[1]!table2[[#this row],[object_b_._head_time]]</f>
        <v>#N/A</v>
      </c>
      <c r="AT56" s="142" t="e">
        <f aca="false">[1]!table2[[#this row],[object_a_._head_time]]+[1]!table2[[#this row],[object_b_._head_time]]</f>
        <v>#N/A</v>
      </c>
      <c r="AU56" s="142" t="e">
        <f aca="false">[1]!table2[[#this row],[object_b_._head_time]]-[1]!table2[[#this row],[object_a_._head_time]]</f>
        <v>#N/A</v>
      </c>
      <c r="AV56" s="143" t="e">
        <f aca="false">[1]!table2[[#this row],[d1: absolute discrimination measure (D1 = B2- A2)]]/[1]!table2[[#this row],[e2: total exploration time in second trial E2 ( E2 = A2 + B2)]]</f>
        <v>#N/A</v>
      </c>
      <c r="AW56" s="142" t="e">
        <f aca="false">(W56/AT56)*100</f>
        <v>#N/A</v>
      </c>
      <c r="AX56" s="142" t="e">
        <f aca="false">([1]!table2[[#this row],[object_a_._head_time]]/([1]!table2[[#this row],[object_a_._head_time]]+[1]!table2[[#this row],[object_b_._head_time]]))*100</f>
        <v>#N/A</v>
      </c>
      <c r="AY56" s="57" t="s">
        <v>64</v>
      </c>
      <c r="AZ56" s="57" t="s">
        <v>131</v>
      </c>
      <c r="BA56" s="57" t="s">
        <v>93</v>
      </c>
      <c r="BB56" s="58" t="n">
        <v>140</v>
      </c>
      <c r="BC56" s="59" t="n">
        <v>4.66666666666667</v>
      </c>
      <c r="BD56" s="60" t="s">
        <v>80</v>
      </c>
      <c r="BE56" s="57" t="n">
        <v>7</v>
      </c>
      <c r="BF56" s="61"/>
    </row>
    <row r="57" customFormat="false" ht="12" hidden="false" customHeight="true" outlineLevel="0" collapsed="false">
      <c r="A57" s="137" t="n">
        <v>89</v>
      </c>
      <c r="B57" s="138" t="s">
        <v>134</v>
      </c>
      <c r="C57" s="138" t="s">
        <v>172</v>
      </c>
      <c r="D57" s="138" t="s">
        <v>70</v>
      </c>
      <c r="E57" s="138" t="s">
        <v>282</v>
      </c>
      <c r="F57" s="138" t="s">
        <v>358</v>
      </c>
      <c r="G57" s="138" t="s">
        <v>360</v>
      </c>
      <c r="H57" s="139" t="n">
        <v>360</v>
      </c>
      <c r="I57" s="140" t="n">
        <v>9.532</v>
      </c>
      <c r="J57" s="140" t="n">
        <v>0.026</v>
      </c>
      <c r="K57" s="140" t="n">
        <v>0.306</v>
      </c>
      <c r="L57" s="139" t="n">
        <v>144.5</v>
      </c>
      <c r="M57" s="141" t="n">
        <v>20</v>
      </c>
      <c r="N57" s="139" t="n">
        <v>49.4</v>
      </c>
      <c r="O57" s="140" t="n">
        <v>0.877</v>
      </c>
      <c r="P57" s="140" t="n">
        <v>0.018</v>
      </c>
      <c r="Q57" s="140" t="n">
        <v>0.245</v>
      </c>
      <c r="R57" s="139" t="n">
        <v>16.2</v>
      </c>
      <c r="S57" s="141" t="n">
        <v>2646</v>
      </c>
      <c r="T57" s="139" t="n">
        <v>18</v>
      </c>
      <c r="U57" s="139" t="n">
        <v>23.1</v>
      </c>
      <c r="V57" s="141" t="n">
        <v>17</v>
      </c>
      <c r="W57" s="139" t="n">
        <v>18.6</v>
      </c>
      <c r="X57" s="140" t="n">
        <v>1.01</v>
      </c>
      <c r="Y57" s="140" t="n">
        <v>0.054</v>
      </c>
      <c r="Z57" s="140" t="n">
        <v>0.217</v>
      </c>
      <c r="AA57" s="139" t="n">
        <v>5.9</v>
      </c>
      <c r="AB57" s="141" t="n">
        <v>1641</v>
      </c>
      <c r="AC57" s="139" t="n">
        <v>0</v>
      </c>
      <c r="AD57" s="139" t="n">
        <v>4.1</v>
      </c>
      <c r="AE57" s="141" t="n">
        <v>12</v>
      </c>
      <c r="AF57" s="139" t="n">
        <v>18.8</v>
      </c>
      <c r="AG57" s="140" t="n">
        <v>2.054</v>
      </c>
      <c r="AH57" s="140" t="n">
        <v>0.11</v>
      </c>
      <c r="AI57" s="139" t="n">
        <v>0</v>
      </c>
      <c r="AJ57" s="141" t="n">
        <v>13</v>
      </c>
      <c r="AK57" s="139" t="n">
        <v>341.2</v>
      </c>
      <c r="AL57" s="140" t="n">
        <v>7.478</v>
      </c>
      <c r="AM57" s="140" t="n">
        <v>0.022</v>
      </c>
      <c r="AN57" s="139" t="n">
        <v>144.5</v>
      </c>
      <c r="AO57" s="52"/>
      <c r="AP57" s="52"/>
      <c r="AQ57" s="52"/>
      <c r="AR57" s="52"/>
      <c r="AS57" s="142" t="e">
        <f aca="false">[1]!table2[[#this row],[object_a_._head_time]]+[1]!table2[[#this row],[object_b_._head_time]]</f>
        <v>#N/A</v>
      </c>
      <c r="AT57" s="142" t="e">
        <f aca="false">[1]!table2[[#this row],[object_a_._head_time]]+[1]!table2[[#this row],[object_b_._head_time]]</f>
        <v>#N/A</v>
      </c>
      <c r="AU57" s="142" t="e">
        <f aca="false">[1]!table2[[#this row],[object_b_._head_time]]-[1]!table2[[#this row],[object_a_._head_time]]</f>
        <v>#N/A</v>
      </c>
      <c r="AV57" s="143" t="e">
        <f aca="false">[1]!table2[[#this row],[d1: absolute discrimination measure (D1 = B2- A2)]]/[1]!table2[[#this row],[e2: total exploration time in second trial E2 ( E2 = A2 + B2)]]</f>
        <v>#N/A</v>
      </c>
      <c r="AW57" s="142" t="e">
        <f aca="false">(W57/AT57)*100</f>
        <v>#N/A</v>
      </c>
      <c r="AX57" s="142" t="e">
        <f aca="false">([1]!table2[[#this row],[object_a_._head_time]]/([1]!table2[[#this row],[object_a_._head_time]]+[1]!table2[[#this row],[object_b_._head_time]]))*100</f>
        <v>#N/A</v>
      </c>
      <c r="AY57" s="57" t="s">
        <v>64</v>
      </c>
      <c r="AZ57" s="57" t="s">
        <v>131</v>
      </c>
      <c r="BA57" s="57" t="s">
        <v>93</v>
      </c>
      <c r="BB57" s="58" t="n">
        <v>140</v>
      </c>
      <c r="BC57" s="59" t="n">
        <v>4.66666666666667</v>
      </c>
      <c r="BD57" s="60" t="s">
        <v>67</v>
      </c>
      <c r="BE57" s="57" t="n">
        <v>8</v>
      </c>
      <c r="BF57" s="61"/>
    </row>
    <row r="58" customFormat="false" ht="12" hidden="false" customHeight="true" outlineLevel="0" collapsed="false">
      <c r="A58" s="137" t="n">
        <v>91</v>
      </c>
      <c r="B58" s="138" t="s">
        <v>137</v>
      </c>
      <c r="C58" s="138" t="s">
        <v>172</v>
      </c>
      <c r="D58" s="138" t="s">
        <v>73</v>
      </c>
      <c r="E58" s="138" t="s">
        <v>282</v>
      </c>
      <c r="F58" s="138" t="s">
        <v>358</v>
      </c>
      <c r="G58" s="138" t="s">
        <v>361</v>
      </c>
      <c r="H58" s="139" t="n">
        <v>360</v>
      </c>
      <c r="I58" s="140" t="n">
        <v>5.026</v>
      </c>
      <c r="J58" s="140" t="n">
        <v>0.014</v>
      </c>
      <c r="K58" s="140" t="n">
        <v>0.254</v>
      </c>
      <c r="L58" s="139" t="n">
        <v>134.9</v>
      </c>
      <c r="M58" s="141" t="n">
        <v>16</v>
      </c>
      <c r="N58" s="139" t="n">
        <v>12.7</v>
      </c>
      <c r="O58" s="140" t="n">
        <v>0.186</v>
      </c>
      <c r="P58" s="140" t="n">
        <v>0.015</v>
      </c>
      <c r="Q58" s="140" t="n">
        <v>0.176</v>
      </c>
      <c r="R58" s="139" t="n">
        <v>5</v>
      </c>
      <c r="S58" s="141" t="n">
        <v>672</v>
      </c>
      <c r="T58" s="139" t="n">
        <v>2.1</v>
      </c>
      <c r="U58" s="139" t="n">
        <v>11.5</v>
      </c>
      <c r="V58" s="141" t="n">
        <v>38</v>
      </c>
      <c r="W58" s="139" t="n">
        <v>141.5</v>
      </c>
      <c r="X58" s="140" t="n">
        <v>0.56</v>
      </c>
      <c r="Y58" s="140" t="n">
        <v>0.004</v>
      </c>
      <c r="Z58" s="140" t="n">
        <v>0.166</v>
      </c>
      <c r="AA58" s="139" t="n">
        <v>54.8</v>
      </c>
      <c r="AB58" s="141" t="n">
        <v>5250</v>
      </c>
      <c r="AC58" s="139" t="n">
        <v>74.7</v>
      </c>
      <c r="AD58" s="139" t="n">
        <v>69.1</v>
      </c>
      <c r="AE58" s="141" t="n">
        <v>6</v>
      </c>
      <c r="AF58" s="139" t="n">
        <v>4</v>
      </c>
      <c r="AG58" s="140" t="n">
        <v>0.488</v>
      </c>
      <c r="AH58" s="140" t="n">
        <v>0.122</v>
      </c>
      <c r="AI58" s="139" t="n">
        <v>0</v>
      </c>
      <c r="AJ58" s="141" t="n">
        <v>6</v>
      </c>
      <c r="AK58" s="139" t="n">
        <v>356</v>
      </c>
      <c r="AL58" s="140" t="n">
        <v>4.538</v>
      </c>
      <c r="AM58" s="140" t="n">
        <v>0.013</v>
      </c>
      <c r="AN58" s="139" t="n">
        <v>134.9</v>
      </c>
      <c r="AO58" s="52"/>
      <c r="AP58" s="52"/>
      <c r="AQ58" s="52"/>
      <c r="AR58" s="52"/>
      <c r="AS58" s="142" t="e">
        <f aca="false">[1]!table2[[#this row],[object_a_._head_time]]+[1]!table2[[#this row],[object_b_._head_time]]</f>
        <v>#N/A</v>
      </c>
      <c r="AT58" s="142" t="e">
        <f aca="false">[1]!table2[[#this row],[object_a_._head_time]]+[1]!table2[[#this row],[object_b_._head_time]]</f>
        <v>#N/A</v>
      </c>
      <c r="AU58" s="142" t="e">
        <f aca="false">[1]!table2[[#this row],[object_b_._head_time]]-[1]!table2[[#this row],[object_a_._head_time]]</f>
        <v>#N/A</v>
      </c>
      <c r="AV58" s="143" t="e">
        <f aca="false">[1]!table2[[#this row],[d1: absolute discrimination measure (D1 = B2- A2)]]/[1]!table2[[#this row],[e2: total exploration time in second trial E2 ( E2 = A2 + B2)]]</f>
        <v>#N/A</v>
      </c>
      <c r="AW58" s="142" t="e">
        <f aca="false">(W58/AT58)*100</f>
        <v>#N/A</v>
      </c>
      <c r="AX58" s="142" t="e">
        <f aca="false">([1]!table2[[#this row],[object_a_._head_time]]/([1]!table2[[#this row],[object_a_._head_time]]+[1]!table2[[#this row],[object_b_._head_time]]))*100</f>
        <v>#N/A</v>
      </c>
      <c r="AY58" s="57" t="s">
        <v>79</v>
      </c>
      <c r="AZ58" s="57" t="s">
        <v>131</v>
      </c>
      <c r="BA58" s="57" t="s">
        <v>93</v>
      </c>
      <c r="BB58" s="58" t="n">
        <v>140</v>
      </c>
      <c r="BC58" s="59" t="n">
        <v>4.66666666666667</v>
      </c>
      <c r="BD58" s="60" t="s">
        <v>67</v>
      </c>
      <c r="BE58" s="57" t="n">
        <v>8</v>
      </c>
      <c r="BF58" s="61"/>
    </row>
    <row r="59" customFormat="false" ht="12" hidden="false" customHeight="true" outlineLevel="0" collapsed="false">
      <c r="A59" s="137" t="n">
        <v>92</v>
      </c>
      <c r="B59" s="138" t="s">
        <v>139</v>
      </c>
      <c r="C59" s="138" t="s">
        <v>172</v>
      </c>
      <c r="D59" s="138" t="s">
        <v>77</v>
      </c>
      <c r="E59" s="138" t="s">
        <v>282</v>
      </c>
      <c r="F59" s="138" t="s">
        <v>358</v>
      </c>
      <c r="G59" s="138" t="s">
        <v>362</v>
      </c>
      <c r="H59" s="139" t="n">
        <v>360</v>
      </c>
      <c r="I59" s="140" t="n">
        <v>8.995</v>
      </c>
      <c r="J59" s="140" t="n">
        <v>0.025</v>
      </c>
      <c r="K59" s="140" t="n">
        <v>0.227</v>
      </c>
      <c r="L59" s="139" t="n">
        <v>66.1</v>
      </c>
      <c r="M59" s="141" t="n">
        <v>27</v>
      </c>
      <c r="N59" s="139" t="n">
        <v>37.5</v>
      </c>
      <c r="O59" s="140" t="n">
        <v>0.538</v>
      </c>
      <c r="P59" s="140" t="n">
        <v>0.014</v>
      </c>
      <c r="Q59" s="140" t="n">
        <v>0.212</v>
      </c>
      <c r="R59" s="139" t="n">
        <v>5.9</v>
      </c>
      <c r="S59" s="141" t="n">
        <v>2340</v>
      </c>
      <c r="T59" s="139" t="n">
        <v>11.2</v>
      </c>
      <c r="U59" s="139" t="n">
        <v>27.5</v>
      </c>
      <c r="V59" s="141" t="n">
        <v>31</v>
      </c>
      <c r="W59" s="139" t="n">
        <v>64.7</v>
      </c>
      <c r="X59" s="140" t="n">
        <v>1.274</v>
      </c>
      <c r="Y59" s="140" t="n">
        <v>0.02</v>
      </c>
      <c r="Z59" s="140" t="n">
        <v>0.138</v>
      </c>
      <c r="AA59" s="139" t="n">
        <v>19.4</v>
      </c>
      <c r="AB59" s="141" t="n">
        <v>3514</v>
      </c>
      <c r="AC59" s="139" t="n">
        <v>7.4</v>
      </c>
      <c r="AD59" s="139" t="n">
        <v>29</v>
      </c>
      <c r="AE59" s="141" t="n">
        <v>13</v>
      </c>
      <c r="AF59" s="139" t="n">
        <v>22.5</v>
      </c>
      <c r="AG59" s="140" t="n">
        <v>1.267</v>
      </c>
      <c r="AH59" s="140" t="n">
        <v>0.056</v>
      </c>
      <c r="AI59" s="139" t="n">
        <v>0</v>
      </c>
      <c r="AJ59" s="141" t="n">
        <v>13</v>
      </c>
      <c r="AK59" s="139" t="n">
        <v>337.5</v>
      </c>
      <c r="AL59" s="140" t="n">
        <v>7.728</v>
      </c>
      <c r="AM59" s="140" t="n">
        <v>0.023</v>
      </c>
      <c r="AN59" s="139" t="n">
        <v>66.1</v>
      </c>
      <c r="AO59" s="52"/>
      <c r="AP59" s="52"/>
      <c r="AQ59" s="52"/>
      <c r="AR59" s="52"/>
      <c r="AS59" s="142" t="e">
        <f aca="false">[1]!table2[[#this row],[object_a_._head_time]]+[1]!table2[[#this row],[object_b_._head_time]]</f>
        <v>#N/A</v>
      </c>
      <c r="AT59" s="142" t="e">
        <f aca="false">[1]!table2[[#this row],[object_a_._head_time]]+[1]!table2[[#this row],[object_b_._head_time]]</f>
        <v>#N/A</v>
      </c>
      <c r="AU59" s="142" t="e">
        <f aca="false">[1]!table2[[#this row],[object_b_._head_time]]-[1]!table2[[#this row],[object_a_._head_time]]</f>
        <v>#N/A</v>
      </c>
      <c r="AV59" s="143" t="e">
        <f aca="false">[1]!table2[[#this row],[d1: absolute discrimination measure (D1 = B2- A2)]]/[1]!table2[[#this row],[e2: total exploration time in second trial E2 ( E2 = A2 + B2)]]</f>
        <v>#N/A</v>
      </c>
      <c r="AW59" s="142" t="e">
        <f aca="false">(W59/AT59)*100</f>
        <v>#N/A</v>
      </c>
      <c r="AX59" s="142" t="e">
        <f aca="false">([1]!table2[[#this row],[object_a_._head_time]]/([1]!table2[[#this row],[object_a_._head_time]]+[1]!table2[[#this row],[object_b_._head_time]]))*100</f>
        <v>#N/A</v>
      </c>
      <c r="AY59" s="57" t="s">
        <v>79</v>
      </c>
      <c r="AZ59" s="57" t="s">
        <v>119</v>
      </c>
      <c r="BA59" s="57" t="s">
        <v>66</v>
      </c>
      <c r="BB59" s="58" t="n">
        <v>140</v>
      </c>
      <c r="BC59" s="59" t="n">
        <v>4.66666666666667</v>
      </c>
      <c r="BD59" s="60" t="s">
        <v>80</v>
      </c>
      <c r="BE59" s="57" t="n">
        <v>5</v>
      </c>
      <c r="BF59" s="61"/>
    </row>
    <row r="60" customFormat="false" ht="12" hidden="false" customHeight="true" outlineLevel="0" collapsed="false">
      <c r="A60" s="137" t="n">
        <v>94</v>
      </c>
      <c r="B60" s="138" t="s">
        <v>142</v>
      </c>
      <c r="C60" s="138" t="s">
        <v>172</v>
      </c>
      <c r="D60" s="138" t="s">
        <v>60</v>
      </c>
      <c r="E60" s="138" t="s">
        <v>282</v>
      </c>
      <c r="F60" s="138" t="s">
        <v>363</v>
      </c>
      <c r="G60" s="138" t="s">
        <v>364</v>
      </c>
      <c r="H60" s="139" t="n">
        <v>360</v>
      </c>
      <c r="I60" s="140" t="n">
        <v>14.49</v>
      </c>
      <c r="J60" s="140" t="n">
        <v>0.04</v>
      </c>
      <c r="K60" s="140" t="n">
        <v>0.313</v>
      </c>
      <c r="L60" s="139" t="n">
        <v>86.7</v>
      </c>
      <c r="M60" s="141" t="n">
        <v>19</v>
      </c>
      <c r="N60" s="139" t="n">
        <v>31.8</v>
      </c>
      <c r="O60" s="140" t="n">
        <v>1.368</v>
      </c>
      <c r="P60" s="140" t="n">
        <v>0.043</v>
      </c>
      <c r="Q60" s="140" t="n">
        <v>0.313</v>
      </c>
      <c r="R60" s="139" t="n">
        <v>5.4</v>
      </c>
      <c r="S60" s="141" t="n">
        <v>2792</v>
      </c>
      <c r="T60" s="139" t="n">
        <v>0</v>
      </c>
      <c r="U60" s="139" t="n">
        <v>3.4</v>
      </c>
      <c r="V60" s="141" t="n">
        <v>36</v>
      </c>
      <c r="W60" s="139" t="n">
        <v>65.6</v>
      </c>
      <c r="X60" s="140" t="n">
        <v>3.038</v>
      </c>
      <c r="Y60" s="140" t="n">
        <v>0.046</v>
      </c>
      <c r="Z60" s="140" t="n">
        <v>0.298</v>
      </c>
      <c r="AA60" s="139" t="n">
        <v>20.6</v>
      </c>
      <c r="AB60" s="141" t="n">
        <v>4992</v>
      </c>
      <c r="AC60" s="139" t="n">
        <v>4.5</v>
      </c>
      <c r="AD60" s="139" t="n">
        <v>20.2</v>
      </c>
      <c r="AE60" s="141" t="n">
        <v>34</v>
      </c>
      <c r="AF60" s="139" t="n">
        <v>31.3</v>
      </c>
      <c r="AG60" s="140" t="n">
        <v>3.249</v>
      </c>
      <c r="AH60" s="140" t="n">
        <v>0.104</v>
      </c>
      <c r="AI60" s="139" t="n">
        <v>0</v>
      </c>
      <c r="AJ60" s="141" t="n">
        <v>35</v>
      </c>
      <c r="AK60" s="139" t="n">
        <v>328.7</v>
      </c>
      <c r="AL60" s="140" t="n">
        <v>11.241</v>
      </c>
      <c r="AM60" s="140" t="n">
        <v>0.034</v>
      </c>
      <c r="AN60" s="139" t="n">
        <v>86.7</v>
      </c>
      <c r="AO60" s="52"/>
      <c r="AP60" s="52"/>
      <c r="AQ60" s="52"/>
      <c r="AR60" s="52"/>
      <c r="AS60" s="142" t="e">
        <f aca="false">[1]!table2[[#this row],[object_a_._head_time]]+[1]!table2[[#this row],[object_b_._head_time]]</f>
        <v>#N/A</v>
      </c>
      <c r="AT60" s="142" t="e">
        <f aca="false">[1]!table2[[#this row],[object_a_._head_time]]+[1]!table2[[#this row],[object_b_._head_time]]</f>
        <v>#N/A</v>
      </c>
      <c r="AU60" s="142" t="e">
        <f aca="false">[1]!table2[[#this row],[object_b_._head_time]]-[1]!table2[[#this row],[object_a_._head_time]]</f>
        <v>#N/A</v>
      </c>
      <c r="AV60" s="143" t="e">
        <f aca="false">[1]!table2[[#this row],[d1: absolute discrimination measure (D1 = B2- A2)]]/[1]!table2[[#this row],[e2: total exploration time in second trial E2 ( E2 = A2 + B2)]]</f>
        <v>#N/A</v>
      </c>
      <c r="AW60" s="142" t="e">
        <f aca="false">(W60/AT60)*100</f>
        <v>#N/A</v>
      </c>
      <c r="AX60" s="142" t="e">
        <f aca="false">([1]!table2[[#this row],[object_a_._head_time]]/([1]!table2[[#this row],[object_a_._head_time]]+[1]!table2[[#this row],[object_b_._head_time]]))*100</f>
        <v>#N/A</v>
      </c>
      <c r="AY60" s="57" t="s">
        <v>79</v>
      </c>
      <c r="AZ60" s="57" t="s">
        <v>131</v>
      </c>
      <c r="BA60" s="57" t="s">
        <v>93</v>
      </c>
      <c r="BB60" s="58" t="n">
        <v>140</v>
      </c>
      <c r="BC60" s="59" t="n">
        <v>4.66666666666667</v>
      </c>
      <c r="BD60" s="60" t="s">
        <v>80</v>
      </c>
      <c r="BE60" s="57" t="n">
        <v>7</v>
      </c>
      <c r="BF60" s="61"/>
    </row>
    <row r="61" customFormat="false" ht="12" hidden="false" customHeight="true" outlineLevel="0" collapsed="false">
      <c r="A61" s="137" t="n">
        <v>93</v>
      </c>
      <c r="B61" s="138" t="s">
        <v>144</v>
      </c>
      <c r="C61" s="138" t="s">
        <v>172</v>
      </c>
      <c r="D61" s="138" t="s">
        <v>70</v>
      </c>
      <c r="E61" s="138" t="s">
        <v>282</v>
      </c>
      <c r="F61" s="138" t="s">
        <v>363</v>
      </c>
      <c r="G61" s="138" t="s">
        <v>365</v>
      </c>
      <c r="H61" s="139" t="n">
        <v>360</v>
      </c>
      <c r="I61" s="140" t="n">
        <v>16.409</v>
      </c>
      <c r="J61" s="140" t="n">
        <v>0.046</v>
      </c>
      <c r="K61" s="140" t="n">
        <v>0.308</v>
      </c>
      <c r="L61" s="139" t="n">
        <v>37.4</v>
      </c>
      <c r="M61" s="141" t="n">
        <v>28</v>
      </c>
      <c r="N61" s="139" t="n">
        <v>56.4</v>
      </c>
      <c r="O61" s="140" t="n">
        <v>2.052</v>
      </c>
      <c r="P61" s="140" t="n">
        <v>0.036</v>
      </c>
      <c r="Q61" s="140" t="n">
        <v>0.238</v>
      </c>
      <c r="R61" s="139" t="n">
        <v>17.3</v>
      </c>
      <c r="S61" s="141" t="n">
        <v>3958</v>
      </c>
      <c r="T61" s="139" t="n">
        <v>3.8</v>
      </c>
      <c r="U61" s="139" t="n">
        <v>29.7</v>
      </c>
      <c r="V61" s="141" t="n">
        <v>24</v>
      </c>
      <c r="W61" s="139" t="n">
        <v>31.6</v>
      </c>
      <c r="X61" s="140" t="n">
        <v>2.176</v>
      </c>
      <c r="Y61" s="140" t="n">
        <v>0.069</v>
      </c>
      <c r="Z61" s="140" t="n">
        <v>0.308</v>
      </c>
      <c r="AA61" s="139" t="n">
        <v>8.7</v>
      </c>
      <c r="AB61" s="141" t="n">
        <v>2979</v>
      </c>
      <c r="AC61" s="139" t="n">
        <v>0</v>
      </c>
      <c r="AD61" s="139" t="n">
        <v>3.5</v>
      </c>
      <c r="AE61" s="141" t="n">
        <v>26</v>
      </c>
      <c r="AF61" s="139" t="n">
        <v>28.4</v>
      </c>
      <c r="AG61" s="140" t="n">
        <v>3.139</v>
      </c>
      <c r="AH61" s="140" t="n">
        <v>0.111</v>
      </c>
      <c r="AI61" s="139" t="n">
        <v>0</v>
      </c>
      <c r="AJ61" s="141" t="n">
        <v>27</v>
      </c>
      <c r="AK61" s="139" t="n">
        <v>331.6</v>
      </c>
      <c r="AL61" s="140" t="n">
        <v>13.27</v>
      </c>
      <c r="AM61" s="140" t="n">
        <v>0.04</v>
      </c>
      <c r="AN61" s="139" t="n">
        <v>37.4</v>
      </c>
      <c r="AO61" s="52"/>
      <c r="AP61" s="52"/>
      <c r="AQ61" s="52"/>
      <c r="AR61" s="52"/>
      <c r="AS61" s="142" t="e">
        <f aca="false">[1]!table2[[#this row],[object_a_._head_time]]+[1]!table2[[#this row],[object_b_._head_time]]</f>
        <v>#N/A</v>
      </c>
      <c r="AT61" s="142" t="e">
        <f aca="false">[1]!table2[[#this row],[object_a_._head_time]]+[1]!table2[[#this row],[object_b_._head_time]]</f>
        <v>#N/A</v>
      </c>
      <c r="AU61" s="142" t="e">
        <f aca="false">[1]!table2[[#this row],[object_b_._head_time]]-[1]!table2[[#this row],[object_a_._head_time]]</f>
        <v>#N/A</v>
      </c>
      <c r="AV61" s="143" t="e">
        <f aca="false">[1]!table2[[#this row],[d1: absolute discrimination measure (D1 = B2- A2)]]/[1]!table2[[#this row],[e2: total exploration time in second trial E2 ( E2 = A2 + B2)]]</f>
        <v>#N/A</v>
      </c>
      <c r="AW61" s="142" t="e">
        <f aca="false">(W61/AT61)*100</f>
        <v>#N/A</v>
      </c>
      <c r="AX61" s="142" t="e">
        <f aca="false">([1]!table2[[#this row],[object_a_._head_time]]/([1]!table2[[#this row],[object_a_._head_time]]+[1]!table2[[#this row],[object_b_._head_time]]))*100</f>
        <v>#N/A</v>
      </c>
      <c r="AY61" s="57" t="s">
        <v>79</v>
      </c>
      <c r="AZ61" s="57" t="s">
        <v>105</v>
      </c>
      <c r="BA61" s="57" t="s">
        <v>66</v>
      </c>
      <c r="BB61" s="58" t="n">
        <v>140</v>
      </c>
      <c r="BC61" s="59" t="n">
        <v>4.66666666666667</v>
      </c>
      <c r="BD61" s="60" t="s">
        <v>67</v>
      </c>
      <c r="BE61" s="57" t="n">
        <v>6</v>
      </c>
      <c r="BF61" s="61"/>
    </row>
    <row r="62" customFormat="false" ht="12" hidden="false" customHeight="true" outlineLevel="0" collapsed="false">
      <c r="A62" s="137" t="n">
        <v>95</v>
      </c>
      <c r="B62" s="138" t="s">
        <v>149</v>
      </c>
      <c r="C62" s="138" t="s">
        <v>172</v>
      </c>
      <c r="D62" s="138" t="s">
        <v>73</v>
      </c>
      <c r="E62" s="138" t="s">
        <v>282</v>
      </c>
      <c r="F62" s="138" t="s">
        <v>363</v>
      </c>
      <c r="G62" s="138" t="s">
        <v>366</v>
      </c>
      <c r="H62" s="139" t="n">
        <v>360</v>
      </c>
      <c r="I62" s="140" t="n">
        <v>9.234</v>
      </c>
      <c r="J62" s="140" t="n">
        <v>0.026</v>
      </c>
      <c r="K62" s="140" t="n">
        <v>0.288</v>
      </c>
      <c r="L62" s="139" t="n">
        <v>9.6</v>
      </c>
      <c r="M62" s="141" t="n">
        <v>15</v>
      </c>
      <c r="N62" s="139" t="n">
        <v>55</v>
      </c>
      <c r="O62" s="140" t="n">
        <v>1.813</v>
      </c>
      <c r="P62" s="140" t="n">
        <v>0.033</v>
      </c>
      <c r="Q62" s="140" t="n">
        <v>0.259</v>
      </c>
      <c r="R62" s="139" t="n">
        <v>11.8</v>
      </c>
      <c r="S62" s="141" t="n">
        <v>2525</v>
      </c>
      <c r="T62" s="139" t="n">
        <v>0</v>
      </c>
      <c r="U62" s="139" t="n">
        <v>6.8</v>
      </c>
      <c r="V62" s="141" t="n">
        <v>34</v>
      </c>
      <c r="W62" s="139" t="n">
        <v>68.4</v>
      </c>
      <c r="X62" s="140" t="n">
        <v>1.583</v>
      </c>
      <c r="Y62" s="140" t="n">
        <v>0.023</v>
      </c>
      <c r="Z62" s="140" t="n">
        <v>0.225</v>
      </c>
      <c r="AA62" s="139" t="n">
        <v>17.9</v>
      </c>
      <c r="AB62" s="141" t="n">
        <v>4234</v>
      </c>
      <c r="AC62" s="139" t="n">
        <v>3.2</v>
      </c>
      <c r="AD62" s="139" t="n">
        <v>12.5</v>
      </c>
      <c r="AE62" s="141" t="n">
        <v>22</v>
      </c>
      <c r="AF62" s="139" t="n">
        <v>49.7</v>
      </c>
      <c r="AG62" s="140" t="n">
        <v>2.732</v>
      </c>
      <c r="AH62" s="140" t="n">
        <v>0.055</v>
      </c>
      <c r="AI62" s="139" t="n">
        <v>0</v>
      </c>
      <c r="AJ62" s="141" t="n">
        <v>23</v>
      </c>
      <c r="AK62" s="139" t="n">
        <v>310.3</v>
      </c>
      <c r="AL62" s="140" t="n">
        <v>6.502</v>
      </c>
      <c r="AM62" s="140" t="n">
        <v>0.021</v>
      </c>
      <c r="AN62" s="139" t="n">
        <v>9.6</v>
      </c>
      <c r="AO62" s="52"/>
      <c r="AP62" s="52"/>
      <c r="AQ62" s="52"/>
      <c r="AR62" s="52"/>
      <c r="AS62" s="142" t="e">
        <f aca="false">[1]!table2[[#this row],[object_a_._head_time]]+[1]!table2[[#this row],[object_b_._head_time]]</f>
        <v>#N/A</v>
      </c>
      <c r="AT62" s="142" t="e">
        <f aca="false">[1]!table2[[#this row],[object_a_._head_time]]+[1]!table2[[#this row],[object_b_._head_time]]</f>
        <v>#N/A</v>
      </c>
      <c r="AU62" s="142" t="e">
        <f aca="false">[1]!table2[[#this row],[object_b_._head_time]]-[1]!table2[[#this row],[object_a_._head_time]]</f>
        <v>#N/A</v>
      </c>
      <c r="AV62" s="143" t="e">
        <f aca="false">[1]!table2[[#this row],[d1: absolute discrimination measure (D1 = B2- A2)]]/[1]!table2[[#this row],[e2: total exploration time in second trial E2 ( E2 = A2 + B2)]]</f>
        <v>#N/A</v>
      </c>
      <c r="AW62" s="142" t="e">
        <f aca="false">(W62/AT62)*100</f>
        <v>#N/A</v>
      </c>
      <c r="AX62" s="142" t="e">
        <f aca="false">([1]!table2[[#this row],[object_a_._head_time]]/([1]!table2[[#this row],[object_a_._head_time]]+[1]!table2[[#this row],[object_b_._head_time]]))*100</f>
        <v>#N/A</v>
      </c>
      <c r="AY62" s="57" t="s">
        <v>64</v>
      </c>
      <c r="AZ62" s="57" t="s">
        <v>123</v>
      </c>
      <c r="BA62" s="57" t="s">
        <v>66</v>
      </c>
      <c r="BB62" s="58" t="n">
        <v>141</v>
      </c>
      <c r="BC62" s="59" t="n">
        <v>4.7</v>
      </c>
      <c r="BD62" s="60" t="s">
        <v>80</v>
      </c>
      <c r="BE62" s="57" t="n">
        <v>1</v>
      </c>
      <c r="BF62" s="61" t="s">
        <v>94</v>
      </c>
    </row>
    <row r="63" customFormat="false" ht="12" hidden="false" customHeight="true" outlineLevel="0" collapsed="false">
      <c r="A63" s="137" t="n">
        <v>96</v>
      </c>
      <c r="B63" s="138" t="s">
        <v>154</v>
      </c>
      <c r="C63" s="138" t="s">
        <v>172</v>
      </c>
      <c r="D63" s="138" t="s">
        <v>77</v>
      </c>
      <c r="E63" s="138" t="s">
        <v>282</v>
      </c>
      <c r="F63" s="138" t="s">
        <v>363</v>
      </c>
      <c r="G63" s="138" t="s">
        <v>367</v>
      </c>
      <c r="H63" s="139" t="n">
        <v>360</v>
      </c>
      <c r="I63" s="140" t="n">
        <v>6.386</v>
      </c>
      <c r="J63" s="140" t="n">
        <v>0.018</v>
      </c>
      <c r="K63" s="140" t="n">
        <v>0.244</v>
      </c>
      <c r="L63" s="139" t="n">
        <v>161.1</v>
      </c>
      <c r="M63" s="141" t="n">
        <v>28</v>
      </c>
      <c r="N63" s="139" t="n">
        <v>30.4</v>
      </c>
      <c r="O63" s="140" t="n">
        <v>0.635</v>
      </c>
      <c r="P63" s="140" t="n">
        <v>0.021</v>
      </c>
      <c r="Q63" s="140" t="n">
        <v>0.194</v>
      </c>
      <c r="R63" s="139" t="n">
        <v>15.4</v>
      </c>
      <c r="S63" s="141" t="n">
        <v>1819</v>
      </c>
      <c r="T63" s="139" t="n">
        <v>5.2</v>
      </c>
      <c r="U63" s="139" t="n">
        <v>18.7</v>
      </c>
      <c r="V63" s="141" t="n">
        <v>5</v>
      </c>
      <c r="W63" s="139" t="n">
        <v>4</v>
      </c>
      <c r="X63" s="140" t="n">
        <v>0.152</v>
      </c>
      <c r="Y63" s="140" t="n">
        <v>0.038</v>
      </c>
      <c r="Z63" s="140" t="n">
        <v>0.128</v>
      </c>
      <c r="AA63" s="139" t="n">
        <v>1</v>
      </c>
      <c r="AB63" s="141" t="n">
        <v>243</v>
      </c>
      <c r="AC63" s="139" t="n">
        <v>0</v>
      </c>
      <c r="AD63" s="139" t="n">
        <v>1.5</v>
      </c>
      <c r="AE63" s="141" t="n">
        <v>4</v>
      </c>
      <c r="AF63" s="139" t="n">
        <v>4.3</v>
      </c>
      <c r="AG63" s="140" t="n">
        <v>0.489</v>
      </c>
      <c r="AH63" s="140" t="n">
        <v>0.114</v>
      </c>
      <c r="AI63" s="139" t="n">
        <v>0</v>
      </c>
      <c r="AJ63" s="141" t="n">
        <v>4</v>
      </c>
      <c r="AK63" s="139" t="n">
        <v>355.7</v>
      </c>
      <c r="AL63" s="140" t="n">
        <v>5.897</v>
      </c>
      <c r="AM63" s="140" t="n">
        <v>0.017</v>
      </c>
      <c r="AN63" s="139" t="n">
        <v>161.1</v>
      </c>
      <c r="AO63" s="52"/>
      <c r="AP63" s="52"/>
      <c r="AQ63" s="52"/>
      <c r="AR63" s="52"/>
      <c r="AS63" s="142" t="e">
        <f aca="false">[1]!table2[[#this row],[object_a_._head_time]]+[1]!table2[[#this row],[object_b_._head_time]]</f>
        <v>#N/A</v>
      </c>
      <c r="AT63" s="142" t="e">
        <f aca="false">[1]!table2[[#this row],[object_a_._head_time]]+[1]!table2[[#this row],[object_b_._head_time]]</f>
        <v>#N/A</v>
      </c>
      <c r="AU63" s="142" t="e">
        <f aca="false">[1]!table2[[#this row],[object_b_._head_time]]-[1]!table2[[#this row],[object_a_._head_time]]</f>
        <v>#N/A</v>
      </c>
      <c r="AV63" s="143" t="e">
        <f aca="false">[1]!table2[[#this row],[d1: absolute discrimination measure (D1 = B2- A2)]]/[1]!table2[[#this row],[e2: total exploration time in second trial E2 ( E2 = A2 + B2)]]</f>
        <v>#N/A</v>
      </c>
      <c r="AW63" s="142" t="e">
        <f aca="false">(W63/AT63)*100</f>
        <v>#N/A</v>
      </c>
      <c r="AX63" s="142" t="e">
        <f aca="false">([1]!table2[[#this row],[object_a_._head_time]]/([1]!table2[[#this row],[object_a_._head_time]]+[1]!table2[[#this row],[object_b_._head_time]]))*100</f>
        <v>#N/A</v>
      </c>
      <c r="AY63" s="57" t="s">
        <v>79</v>
      </c>
      <c r="AZ63" s="57" t="s">
        <v>123</v>
      </c>
      <c r="BA63" s="57" t="s">
        <v>93</v>
      </c>
      <c r="BB63" s="58" t="n">
        <v>121</v>
      </c>
      <c r="BC63" s="59" t="n">
        <v>4.03333333333333</v>
      </c>
      <c r="BD63" s="60" t="s">
        <v>80</v>
      </c>
      <c r="BE63" s="57" t="n">
        <v>3</v>
      </c>
      <c r="BF63" s="61"/>
    </row>
    <row r="64" customFormat="false" ht="12" hidden="false" customHeight="true" outlineLevel="0" collapsed="false">
      <c r="A64" s="137" t="n">
        <v>98</v>
      </c>
      <c r="B64" s="138" t="s">
        <v>157</v>
      </c>
      <c r="C64" s="138" t="s">
        <v>172</v>
      </c>
      <c r="D64" s="138" t="s">
        <v>60</v>
      </c>
      <c r="E64" s="138" t="s">
        <v>282</v>
      </c>
      <c r="F64" s="138" t="s">
        <v>368</v>
      </c>
      <c r="G64" s="138" t="s">
        <v>369</v>
      </c>
      <c r="H64" s="139" t="n">
        <v>360</v>
      </c>
      <c r="I64" s="140" t="n">
        <v>7.794</v>
      </c>
      <c r="J64" s="140" t="n">
        <v>0.022</v>
      </c>
      <c r="K64" s="140" t="n">
        <v>0.244</v>
      </c>
      <c r="L64" s="139" t="n">
        <v>79.3</v>
      </c>
      <c r="M64" s="141" t="n">
        <v>66</v>
      </c>
      <c r="N64" s="139" t="n">
        <v>165.6</v>
      </c>
      <c r="O64" s="140" t="n">
        <v>1.608</v>
      </c>
      <c r="P64" s="140" t="n">
        <v>0.01</v>
      </c>
      <c r="Q64" s="140" t="n">
        <v>0.208</v>
      </c>
      <c r="R64" s="139" t="n">
        <v>61.8</v>
      </c>
      <c r="S64" s="141" t="n">
        <v>8442</v>
      </c>
      <c r="T64" s="139" t="n">
        <v>54.1</v>
      </c>
      <c r="U64" s="139" t="n">
        <v>76.6</v>
      </c>
      <c r="V64" s="141" t="n">
        <v>10</v>
      </c>
      <c r="W64" s="139" t="n">
        <v>18.3</v>
      </c>
      <c r="X64" s="140" t="n">
        <v>0.907</v>
      </c>
      <c r="Y64" s="140" t="n">
        <v>0.049</v>
      </c>
      <c r="Z64" s="140" t="n">
        <v>0.147</v>
      </c>
      <c r="AA64" s="139" t="n">
        <v>4.8</v>
      </c>
      <c r="AB64" s="141" t="n">
        <v>1536</v>
      </c>
      <c r="AC64" s="139" t="n">
        <v>0</v>
      </c>
      <c r="AD64" s="139" t="n">
        <v>2.1</v>
      </c>
      <c r="AE64" s="141" t="n">
        <v>18</v>
      </c>
      <c r="AF64" s="139" t="n">
        <v>36.8</v>
      </c>
      <c r="AG64" s="140" t="n">
        <v>1.987</v>
      </c>
      <c r="AH64" s="140" t="n">
        <v>0.054</v>
      </c>
      <c r="AI64" s="139" t="n">
        <v>0</v>
      </c>
      <c r="AJ64" s="141" t="n">
        <v>18</v>
      </c>
      <c r="AK64" s="139" t="n">
        <v>323.2</v>
      </c>
      <c r="AL64" s="140" t="n">
        <v>5.806</v>
      </c>
      <c r="AM64" s="140" t="n">
        <v>0.018</v>
      </c>
      <c r="AN64" s="139" t="n">
        <v>79.3</v>
      </c>
      <c r="AO64" s="52"/>
      <c r="AP64" s="52"/>
      <c r="AQ64" s="52"/>
      <c r="AR64" s="52"/>
      <c r="AS64" s="142" t="e">
        <f aca="false">[1]!table2[[#this row],[object_a_._head_time]]+[1]!table2[[#this row],[object_b_._head_time]]</f>
        <v>#N/A</v>
      </c>
      <c r="AT64" s="142" t="e">
        <f aca="false">[1]!table2[[#this row],[object_a_._head_time]]+[1]!table2[[#this row],[object_b_._head_time]]</f>
        <v>#N/A</v>
      </c>
      <c r="AU64" s="142" t="e">
        <f aca="false">[1]!table2[[#this row],[object_b_._head_time]]-[1]!table2[[#this row],[object_a_._head_time]]</f>
        <v>#N/A</v>
      </c>
      <c r="AV64" s="143" t="e">
        <f aca="false">[1]!table2[[#this row],[d1: absolute discrimination measure (D1 = B2- A2)]]/[1]!table2[[#this row],[e2: total exploration time in second trial E2 ( E2 = A2 + B2)]]</f>
        <v>#N/A</v>
      </c>
      <c r="AW64" s="142" t="e">
        <f aca="false">(W64/AT64)*100</f>
        <v>#N/A</v>
      </c>
      <c r="AX64" s="142" t="e">
        <f aca="false">([1]!table2[[#this row],[object_a_._head_time]]/([1]!table2[[#this row],[object_a_._head_time]]+[1]!table2[[#this row],[object_b_._head_time]]))*100</f>
        <v>#N/A</v>
      </c>
      <c r="AY64" s="57" t="s">
        <v>79</v>
      </c>
      <c r="AZ64" s="57" t="s">
        <v>123</v>
      </c>
      <c r="BA64" s="57" t="s">
        <v>93</v>
      </c>
      <c r="BB64" s="58" t="n">
        <v>121</v>
      </c>
      <c r="BC64" s="59" t="n">
        <v>4.03333333333333</v>
      </c>
      <c r="BD64" s="60" t="s">
        <v>67</v>
      </c>
      <c r="BE64" s="57" t="n">
        <v>4</v>
      </c>
      <c r="BF64" s="61"/>
    </row>
    <row r="65" customFormat="false" ht="12" hidden="false" customHeight="true" outlineLevel="0" collapsed="false">
      <c r="A65" s="137" t="n">
        <v>97</v>
      </c>
      <c r="B65" s="138" t="s">
        <v>159</v>
      </c>
      <c r="C65" s="138" t="s">
        <v>172</v>
      </c>
      <c r="D65" s="138" t="s">
        <v>70</v>
      </c>
      <c r="E65" s="138" t="s">
        <v>282</v>
      </c>
      <c r="F65" s="138" t="s">
        <v>370</v>
      </c>
      <c r="G65" s="138" t="s">
        <v>371</v>
      </c>
      <c r="H65" s="139" t="n">
        <v>360</v>
      </c>
      <c r="I65" s="140" t="n">
        <v>12.048</v>
      </c>
      <c r="J65" s="140" t="n">
        <v>0.033</v>
      </c>
      <c r="K65" s="140" t="n">
        <v>0.275</v>
      </c>
      <c r="L65" s="139" t="n">
        <v>75.4</v>
      </c>
      <c r="M65" s="141" t="n">
        <v>18</v>
      </c>
      <c r="N65" s="139" t="n">
        <v>27</v>
      </c>
      <c r="O65" s="140" t="n">
        <v>1.478</v>
      </c>
      <c r="P65" s="140" t="n">
        <v>0.055</v>
      </c>
      <c r="Q65" s="140" t="n">
        <v>0.227</v>
      </c>
      <c r="R65" s="139" t="n">
        <v>7.3</v>
      </c>
      <c r="S65" s="141" t="n">
        <v>1849</v>
      </c>
      <c r="T65" s="139" t="n">
        <v>0.9</v>
      </c>
      <c r="U65" s="139" t="n">
        <v>9</v>
      </c>
      <c r="V65" s="141" t="n">
        <v>24</v>
      </c>
      <c r="W65" s="139" t="n">
        <v>24.7</v>
      </c>
      <c r="X65" s="140" t="n">
        <v>1.907</v>
      </c>
      <c r="Y65" s="140" t="n">
        <v>0.077</v>
      </c>
      <c r="Z65" s="140" t="n">
        <v>0.223</v>
      </c>
      <c r="AA65" s="139" t="n">
        <v>6.1</v>
      </c>
      <c r="AB65" s="141" t="n">
        <v>2164</v>
      </c>
      <c r="AC65" s="139" t="n">
        <v>0</v>
      </c>
      <c r="AD65" s="139" t="n">
        <v>7.1</v>
      </c>
      <c r="AE65" s="141" t="n">
        <v>15</v>
      </c>
      <c r="AF65" s="139" t="n">
        <v>29.3</v>
      </c>
      <c r="AG65" s="140" t="n">
        <v>2.808</v>
      </c>
      <c r="AH65" s="140" t="n">
        <v>0.096</v>
      </c>
      <c r="AI65" s="139" t="n">
        <v>0</v>
      </c>
      <c r="AJ65" s="141" t="n">
        <v>15</v>
      </c>
      <c r="AK65" s="139" t="n">
        <v>330.7</v>
      </c>
      <c r="AL65" s="140" t="n">
        <v>9.24</v>
      </c>
      <c r="AM65" s="140" t="n">
        <v>0.028</v>
      </c>
      <c r="AN65" s="139" t="n">
        <v>75.4</v>
      </c>
      <c r="AO65" s="52"/>
      <c r="AP65" s="52"/>
      <c r="AQ65" s="52"/>
      <c r="AR65" s="52"/>
      <c r="AS65" s="142" t="e">
        <f aca="false">[1]!table2[[#this row],[object_a_._head_time]]+[1]!table2[[#this row],[object_b_._head_time]]</f>
        <v>#N/A</v>
      </c>
      <c r="AT65" s="142" t="e">
        <f aca="false">[1]!table2[[#this row],[object_a_._head_time]]+[1]!table2[[#this row],[object_b_._head_time]]</f>
        <v>#N/A</v>
      </c>
      <c r="AU65" s="142" t="e">
        <f aca="false">[1]!table2[[#this row],[object_b_._head_time]]-[1]!table2[[#this row],[object_a_._head_time]]</f>
        <v>#N/A</v>
      </c>
      <c r="AV65" s="143" t="e">
        <f aca="false">[1]!table2[[#this row],[d1: absolute discrimination measure (D1 = B2- A2)]]/[1]!table2[[#this row],[e2: total exploration time in second trial E2 ( E2 = A2 + B2)]]</f>
        <v>#N/A</v>
      </c>
      <c r="AW65" s="142" t="e">
        <f aca="false">(W65/AT65)*100</f>
        <v>#N/A</v>
      </c>
      <c r="AX65" s="142" t="e">
        <f aca="false">([1]!table2[[#this row],[object_a_._head_time]]/([1]!table2[[#this row],[object_a_._head_time]]+[1]!table2[[#this row],[object_b_._head_time]]))*100</f>
        <v>#N/A</v>
      </c>
      <c r="AY65" s="57" t="s">
        <v>64</v>
      </c>
      <c r="AZ65" s="57" t="s">
        <v>123</v>
      </c>
      <c r="BA65" s="57" t="s">
        <v>66</v>
      </c>
      <c r="BB65" s="58" t="n">
        <v>119</v>
      </c>
      <c r="BC65" s="59" t="n">
        <v>3.96666666666667</v>
      </c>
      <c r="BD65" s="60" t="s">
        <v>67</v>
      </c>
      <c r="BE65" s="57" t="n">
        <v>2</v>
      </c>
      <c r="BF65" s="61"/>
    </row>
    <row r="66" customFormat="false" ht="12" hidden="false" customHeight="true" outlineLevel="0" collapsed="false">
      <c r="A66" s="137" t="n">
        <v>100</v>
      </c>
      <c r="B66" s="138" t="s">
        <v>162</v>
      </c>
      <c r="C66" s="138" t="s">
        <v>172</v>
      </c>
      <c r="D66" s="138" t="s">
        <v>73</v>
      </c>
      <c r="E66" s="138" t="s">
        <v>282</v>
      </c>
      <c r="F66" s="138" t="s">
        <v>368</v>
      </c>
      <c r="G66" s="138" t="s">
        <v>372</v>
      </c>
      <c r="H66" s="139" t="n">
        <v>360</v>
      </c>
      <c r="I66" s="140" t="n">
        <v>8.738</v>
      </c>
      <c r="J66" s="140" t="n">
        <v>0.024</v>
      </c>
      <c r="K66" s="140" t="n">
        <v>0.26</v>
      </c>
      <c r="L66" s="139" t="n">
        <v>110</v>
      </c>
      <c r="M66" s="141" t="n">
        <v>15</v>
      </c>
      <c r="N66" s="139" t="n">
        <v>23.3</v>
      </c>
      <c r="O66" s="140" t="n">
        <v>1.047</v>
      </c>
      <c r="P66" s="140" t="n">
        <v>0.045</v>
      </c>
      <c r="Q66" s="140" t="n">
        <v>0.201</v>
      </c>
      <c r="R66" s="139" t="n">
        <v>7.3</v>
      </c>
      <c r="S66" s="141" t="n">
        <v>1439</v>
      </c>
      <c r="T66" s="139" t="n">
        <v>0</v>
      </c>
      <c r="U66" s="139" t="n">
        <v>5.1</v>
      </c>
      <c r="V66" s="141" t="n">
        <v>15</v>
      </c>
      <c r="W66" s="139" t="n">
        <v>30.5</v>
      </c>
      <c r="X66" s="140" t="n">
        <v>1.115</v>
      </c>
      <c r="Y66" s="140" t="n">
        <v>0.037</v>
      </c>
      <c r="Z66" s="140" t="n">
        <v>0.249</v>
      </c>
      <c r="AA66" s="139" t="n">
        <v>3.8</v>
      </c>
      <c r="AB66" s="141" t="n">
        <v>1843</v>
      </c>
      <c r="AC66" s="139" t="n">
        <v>0</v>
      </c>
      <c r="AD66" s="139" t="n">
        <v>10.8</v>
      </c>
      <c r="AE66" s="141" t="n">
        <v>12</v>
      </c>
      <c r="AF66" s="139" t="n">
        <v>18.9</v>
      </c>
      <c r="AG66" s="140" t="n">
        <v>1.326</v>
      </c>
      <c r="AH66" s="140" t="n">
        <v>0.07</v>
      </c>
      <c r="AI66" s="139" t="n">
        <v>0</v>
      </c>
      <c r="AJ66" s="141" t="n">
        <v>12</v>
      </c>
      <c r="AK66" s="139" t="n">
        <v>341.1</v>
      </c>
      <c r="AL66" s="140" t="n">
        <v>7.412</v>
      </c>
      <c r="AM66" s="140" t="n">
        <v>0.022</v>
      </c>
      <c r="AN66" s="139" t="n">
        <v>110</v>
      </c>
      <c r="AO66" s="52"/>
      <c r="AP66" s="52"/>
      <c r="AQ66" s="52"/>
      <c r="AR66" s="52"/>
      <c r="AS66" s="142" t="e">
        <f aca="false">[1]!table2[[#this row],[object_a_._head_time]]+[1]!table2[[#this row],[object_b_._head_time]]</f>
        <v>#N/A</v>
      </c>
      <c r="AT66" s="142" t="e">
        <f aca="false">[1]!table2[[#this row],[object_a_._head_time]]+[1]!table2[[#this row],[object_b_._head_time]]</f>
        <v>#N/A</v>
      </c>
      <c r="AU66" s="142" t="e">
        <f aca="false">[1]!table2[[#this row],[object_b_._head_time]]-[1]!table2[[#this row],[object_a_._head_time]]</f>
        <v>#N/A</v>
      </c>
      <c r="AV66" s="143" t="e">
        <f aca="false">[1]!table2[[#this row],[d1: absolute discrimination measure (D1 = B2- A2)]]/[1]!table2[[#this row],[e2: total exploration time in second trial E2 ( E2 = A2 + B2)]]</f>
        <v>#N/A</v>
      </c>
      <c r="AW66" s="142" t="e">
        <f aca="false">(W66/AT66)*100</f>
        <v>#N/A</v>
      </c>
      <c r="AX66" s="142" t="e">
        <f aca="false">([1]!table2[[#this row],[object_a_._head_time]]/([1]!table2[[#this row],[object_a_._head_time]]+[1]!table2[[#this row],[object_b_._head_time]]))*100</f>
        <v>#N/A</v>
      </c>
      <c r="AY66" s="57" t="s">
        <v>64</v>
      </c>
      <c r="AZ66" s="72" t="s">
        <v>119</v>
      </c>
      <c r="BA66" s="57" t="s">
        <v>66</v>
      </c>
      <c r="BB66" s="58" t="n">
        <v>119</v>
      </c>
      <c r="BC66" s="59" t="n">
        <v>3.96666666666667</v>
      </c>
      <c r="BD66" s="60" t="s">
        <v>67</v>
      </c>
      <c r="BE66" s="57" t="n">
        <v>6</v>
      </c>
      <c r="BF66" s="61"/>
    </row>
    <row r="67" customFormat="false" ht="12" hidden="false" customHeight="true" outlineLevel="0" collapsed="false">
      <c r="A67" s="137" t="n">
        <v>99</v>
      </c>
      <c r="B67" s="138" t="s">
        <v>164</v>
      </c>
      <c r="C67" s="138" t="s">
        <v>172</v>
      </c>
      <c r="D67" s="138" t="s">
        <v>77</v>
      </c>
      <c r="E67" s="138" t="s">
        <v>282</v>
      </c>
      <c r="F67" s="138" t="s">
        <v>368</v>
      </c>
      <c r="G67" s="138" t="s">
        <v>373</v>
      </c>
      <c r="H67" s="139" t="n">
        <v>360</v>
      </c>
      <c r="I67" s="140" t="n">
        <v>11.319</v>
      </c>
      <c r="J67" s="140" t="n">
        <v>0.031</v>
      </c>
      <c r="K67" s="140" t="n">
        <v>0.3</v>
      </c>
      <c r="L67" s="139" t="n">
        <v>105.9</v>
      </c>
      <c r="M67" s="141" t="n">
        <v>12</v>
      </c>
      <c r="N67" s="139" t="n">
        <v>21.4</v>
      </c>
      <c r="O67" s="140" t="n">
        <v>0.876</v>
      </c>
      <c r="P67" s="140" t="n">
        <v>0.041</v>
      </c>
      <c r="Q67" s="140" t="n">
        <v>0.277</v>
      </c>
      <c r="R67" s="139" t="n">
        <v>10.3</v>
      </c>
      <c r="S67" s="141" t="n">
        <v>1359</v>
      </c>
      <c r="T67" s="139" t="n">
        <v>0</v>
      </c>
      <c r="U67" s="139" t="n">
        <v>7.5</v>
      </c>
      <c r="V67" s="141" t="n">
        <v>15</v>
      </c>
      <c r="W67" s="139" t="n">
        <v>81.8</v>
      </c>
      <c r="X67" s="140" t="n">
        <v>3.274</v>
      </c>
      <c r="Y67" s="140" t="n">
        <v>0.04</v>
      </c>
      <c r="Z67" s="140" t="n">
        <v>0.2</v>
      </c>
      <c r="AA67" s="139" t="n">
        <v>19.1</v>
      </c>
      <c r="AB67" s="141" t="n">
        <v>4796</v>
      </c>
      <c r="AC67" s="139" t="n">
        <v>0</v>
      </c>
      <c r="AD67" s="139" t="n">
        <v>6.6</v>
      </c>
      <c r="AE67" s="141" t="n">
        <v>7</v>
      </c>
      <c r="AF67" s="139" t="n">
        <v>8.8</v>
      </c>
      <c r="AG67" s="140" t="n">
        <v>0.729</v>
      </c>
      <c r="AH67" s="140" t="n">
        <v>0.083</v>
      </c>
      <c r="AI67" s="139" t="n">
        <v>0</v>
      </c>
      <c r="AJ67" s="141" t="n">
        <v>8</v>
      </c>
      <c r="AK67" s="139" t="n">
        <v>351.2</v>
      </c>
      <c r="AL67" s="140" t="n">
        <v>10.59</v>
      </c>
      <c r="AM67" s="140" t="n">
        <v>0.03</v>
      </c>
      <c r="AN67" s="139" t="n">
        <v>105.9</v>
      </c>
      <c r="AO67" s="52"/>
      <c r="AP67" s="52"/>
      <c r="AQ67" s="52"/>
      <c r="AR67" s="52"/>
      <c r="AS67" s="142" t="e">
        <f aca="false">[1]!table2[[#this row],[object_a_._head_time]]+[1]!table2[[#this row],[object_b_._head_time]]</f>
        <v>#N/A</v>
      </c>
      <c r="AT67" s="142" t="e">
        <f aca="false">[1]!table2[[#this row],[object_a_._head_time]]+[1]!table2[[#this row],[object_b_._head_time]]</f>
        <v>#N/A</v>
      </c>
      <c r="AU67" s="142" t="e">
        <f aca="false">[1]!table2[[#this row],[object_b_._head_time]]-[1]!table2[[#this row],[object_a_._head_time]]</f>
        <v>#N/A</v>
      </c>
      <c r="AV67" s="143" t="e">
        <f aca="false">[1]!table2[[#this row],[d1: absolute discrimination measure (D1 = B2- A2)]]/[1]!table2[[#this row],[e2: total exploration time in second trial E2 ( E2 = A2 + B2)]]</f>
        <v>#N/A</v>
      </c>
      <c r="AW67" s="142" t="e">
        <f aca="false">(W67/AT67)*100</f>
        <v>#N/A</v>
      </c>
      <c r="AX67" s="142" t="e">
        <f aca="false">([1]!table2[[#this row],[object_a_._head_time]]/([1]!table2[[#this row],[object_a_._head_time]]+[1]!table2[[#this row],[object_b_._head_time]]))*100</f>
        <v>#N/A</v>
      </c>
      <c r="AY67" s="57" t="s">
        <v>64</v>
      </c>
      <c r="AZ67" s="57" t="s">
        <v>123</v>
      </c>
      <c r="BA67" s="57" t="s">
        <v>93</v>
      </c>
      <c r="BB67" s="58" t="n">
        <v>119</v>
      </c>
      <c r="BC67" s="59" t="n">
        <v>3.96666666666667</v>
      </c>
      <c r="BD67" s="60" t="s">
        <v>80</v>
      </c>
      <c r="BE67" s="57" t="n">
        <v>3</v>
      </c>
      <c r="BF67" s="61"/>
    </row>
    <row r="68" customFormat="false" ht="12" hidden="false" customHeight="true" outlineLevel="0" collapsed="false">
      <c r="A68" s="137" t="n">
        <v>102</v>
      </c>
      <c r="B68" s="138" t="s">
        <v>166</v>
      </c>
      <c r="C68" s="138" t="s">
        <v>172</v>
      </c>
      <c r="D68" s="138" t="s">
        <v>60</v>
      </c>
      <c r="E68" s="138" t="s">
        <v>282</v>
      </c>
      <c r="F68" s="138" t="s">
        <v>374</v>
      </c>
      <c r="G68" s="138" t="s">
        <v>375</v>
      </c>
      <c r="H68" s="139" t="n">
        <v>360</v>
      </c>
      <c r="I68" s="140" t="n">
        <v>6.903</v>
      </c>
      <c r="J68" s="140" t="n">
        <v>0.019</v>
      </c>
      <c r="K68" s="140" t="n">
        <v>0.262</v>
      </c>
      <c r="L68" s="139" t="n">
        <v>166.4</v>
      </c>
      <c r="M68" s="141" t="n">
        <v>5</v>
      </c>
      <c r="N68" s="139" t="n">
        <v>3.3</v>
      </c>
      <c r="O68" s="140" t="n">
        <v>0.147</v>
      </c>
      <c r="P68" s="140" t="n">
        <v>0.045</v>
      </c>
      <c r="Q68" s="140" t="n">
        <v>0.118</v>
      </c>
      <c r="R68" s="139" t="n">
        <v>1.6</v>
      </c>
      <c r="S68" s="141" t="n">
        <v>276</v>
      </c>
      <c r="T68" s="139" t="n">
        <v>0</v>
      </c>
      <c r="U68" s="139" t="n">
        <v>3.3</v>
      </c>
      <c r="V68" s="141" t="n">
        <v>6</v>
      </c>
      <c r="W68" s="139" t="n">
        <v>3.5</v>
      </c>
      <c r="X68" s="140" t="n">
        <v>0.028</v>
      </c>
      <c r="Y68" s="140" t="n">
        <v>0.008</v>
      </c>
      <c r="Z68" s="140" t="n">
        <v>0.118</v>
      </c>
      <c r="AA68" s="139" t="n">
        <v>2.1</v>
      </c>
      <c r="AB68" s="141" t="n">
        <v>197</v>
      </c>
      <c r="AC68" s="139" t="n">
        <v>0</v>
      </c>
      <c r="AD68" s="139" t="n">
        <v>2.5</v>
      </c>
      <c r="AE68" s="141" t="n">
        <v>2</v>
      </c>
      <c r="AF68" s="139" t="n">
        <v>10.3</v>
      </c>
      <c r="AG68" s="140" t="n">
        <v>0.603</v>
      </c>
      <c r="AH68" s="140" t="n">
        <v>0.058</v>
      </c>
      <c r="AI68" s="139" t="n">
        <v>0</v>
      </c>
      <c r="AJ68" s="141" t="n">
        <v>2</v>
      </c>
      <c r="AK68" s="139" t="n">
        <v>349.7</v>
      </c>
      <c r="AL68" s="140" t="n">
        <v>6.3</v>
      </c>
      <c r="AM68" s="140" t="n">
        <v>0.018</v>
      </c>
      <c r="AN68" s="139" t="n">
        <v>166.4</v>
      </c>
      <c r="AO68" s="52"/>
      <c r="AP68" s="52"/>
      <c r="AQ68" s="52"/>
      <c r="AR68" s="52"/>
      <c r="AS68" s="142" t="e">
        <f aca="false">[1]!table2[[#this row],[object_a_._head_time]]+[1]!table2[[#this row],[object_b_._head_time]]</f>
        <v>#N/A</v>
      </c>
      <c r="AT68" s="142" t="e">
        <f aca="false">[1]!table2[[#this row],[object_a_._head_time]]+[1]!table2[[#this row],[object_b_._head_time]]</f>
        <v>#N/A</v>
      </c>
      <c r="AU68" s="142" t="e">
        <f aca="false">[1]!table2[[#this row],[object_b_._head_time]]-[1]!table2[[#this row],[object_a_._head_time]]</f>
        <v>#N/A</v>
      </c>
      <c r="AV68" s="143" t="e">
        <f aca="false">[1]!table2[[#this row],[d1: absolute discrimination measure (D1 = B2- A2)]]/[1]!table2[[#this row],[e2: total exploration time in second trial E2 ( E2 = A2 + B2)]]</f>
        <v>#N/A</v>
      </c>
      <c r="AW68" s="142" t="e">
        <f aca="false">(W68/AT68)*100</f>
        <v>#N/A</v>
      </c>
      <c r="AX68" s="142" t="e">
        <f aca="false">([1]!table2[[#this row],[object_a_._head_time]]/([1]!table2[[#this row],[object_a_._head_time]]+[1]!table2[[#this row],[object_b_._head_time]]))*100</f>
        <v>#N/A</v>
      </c>
      <c r="AY68" s="57" t="s">
        <v>79</v>
      </c>
      <c r="AZ68" s="57" t="s">
        <v>123</v>
      </c>
      <c r="BA68" s="57" t="s">
        <v>93</v>
      </c>
      <c r="BB68" s="58" t="n">
        <v>119</v>
      </c>
      <c r="BC68" s="59" t="n">
        <v>3.96666666666667</v>
      </c>
      <c r="BD68" s="60" t="s">
        <v>67</v>
      </c>
      <c r="BE68" s="57" t="n">
        <v>4</v>
      </c>
      <c r="BF68" s="61"/>
    </row>
    <row r="69" customFormat="false" ht="12" hidden="false" customHeight="true" outlineLevel="0" collapsed="false">
      <c r="A69" s="137" t="n">
        <v>101</v>
      </c>
      <c r="B69" s="138" t="s">
        <v>169</v>
      </c>
      <c r="C69" s="138" t="s">
        <v>172</v>
      </c>
      <c r="D69" s="138" t="s">
        <v>70</v>
      </c>
      <c r="E69" s="138" t="s">
        <v>282</v>
      </c>
      <c r="F69" s="138" t="s">
        <v>374</v>
      </c>
      <c r="G69" s="138" t="s">
        <v>376</v>
      </c>
      <c r="H69" s="139" t="n">
        <v>360</v>
      </c>
      <c r="I69" s="140" t="n">
        <v>6.018</v>
      </c>
      <c r="J69" s="140" t="n">
        <v>0.017</v>
      </c>
      <c r="K69" s="140" t="n">
        <v>0.257</v>
      </c>
      <c r="L69" s="139" t="n">
        <v>167.3</v>
      </c>
      <c r="M69" s="141" t="n">
        <v>22</v>
      </c>
      <c r="N69" s="139" t="n">
        <v>97</v>
      </c>
      <c r="O69" s="140" t="n">
        <v>1.035</v>
      </c>
      <c r="P69" s="140" t="n">
        <v>0.011</v>
      </c>
      <c r="Q69" s="140" t="n">
        <v>0.21</v>
      </c>
      <c r="R69" s="139" t="n">
        <v>36.8</v>
      </c>
      <c r="S69" s="141" t="n">
        <v>2538</v>
      </c>
      <c r="T69" s="139" t="n">
        <v>47</v>
      </c>
      <c r="U69" s="139" t="n">
        <v>61</v>
      </c>
      <c r="V69" s="141" t="n">
        <v>13</v>
      </c>
      <c r="W69" s="139" t="n">
        <v>23.4</v>
      </c>
      <c r="X69" s="140" t="n">
        <v>0.83</v>
      </c>
      <c r="Y69" s="140" t="n">
        <v>0.036</v>
      </c>
      <c r="Z69" s="140" t="n">
        <v>0.257</v>
      </c>
      <c r="AA69" s="139" t="n">
        <v>7.4</v>
      </c>
      <c r="AB69" s="141" t="n">
        <v>1789</v>
      </c>
      <c r="AC69" s="139" t="n">
        <v>2.7</v>
      </c>
      <c r="AD69" s="139" t="n">
        <v>1.4</v>
      </c>
      <c r="AE69" s="141" t="n">
        <v>7</v>
      </c>
      <c r="AF69" s="139" t="n">
        <v>14.4</v>
      </c>
      <c r="AG69" s="140" t="n">
        <v>0.965</v>
      </c>
      <c r="AH69" s="140" t="n">
        <v>0.067</v>
      </c>
      <c r="AI69" s="139" t="n">
        <v>0</v>
      </c>
      <c r="AJ69" s="141" t="n">
        <v>7</v>
      </c>
      <c r="AK69" s="139" t="n">
        <v>345.6</v>
      </c>
      <c r="AL69" s="140" t="n">
        <v>5.053</v>
      </c>
      <c r="AM69" s="140" t="n">
        <v>0.015</v>
      </c>
      <c r="AN69" s="139" t="n">
        <v>167.3</v>
      </c>
      <c r="AO69" s="52"/>
      <c r="AP69" s="52"/>
      <c r="AQ69" s="52"/>
      <c r="AR69" s="52"/>
      <c r="AS69" s="142" t="e">
        <f aca="false">[1]!table2[[#this row],[object_a_._head_time]]+[1]!table2[[#this row],[object_b_._head_time]]</f>
        <v>#N/A</v>
      </c>
      <c r="AT69" s="142" t="e">
        <f aca="false">[1]!table2[[#this row],[object_a_._head_time]]+[1]!table2[[#this row],[object_b_._head_time]]</f>
        <v>#N/A</v>
      </c>
      <c r="AU69" s="142" t="e">
        <f aca="false">[1]!table2[[#this row],[object_b_._head_time]]-[1]!table2[[#this row],[object_a_._head_time]]</f>
        <v>#N/A</v>
      </c>
      <c r="AV69" s="143" t="e">
        <f aca="false">[1]!table2[[#this row],[d1: absolute discrimination measure (D1 = B2- A2)]]/[1]!table2[[#this row],[e2: total exploration time in second trial E2 ( E2 = A2 + B2)]]</f>
        <v>#N/A</v>
      </c>
      <c r="AW69" s="142" t="e">
        <f aca="false">(W69/AT69)*100</f>
        <v>#N/A</v>
      </c>
      <c r="AX69" s="142" t="e">
        <f aca="false">([1]!table2[[#this row],[object_a_._head_time]]/([1]!table2[[#this row],[object_a_._head_time]]+[1]!table2[[#this row],[object_b_._head_time]]))*100</f>
        <v>#N/A</v>
      </c>
      <c r="AY69" s="57" t="s">
        <v>79</v>
      </c>
      <c r="AZ69" s="57" t="s">
        <v>123</v>
      </c>
      <c r="BA69" s="57" t="s">
        <v>66</v>
      </c>
      <c r="BB69" s="58" t="n">
        <v>119</v>
      </c>
      <c r="BC69" s="59" t="n">
        <v>3.96666666666667</v>
      </c>
      <c r="BD69" s="60" t="s">
        <v>67</v>
      </c>
      <c r="BE69" s="57" t="n">
        <v>2</v>
      </c>
      <c r="BF69" s="61"/>
    </row>
    <row r="70" customFormat="false" ht="12" hidden="false" customHeight="true" outlineLevel="0" collapsed="false">
      <c r="A70" s="144" t="n">
        <v>2</v>
      </c>
      <c r="B70" s="145" t="s">
        <v>58</v>
      </c>
      <c r="C70" s="145" t="s">
        <v>224</v>
      </c>
      <c r="D70" s="145" t="s">
        <v>60</v>
      </c>
      <c r="E70" s="145" t="s">
        <v>377</v>
      </c>
      <c r="F70" s="145" t="s">
        <v>378</v>
      </c>
      <c r="G70" s="145" t="s">
        <v>379</v>
      </c>
      <c r="H70" s="146" t="n">
        <v>300</v>
      </c>
      <c r="I70" s="147" t="n">
        <v>5.557</v>
      </c>
      <c r="J70" s="147" t="n">
        <v>0.019</v>
      </c>
      <c r="K70" s="147" t="n">
        <v>0.313</v>
      </c>
      <c r="L70" s="146" t="n">
        <v>46.6</v>
      </c>
      <c r="M70" s="148" t="n">
        <v>5</v>
      </c>
      <c r="N70" s="146" t="n">
        <v>8.8</v>
      </c>
      <c r="O70" s="147" t="n">
        <v>0.372</v>
      </c>
      <c r="P70" s="147" t="n">
        <v>0.042</v>
      </c>
      <c r="Q70" s="147" t="n">
        <v>0.238</v>
      </c>
      <c r="R70" s="146" t="n">
        <v>3.5</v>
      </c>
      <c r="S70" s="148" t="n">
        <v>339</v>
      </c>
      <c r="T70" s="146" t="n">
        <v>0</v>
      </c>
      <c r="U70" s="146" t="n">
        <v>0.7</v>
      </c>
      <c r="V70" s="148" t="n">
        <v>9</v>
      </c>
      <c r="W70" s="146" t="n">
        <v>106</v>
      </c>
      <c r="X70" s="147" t="n">
        <v>0.584</v>
      </c>
      <c r="Y70" s="147" t="n">
        <v>0.006</v>
      </c>
      <c r="Z70" s="147" t="n">
        <v>0.22</v>
      </c>
      <c r="AA70" s="146" t="n">
        <v>0.8</v>
      </c>
      <c r="AB70" s="148" t="n">
        <v>5950</v>
      </c>
      <c r="AC70" s="146" t="n">
        <v>32.4</v>
      </c>
      <c r="AD70" s="146" t="n">
        <v>1.5</v>
      </c>
      <c r="AE70" s="148" t="n">
        <v>11</v>
      </c>
      <c r="AF70" s="146" t="n">
        <v>28.2</v>
      </c>
      <c r="AG70" s="147" t="n">
        <v>0.949</v>
      </c>
      <c r="AH70" s="147" t="n">
        <v>0.034</v>
      </c>
      <c r="AI70" s="146" t="n">
        <v>5.5</v>
      </c>
      <c r="AJ70" s="148" t="n">
        <v>10</v>
      </c>
      <c r="AK70" s="146" t="n">
        <v>271.8</v>
      </c>
      <c r="AL70" s="147" t="n">
        <v>4.608</v>
      </c>
      <c r="AM70" s="147" t="n">
        <v>0.017</v>
      </c>
      <c r="AN70" s="146" t="n">
        <v>41.1</v>
      </c>
      <c r="AO70" s="5" t="n">
        <f aca="false">Table1[[#This Row],[Inside_._time]]/Table1[[#This Row],[Duration]]</f>
        <v>0.094</v>
      </c>
      <c r="AP70" s="5" t="n">
        <f aca="false">Table1[[#This Row],[Outside_._time]]/Table1[[#This Row],[Duration]]</f>
        <v>0.906</v>
      </c>
      <c r="AQ70" s="5" t="n">
        <f aca="false">Table1[[#This Row],[Inside_._distance]]/Table1[[#This Row],[Distance]]</f>
        <v>0.17077559834443</v>
      </c>
      <c r="AR70" s="5" t="n">
        <f aca="false">Table1[[#This Row],[Outside_._distance]]/Table1[[#This Row],[Distance]]</f>
        <v>0.829224401655569</v>
      </c>
      <c r="AS70" s="149" t="e">
        <f aca="false">[1]!table2[[#this row],[object_a_._head_time]]+[1]!table2[[#this row],[object_b_._head_time]]</f>
        <v>#N/A</v>
      </c>
      <c r="AT70" s="149" t="e">
        <f aca="false">[1]!table2[[#this row],[object_a_._head_time]]+[1]!table2[[#this row],[object_b_._head_time]]</f>
        <v>#N/A</v>
      </c>
      <c r="AU70" s="149" t="e">
        <f aca="false">[1]!table2[[#this row],[object_b_._head_time]]-[1]!table2[[#this row],[object_a_._head_time]]</f>
        <v>#N/A</v>
      </c>
      <c r="AV70" s="150" t="e">
        <f aca="false">[1]!table2[[#this row],[d1: absolute discrimination measure (D1 = B2- A2)]]/[1]!table2[[#this row],[e2: total exploration time in second trial E2 ( E2 = A2 + B2)]]</f>
        <v>#N/A</v>
      </c>
      <c r="AW70" s="149" t="e">
        <f aca="false">(W70/AT70)*100</f>
        <v>#N/A</v>
      </c>
      <c r="AX70" s="149" t="e">
        <f aca="false">([1]!table2[[#this row],[object_a_._head_time]]/([1]!table2[[#this row],[object_a_._head_time]]+[1]!table2[[#this row],[object_b_._head_time]]))*100</f>
        <v>#N/A</v>
      </c>
      <c r="AY70" s="82" t="s">
        <v>64</v>
      </c>
      <c r="AZ70" s="82" t="s">
        <v>65</v>
      </c>
      <c r="BA70" s="82" t="s">
        <v>66</v>
      </c>
      <c r="BB70" s="83" t="n">
        <v>195</v>
      </c>
      <c r="BC70" s="84" t="n">
        <v>6.5</v>
      </c>
      <c r="BD70" s="85" t="s">
        <v>67</v>
      </c>
      <c r="BE70" s="82" t="n">
        <v>2</v>
      </c>
      <c r="BF70" s="86" t="s">
        <v>68</v>
      </c>
    </row>
    <row r="71" customFormat="false" ht="12" hidden="false" customHeight="true" outlineLevel="0" collapsed="false">
      <c r="A71" s="144" t="n">
        <v>1</v>
      </c>
      <c r="B71" s="145" t="s">
        <v>72</v>
      </c>
      <c r="C71" s="145" t="s">
        <v>224</v>
      </c>
      <c r="D71" s="145" t="s">
        <v>70</v>
      </c>
      <c r="E71" s="145" t="s">
        <v>377</v>
      </c>
      <c r="F71" s="145" t="s">
        <v>378</v>
      </c>
      <c r="G71" s="145" t="s">
        <v>380</v>
      </c>
      <c r="H71" s="146" t="n">
        <v>300</v>
      </c>
      <c r="I71" s="147" t="n">
        <v>6.986</v>
      </c>
      <c r="J71" s="147" t="n">
        <v>0.023</v>
      </c>
      <c r="K71" s="147" t="n">
        <v>0.284</v>
      </c>
      <c r="L71" s="146" t="n">
        <v>80.6</v>
      </c>
      <c r="M71" s="148" t="n">
        <v>4</v>
      </c>
      <c r="N71" s="146" t="n">
        <v>18</v>
      </c>
      <c r="O71" s="147" t="n">
        <v>1.071</v>
      </c>
      <c r="P71" s="147" t="n">
        <v>0.06</v>
      </c>
      <c r="Q71" s="147" t="n">
        <v>0.252</v>
      </c>
      <c r="R71" s="146" t="n">
        <v>4.6</v>
      </c>
      <c r="S71" s="148" t="n">
        <v>763</v>
      </c>
      <c r="T71" s="146" t="n">
        <v>2.6</v>
      </c>
      <c r="U71" s="146" t="n">
        <v>6.5</v>
      </c>
      <c r="V71" s="148" t="n">
        <v>19</v>
      </c>
      <c r="W71" s="146" t="n">
        <v>22.2</v>
      </c>
      <c r="X71" s="147" t="n">
        <v>0.59</v>
      </c>
      <c r="Y71" s="147" t="n">
        <v>0.027</v>
      </c>
      <c r="Z71" s="147" t="n">
        <v>0.211</v>
      </c>
      <c r="AA71" s="146" t="n">
        <v>7.1</v>
      </c>
      <c r="AB71" s="148" t="n">
        <v>1457</v>
      </c>
      <c r="AC71" s="146" t="n">
        <v>2.9</v>
      </c>
      <c r="AD71" s="146" t="n">
        <v>7.9</v>
      </c>
      <c r="AE71" s="148" t="n">
        <v>11</v>
      </c>
      <c r="AF71" s="146" t="n">
        <v>46.7</v>
      </c>
      <c r="AG71" s="147" t="n">
        <v>1.652</v>
      </c>
      <c r="AH71" s="147" t="n">
        <v>0.035</v>
      </c>
      <c r="AI71" s="146" t="n">
        <v>10.1</v>
      </c>
      <c r="AJ71" s="148" t="n">
        <v>11</v>
      </c>
      <c r="AK71" s="146" t="n">
        <v>253.3</v>
      </c>
      <c r="AL71" s="147" t="n">
        <v>5.334</v>
      </c>
      <c r="AM71" s="147" t="n">
        <v>0.021</v>
      </c>
      <c r="AN71" s="146" t="n">
        <v>70.5</v>
      </c>
      <c r="AO71" s="78" t="n">
        <f aca="false">Table1[[#This Row],[Inside_._time]]/Table1[[#This Row],[Duration]]</f>
        <v>0.155666666666667</v>
      </c>
      <c r="AP71" s="78" t="n">
        <f aca="false">Table1[[#This Row],[Outside_._time]]/Table1[[#This Row],[Duration]]</f>
        <v>0.844333333333333</v>
      </c>
      <c r="AQ71" s="78" t="n">
        <f aca="false">Table1[[#This Row],[Inside_._distance]]/Table1[[#This Row],[Distance]]</f>
        <v>0.236472945891784</v>
      </c>
      <c r="AR71" s="78" t="n">
        <f aca="false">Table1[[#This Row],[Outside_._distance]]/Table1[[#This Row],[Distance]]</f>
        <v>0.763527054108216</v>
      </c>
      <c r="AS71" s="149" t="e">
        <f aca="false">[1]!table2[[#this row],[object_a_._head_time]]+[1]!table2[[#this row],[object_b_._head_time]]</f>
        <v>#N/A</v>
      </c>
      <c r="AT71" s="149" t="e">
        <f aca="false">[1]!table2[[#this row],[object_a_._head_time]]+[1]!table2[[#this row],[object_b_._head_time]]</f>
        <v>#N/A</v>
      </c>
      <c r="AU71" s="149" t="e">
        <f aca="false">[1]!table2[[#this row],[object_b_._head_time]]-[1]!table2[[#this row],[object_a_._head_time]]</f>
        <v>#N/A</v>
      </c>
      <c r="AV71" s="150" t="e">
        <f aca="false">[1]!table2[[#this row],[d1: absolute discrimination measure (D1 = B2- A2)]]/[1]!table2[[#this row],[e2: total exploration time in second trial E2 ( E2 = A2 + B2)]]</f>
        <v>#N/A</v>
      </c>
      <c r="AW71" s="149" t="e">
        <f aca="false">(W71/AT71)*100</f>
        <v>#N/A</v>
      </c>
      <c r="AX71" s="149" t="e">
        <f aca="false">([1]!table2[[#this row],[object_a_._head_time]]/([1]!table2[[#this row],[object_a_._head_time]]+[1]!table2[[#this row],[object_b_._head_time]]))*100</f>
        <v>#N/A</v>
      </c>
      <c r="AY71" s="82" t="s">
        <v>64</v>
      </c>
      <c r="AZ71" s="82" t="s">
        <v>65</v>
      </c>
      <c r="BA71" s="82" t="s">
        <v>66</v>
      </c>
      <c r="BB71" s="83" t="n">
        <v>195</v>
      </c>
      <c r="BC71" s="84" t="n">
        <v>6.5</v>
      </c>
      <c r="BD71" s="85" t="s">
        <v>67</v>
      </c>
      <c r="BE71" s="82" t="n">
        <v>2</v>
      </c>
      <c r="BF71" s="86" t="s">
        <v>75</v>
      </c>
    </row>
    <row r="72" customFormat="false" ht="12" hidden="false" customHeight="true" outlineLevel="0" collapsed="false">
      <c r="A72" s="144" t="n">
        <v>3</v>
      </c>
      <c r="B72" s="145" t="s">
        <v>76</v>
      </c>
      <c r="C72" s="145" t="s">
        <v>224</v>
      </c>
      <c r="D72" s="145" t="s">
        <v>73</v>
      </c>
      <c r="E72" s="145" t="s">
        <v>377</v>
      </c>
      <c r="F72" s="145" t="s">
        <v>378</v>
      </c>
      <c r="G72" s="145" t="s">
        <v>381</v>
      </c>
      <c r="H72" s="146" t="n">
        <v>300</v>
      </c>
      <c r="I72" s="147" t="n">
        <v>30.117</v>
      </c>
      <c r="J72" s="147" t="n">
        <v>0.1</v>
      </c>
      <c r="K72" s="147" t="n">
        <v>0.405</v>
      </c>
      <c r="L72" s="146" t="n">
        <v>1.4</v>
      </c>
      <c r="M72" s="148" t="n">
        <v>61</v>
      </c>
      <c r="N72" s="146" t="n">
        <v>60.8</v>
      </c>
      <c r="O72" s="147" t="n">
        <v>3.429</v>
      </c>
      <c r="P72" s="147" t="n">
        <v>0.056</v>
      </c>
      <c r="Q72" s="147" t="n">
        <v>0.372</v>
      </c>
      <c r="R72" s="146" t="n">
        <v>8.3</v>
      </c>
      <c r="S72" s="148" t="n">
        <v>7735</v>
      </c>
      <c r="T72" s="146" t="n">
        <v>0</v>
      </c>
      <c r="U72" s="146" t="n">
        <v>12.2</v>
      </c>
      <c r="V72" s="148" t="n">
        <v>52</v>
      </c>
      <c r="W72" s="146" t="n">
        <v>26.6</v>
      </c>
      <c r="X72" s="147" t="n">
        <v>3.894</v>
      </c>
      <c r="Y72" s="147" t="n">
        <v>0.146</v>
      </c>
      <c r="Z72" s="147" t="n">
        <v>0.359</v>
      </c>
      <c r="AA72" s="146" t="n">
        <v>4.5</v>
      </c>
      <c r="AB72" s="148" t="n">
        <v>5570</v>
      </c>
      <c r="AC72" s="146" t="n">
        <v>0</v>
      </c>
      <c r="AD72" s="146" t="n">
        <v>9.1</v>
      </c>
      <c r="AE72" s="148" t="n">
        <v>70</v>
      </c>
      <c r="AF72" s="146" t="n">
        <v>70.8</v>
      </c>
      <c r="AG72" s="147" t="n">
        <v>10.221</v>
      </c>
      <c r="AH72" s="147" t="n">
        <v>0.144</v>
      </c>
      <c r="AI72" s="146" t="n">
        <v>0</v>
      </c>
      <c r="AJ72" s="148" t="n">
        <v>70</v>
      </c>
      <c r="AK72" s="146" t="n">
        <v>229.2</v>
      </c>
      <c r="AL72" s="147" t="n">
        <v>19.895</v>
      </c>
      <c r="AM72" s="147" t="n">
        <v>0.087</v>
      </c>
      <c r="AN72" s="146" t="n">
        <v>1.4</v>
      </c>
      <c r="AO72" s="78" t="n">
        <f aca="false">Table1[[#This Row],[Inside_._time]]/Table1[[#This Row],[Duration]]</f>
        <v>0.236</v>
      </c>
      <c r="AP72" s="78" t="n">
        <f aca="false">Table1[[#This Row],[Outside_._time]]/Table1[[#This Row],[Duration]]</f>
        <v>0.764</v>
      </c>
      <c r="AQ72" s="78" t="n">
        <f aca="false">Table1[[#This Row],[Inside_._distance]]/Table1[[#This Row],[Distance]]</f>
        <v>0.339376431915529</v>
      </c>
      <c r="AR72" s="78" t="n">
        <f aca="false">Table1[[#This Row],[Outside_._distance]]/Table1[[#This Row],[Distance]]</f>
        <v>0.660590364246107</v>
      </c>
      <c r="AS72" s="149" t="e">
        <f aca="false">[1]!table2[[#this row],[object_a_._head_time]]+[1]!table2[[#this row],[object_b_._head_time]]</f>
        <v>#N/A</v>
      </c>
      <c r="AT72" s="149" t="e">
        <f aca="false">[1]!table2[[#this row],[object_a_._head_time]]+[1]!table2[[#this row],[object_b_._head_time]]</f>
        <v>#N/A</v>
      </c>
      <c r="AU72" s="149" t="e">
        <f aca="false">[1]!table2[[#this row],[object_b_._head_time]]-[1]!table2[[#this row],[object_a_._head_time]]</f>
        <v>#N/A</v>
      </c>
      <c r="AV72" s="150" t="e">
        <f aca="false">[1]!table2[[#this row],[d1: absolute discrimination measure (D1 = B2- A2)]]/[1]!table2[[#this row],[e2: total exploration time in second trial E2 ( E2 = A2 + B2)]]</f>
        <v>#N/A</v>
      </c>
      <c r="AW72" s="149" t="e">
        <f aca="false">(W72/AT72)*100</f>
        <v>#N/A</v>
      </c>
      <c r="AX72" s="149" t="e">
        <f aca="false">([1]!table2[[#this row],[object_a_._head_time]]/([1]!table2[[#this row],[object_a_._head_time]]+[1]!table2[[#this row],[object_b_._head_time]]))*100</f>
        <v>#N/A</v>
      </c>
      <c r="AY72" s="82" t="s">
        <v>79</v>
      </c>
      <c r="AZ72" s="82" t="s">
        <v>65</v>
      </c>
      <c r="BA72" s="82" t="s">
        <v>66</v>
      </c>
      <c r="BB72" s="83" t="n">
        <v>195</v>
      </c>
      <c r="BC72" s="84" t="n">
        <v>6.5</v>
      </c>
      <c r="BD72" s="85" t="s">
        <v>80</v>
      </c>
      <c r="BE72" s="82" t="n">
        <v>1</v>
      </c>
      <c r="BF72" s="86" t="s">
        <v>81</v>
      </c>
    </row>
    <row r="73" customFormat="false" ht="12" hidden="false" customHeight="true" outlineLevel="0" collapsed="false">
      <c r="A73" s="144" t="n">
        <v>4</v>
      </c>
      <c r="B73" s="145" t="s">
        <v>82</v>
      </c>
      <c r="C73" s="145" t="s">
        <v>224</v>
      </c>
      <c r="D73" s="145" t="s">
        <v>77</v>
      </c>
      <c r="E73" s="145" t="s">
        <v>377</v>
      </c>
      <c r="F73" s="145" t="s">
        <v>378</v>
      </c>
      <c r="G73" s="145" t="s">
        <v>382</v>
      </c>
      <c r="H73" s="146" t="n">
        <v>300</v>
      </c>
      <c r="I73" s="147" t="n">
        <v>27.807</v>
      </c>
      <c r="J73" s="147" t="n">
        <v>0.093</v>
      </c>
      <c r="K73" s="147" t="n">
        <v>0.292</v>
      </c>
      <c r="L73" s="146" t="n">
        <v>0</v>
      </c>
      <c r="M73" s="148" t="n">
        <v>36</v>
      </c>
      <c r="N73" s="146" t="n">
        <v>27.5</v>
      </c>
      <c r="O73" s="147" t="n">
        <v>3.172</v>
      </c>
      <c r="P73" s="147" t="n">
        <v>0.115</v>
      </c>
      <c r="Q73" s="147" t="n">
        <v>0.275</v>
      </c>
      <c r="R73" s="146" t="n">
        <v>4.3</v>
      </c>
      <c r="S73" s="148" t="n">
        <v>1934</v>
      </c>
      <c r="T73" s="146" t="n">
        <v>0</v>
      </c>
      <c r="U73" s="146" t="n">
        <v>4.8</v>
      </c>
      <c r="V73" s="148" t="n">
        <v>37</v>
      </c>
      <c r="W73" s="146" t="n">
        <v>23.6</v>
      </c>
      <c r="X73" s="147" t="n">
        <v>2.78</v>
      </c>
      <c r="Y73" s="147" t="n">
        <v>0.118</v>
      </c>
      <c r="Z73" s="147" t="n">
        <v>0.278</v>
      </c>
      <c r="AA73" s="146" t="n">
        <v>7.2</v>
      </c>
      <c r="AB73" s="148" t="n">
        <v>1965</v>
      </c>
      <c r="AC73" s="146" t="n">
        <v>0</v>
      </c>
      <c r="AD73" s="146" t="n">
        <v>6.9</v>
      </c>
      <c r="AE73" s="148" t="n">
        <v>32</v>
      </c>
      <c r="AF73" s="146" t="n">
        <v>36.3</v>
      </c>
      <c r="AG73" s="147" t="n">
        <v>3.769</v>
      </c>
      <c r="AH73" s="147" t="n">
        <v>0.104</v>
      </c>
      <c r="AI73" s="146" t="n">
        <v>0</v>
      </c>
      <c r="AJ73" s="148" t="n">
        <v>32</v>
      </c>
      <c r="AK73" s="146" t="n">
        <v>263.7</v>
      </c>
      <c r="AL73" s="147" t="n">
        <v>24.039</v>
      </c>
      <c r="AM73" s="147" t="n">
        <v>0.091</v>
      </c>
      <c r="AN73" s="146" t="n">
        <v>0</v>
      </c>
      <c r="AO73" s="78" t="n">
        <f aca="false">Table1[[#This Row],[Inside_._time]]/Table1[[#This Row],[Duration]]</f>
        <v>0.121</v>
      </c>
      <c r="AP73" s="78" t="n">
        <f aca="false">Table1[[#This Row],[Outside_._time]]/Table1[[#This Row],[Duration]]</f>
        <v>0.879</v>
      </c>
      <c r="AQ73" s="78" t="n">
        <f aca="false">Table1[[#This Row],[Inside_._distance]]/Table1[[#This Row],[Distance]]</f>
        <v>0.135541410436221</v>
      </c>
      <c r="AR73" s="78" t="n">
        <f aca="false">Table1[[#This Row],[Outside_._distance]]/Table1[[#This Row],[Distance]]</f>
        <v>0.864494551731579</v>
      </c>
      <c r="AS73" s="149" t="e">
        <f aca="false">[1]!table2[[#this row],[object_a_._head_time]]+[1]!table2[[#this row],[object_b_._head_time]]</f>
        <v>#N/A</v>
      </c>
      <c r="AT73" s="149" t="e">
        <f aca="false">[1]!table2[[#this row],[object_a_._head_time]]+[1]!table2[[#this row],[object_b_._head_time]]</f>
        <v>#N/A</v>
      </c>
      <c r="AU73" s="149" t="e">
        <f aca="false">[1]!table2[[#this row],[object_b_._head_time]]-[1]!table2[[#this row],[object_a_._head_time]]</f>
        <v>#N/A</v>
      </c>
      <c r="AV73" s="150" t="e">
        <f aca="false">[1]!table2[[#this row],[d1: absolute discrimination measure (D1 = B2- A2)]]/[1]!table2[[#this row],[e2: total exploration time in second trial E2 ( E2 = A2 + B2)]]</f>
        <v>#N/A</v>
      </c>
      <c r="AW73" s="149" t="e">
        <f aca="false">(W73/AT73)*100</f>
        <v>#N/A</v>
      </c>
      <c r="AX73" s="149" t="e">
        <f aca="false">([1]!table2[[#this row],[object_a_._head_time]]/([1]!table2[[#this row],[object_a_._head_time]]+[1]!table2[[#this row],[object_b_._head_time]]))*100</f>
        <v>#N/A</v>
      </c>
      <c r="AY73" s="82" t="s">
        <v>79</v>
      </c>
      <c r="AZ73" s="82" t="s">
        <v>65</v>
      </c>
      <c r="BA73" s="82" t="s">
        <v>66</v>
      </c>
      <c r="BB73" s="83" t="n">
        <v>195</v>
      </c>
      <c r="BC73" s="84" t="n">
        <v>6.5</v>
      </c>
      <c r="BD73" s="85" t="s">
        <v>67</v>
      </c>
      <c r="BE73" s="82" t="n">
        <v>2</v>
      </c>
      <c r="BF73" s="86" t="s">
        <v>85</v>
      </c>
    </row>
    <row r="74" customFormat="false" ht="12" hidden="false" customHeight="true" outlineLevel="0" collapsed="false">
      <c r="A74" s="144" t="n">
        <v>6</v>
      </c>
      <c r="B74" s="145" t="s">
        <v>86</v>
      </c>
      <c r="C74" s="145" t="s">
        <v>224</v>
      </c>
      <c r="D74" s="145" t="s">
        <v>60</v>
      </c>
      <c r="E74" s="145" t="s">
        <v>377</v>
      </c>
      <c r="F74" s="145" t="s">
        <v>226</v>
      </c>
      <c r="G74" s="145" t="s">
        <v>383</v>
      </c>
      <c r="H74" s="146" t="n">
        <v>300</v>
      </c>
      <c r="I74" s="147" t="n">
        <v>6.565</v>
      </c>
      <c r="J74" s="147" t="n">
        <v>0.022</v>
      </c>
      <c r="K74" s="147" t="n">
        <v>0.214</v>
      </c>
      <c r="L74" s="146" t="n">
        <v>57.3</v>
      </c>
      <c r="M74" s="148" t="n">
        <v>7</v>
      </c>
      <c r="N74" s="146" t="n">
        <v>5.3</v>
      </c>
      <c r="O74" s="147" t="n">
        <v>0.437</v>
      </c>
      <c r="P74" s="147" t="n">
        <v>0.083</v>
      </c>
      <c r="Q74" s="147" t="n">
        <v>0.155</v>
      </c>
      <c r="R74" s="146" t="n">
        <v>0.5</v>
      </c>
      <c r="S74" s="148" t="n">
        <v>307</v>
      </c>
      <c r="T74" s="146" t="n">
        <v>0</v>
      </c>
      <c r="U74" s="146" t="n">
        <v>1.7</v>
      </c>
      <c r="V74" s="148" t="n">
        <v>10</v>
      </c>
      <c r="W74" s="146" t="n">
        <v>17.5</v>
      </c>
      <c r="X74" s="147" t="n">
        <v>0.35</v>
      </c>
      <c r="Y74" s="147" t="n">
        <v>0.02</v>
      </c>
      <c r="Z74" s="147" t="n">
        <v>0.188</v>
      </c>
      <c r="AA74" s="146" t="n">
        <v>0.2</v>
      </c>
      <c r="AB74" s="148" t="n">
        <v>711</v>
      </c>
      <c r="AC74" s="146" t="n">
        <v>0</v>
      </c>
      <c r="AD74" s="146" t="n">
        <v>10.8</v>
      </c>
      <c r="AE74" s="148" t="n">
        <v>3</v>
      </c>
      <c r="AF74" s="146" t="n">
        <v>5.9</v>
      </c>
      <c r="AG74" s="147" t="n">
        <v>0.566</v>
      </c>
      <c r="AH74" s="147" t="n">
        <v>0.096</v>
      </c>
      <c r="AI74" s="146" t="n">
        <v>0</v>
      </c>
      <c r="AJ74" s="148" t="n">
        <v>3</v>
      </c>
      <c r="AK74" s="146" t="n">
        <v>294.1</v>
      </c>
      <c r="AL74" s="147" t="n">
        <v>5.999</v>
      </c>
      <c r="AM74" s="147" t="n">
        <v>0.02</v>
      </c>
      <c r="AN74" s="146" t="n">
        <v>57.3</v>
      </c>
      <c r="AO74" s="78" t="n">
        <f aca="false">Table1[[#This Row],[Inside_._time]]/Table1[[#This Row],[Duration]]</f>
        <v>0.0196666666666667</v>
      </c>
      <c r="AP74" s="78" t="n">
        <f aca="false">Table1[[#This Row],[Outside_._time]]/Table1[[#This Row],[Duration]]</f>
        <v>0.980333333333333</v>
      </c>
      <c r="AQ74" s="78" t="n">
        <f aca="false">Table1[[#This Row],[Inside_._distance]]/Table1[[#This Row],[Distance]]</f>
        <v>0.0862147753236862</v>
      </c>
      <c r="AR74" s="78" t="n">
        <f aca="false">Table1[[#This Row],[Outside_._distance]]/Table1[[#This Row],[Distance]]</f>
        <v>0.913785224676314</v>
      </c>
      <c r="AS74" s="149" t="e">
        <f aca="false">[1]!table2[[#this row],[object_a_._head_time]]+[1]!table2[[#this row],[object_b_._head_time]]</f>
        <v>#N/A</v>
      </c>
      <c r="AT74" s="149" t="e">
        <f aca="false">[1]!table2[[#this row],[object_a_._head_time]]+[1]!table2[[#this row],[object_b_._head_time]]</f>
        <v>#N/A</v>
      </c>
      <c r="AU74" s="149" t="e">
        <f aca="false">[1]!table2[[#this row],[object_b_._head_time]]-[1]!table2[[#this row],[object_a_._head_time]]</f>
        <v>#N/A</v>
      </c>
      <c r="AV74" s="150" t="e">
        <f aca="false">[1]!table2[[#this row],[d1: absolute discrimination measure (D1 = B2- A2)]]/[1]!table2[[#this row],[e2: total exploration time in second trial E2 ( E2 = A2 + B2)]]</f>
        <v>#N/A</v>
      </c>
      <c r="AW74" s="149" t="e">
        <f aca="false">(W74/AT74)*100</f>
        <v>#N/A</v>
      </c>
      <c r="AX74" s="149" t="e">
        <f aca="false">([1]!table2[[#this row],[object_a_._head_time]]/([1]!table2[[#this row],[object_a_._head_time]]+[1]!table2[[#this row],[object_b_._head_time]]))*100</f>
        <v>#N/A</v>
      </c>
      <c r="AY74" s="82" t="s">
        <v>64</v>
      </c>
      <c r="AZ74" s="82" t="s">
        <v>65</v>
      </c>
      <c r="BA74" s="82" t="s">
        <v>66</v>
      </c>
      <c r="BB74" s="83" t="n">
        <v>185</v>
      </c>
      <c r="BC74" s="84" t="n">
        <v>6.16666666666667</v>
      </c>
      <c r="BD74" s="85" t="s">
        <v>80</v>
      </c>
      <c r="BE74" s="82" t="n">
        <v>1</v>
      </c>
      <c r="BF74" s="86"/>
    </row>
    <row r="75" customFormat="false" ht="12" hidden="false" customHeight="true" outlineLevel="0" collapsed="false">
      <c r="A75" s="144" t="n">
        <v>5</v>
      </c>
      <c r="B75" s="145" t="s">
        <v>89</v>
      </c>
      <c r="C75" s="145" t="s">
        <v>224</v>
      </c>
      <c r="D75" s="145" t="s">
        <v>70</v>
      </c>
      <c r="E75" s="145" t="s">
        <v>377</v>
      </c>
      <c r="F75" s="145" t="s">
        <v>226</v>
      </c>
      <c r="G75" s="145" t="s">
        <v>384</v>
      </c>
      <c r="H75" s="146" t="n">
        <v>300</v>
      </c>
      <c r="I75" s="147" t="n">
        <v>9.153</v>
      </c>
      <c r="J75" s="147" t="n">
        <v>0.031</v>
      </c>
      <c r="K75" s="147" t="n">
        <v>0.183</v>
      </c>
      <c r="L75" s="146" t="n">
        <v>14.8</v>
      </c>
      <c r="M75" s="148" t="n">
        <v>18</v>
      </c>
      <c r="N75" s="146" t="n">
        <v>44.2</v>
      </c>
      <c r="O75" s="147" t="n">
        <v>0.923</v>
      </c>
      <c r="P75" s="147" t="n">
        <v>0.021</v>
      </c>
      <c r="Q75" s="147" t="n">
        <v>0.141</v>
      </c>
      <c r="R75" s="146" t="n">
        <v>12.3</v>
      </c>
      <c r="S75" s="148" t="n">
        <v>2830</v>
      </c>
      <c r="T75" s="146" t="n">
        <v>4.9</v>
      </c>
      <c r="U75" s="146" t="n">
        <v>2.9</v>
      </c>
      <c r="V75" s="148" t="n">
        <v>21</v>
      </c>
      <c r="W75" s="146" t="n">
        <v>23.2</v>
      </c>
      <c r="X75" s="147" t="n">
        <v>1.039</v>
      </c>
      <c r="Y75" s="147" t="n">
        <v>0.045</v>
      </c>
      <c r="Z75" s="147" t="n">
        <v>0.183</v>
      </c>
      <c r="AA75" s="146" t="n">
        <v>1.2</v>
      </c>
      <c r="AB75" s="148" t="n">
        <v>1540</v>
      </c>
      <c r="AC75" s="146" t="n">
        <v>2.9</v>
      </c>
      <c r="AD75" s="146" t="n">
        <v>2.8</v>
      </c>
      <c r="AE75" s="148" t="n">
        <v>11</v>
      </c>
      <c r="AF75" s="146" t="n">
        <v>73.5</v>
      </c>
      <c r="AG75" s="147" t="n">
        <v>1.853</v>
      </c>
      <c r="AH75" s="147" t="n">
        <v>0.025</v>
      </c>
      <c r="AI75" s="146" t="n">
        <v>4.7</v>
      </c>
      <c r="AJ75" s="148" t="n">
        <v>11</v>
      </c>
      <c r="AK75" s="146" t="n">
        <v>226.5</v>
      </c>
      <c r="AL75" s="147" t="n">
        <v>7.3</v>
      </c>
      <c r="AM75" s="147" t="n">
        <v>0.032</v>
      </c>
      <c r="AN75" s="146" t="n">
        <v>10</v>
      </c>
      <c r="AO75" s="78" t="n">
        <f aca="false">Table1[[#This Row],[Inside_._time]]/Table1[[#This Row],[Duration]]</f>
        <v>0.245</v>
      </c>
      <c r="AP75" s="78" t="n">
        <f aca="false">Table1[[#This Row],[Outside_._time]]/Table1[[#This Row],[Duration]]</f>
        <v>0.755</v>
      </c>
      <c r="AQ75" s="78" t="n">
        <f aca="false">Table1[[#This Row],[Inside_._distance]]/Table1[[#This Row],[Distance]]</f>
        <v>0.202447285043155</v>
      </c>
      <c r="AR75" s="78" t="n">
        <f aca="false">Table1[[#This Row],[Outside_._distance]]/Table1[[#This Row],[Distance]]</f>
        <v>0.797552714956845</v>
      </c>
      <c r="AS75" s="149" t="e">
        <f aca="false">[1]!table2[[#this row],[object_a_._head_time]]+[1]!table2[[#this row],[object_b_._head_time]]</f>
        <v>#N/A</v>
      </c>
      <c r="AT75" s="149" t="e">
        <f aca="false">[1]!table2[[#this row],[object_a_._head_time]]+[1]!table2[[#this row],[object_b_._head_time]]</f>
        <v>#N/A</v>
      </c>
      <c r="AU75" s="149" t="e">
        <f aca="false">[1]!table2[[#this row],[object_b_._head_time]]-[1]!table2[[#this row],[object_a_._head_time]]</f>
        <v>#N/A</v>
      </c>
      <c r="AV75" s="150" t="e">
        <f aca="false">[1]!table2[[#this row],[d1: absolute discrimination measure (D1 = B2- A2)]]/[1]!table2[[#this row],[e2: total exploration time in second trial E2 ( E2 = A2 + B2)]]</f>
        <v>#N/A</v>
      </c>
      <c r="AW75" s="149" t="e">
        <f aca="false">(W75/AT75)*100</f>
        <v>#N/A</v>
      </c>
      <c r="AX75" s="149" t="e">
        <f aca="false">([1]!table2[[#this row],[object_a_._head_time]]/([1]!table2[[#this row],[object_a_._head_time]]+[1]!table2[[#this row],[object_b_._head_time]]))*100</f>
        <v>#N/A</v>
      </c>
      <c r="AY75" s="82" t="s">
        <v>64</v>
      </c>
      <c r="AZ75" s="82" t="s">
        <v>65</v>
      </c>
      <c r="BA75" s="82" t="s">
        <v>66</v>
      </c>
      <c r="BB75" s="83" t="n">
        <v>185</v>
      </c>
      <c r="BC75" s="84" t="n">
        <v>6.16666666666667</v>
      </c>
      <c r="BD75" s="85" t="s">
        <v>67</v>
      </c>
      <c r="BE75" s="82" t="n">
        <v>2</v>
      </c>
      <c r="BF75" s="86"/>
    </row>
    <row r="76" customFormat="false" ht="12" hidden="false" customHeight="true" outlineLevel="0" collapsed="false">
      <c r="A76" s="144" t="n">
        <v>7</v>
      </c>
      <c r="B76" s="145" t="s">
        <v>91</v>
      </c>
      <c r="C76" s="145" t="s">
        <v>224</v>
      </c>
      <c r="D76" s="145" t="s">
        <v>73</v>
      </c>
      <c r="E76" s="145" t="s">
        <v>377</v>
      </c>
      <c r="F76" s="145" t="s">
        <v>226</v>
      </c>
      <c r="G76" s="145" t="s">
        <v>385</v>
      </c>
      <c r="H76" s="146" t="n">
        <v>300</v>
      </c>
      <c r="I76" s="147" t="n">
        <v>7.634</v>
      </c>
      <c r="J76" s="147" t="n">
        <v>0.025</v>
      </c>
      <c r="K76" s="147" t="n">
        <v>0.226</v>
      </c>
      <c r="L76" s="146" t="n">
        <v>22.6</v>
      </c>
      <c r="M76" s="148" t="n">
        <v>11</v>
      </c>
      <c r="N76" s="146" t="n">
        <v>8.1</v>
      </c>
      <c r="O76" s="147" t="n">
        <v>0.531</v>
      </c>
      <c r="P76" s="147" t="n">
        <v>0.066</v>
      </c>
      <c r="Q76" s="147" t="n">
        <v>0.192</v>
      </c>
      <c r="R76" s="146" t="n">
        <v>0.2</v>
      </c>
      <c r="S76" s="148" t="n">
        <v>725</v>
      </c>
      <c r="T76" s="146" t="n">
        <v>0</v>
      </c>
      <c r="U76" s="146" t="n">
        <v>2.4</v>
      </c>
      <c r="V76" s="148" t="n">
        <v>11</v>
      </c>
      <c r="W76" s="146" t="n">
        <v>15.8</v>
      </c>
      <c r="X76" s="147" t="n">
        <v>0.529</v>
      </c>
      <c r="Y76" s="147" t="n">
        <v>0.034</v>
      </c>
      <c r="Z76" s="147" t="n">
        <v>0.225</v>
      </c>
      <c r="AA76" s="146" t="n">
        <v>0.3</v>
      </c>
      <c r="AB76" s="148" t="n">
        <v>932</v>
      </c>
      <c r="AC76" s="146" t="n">
        <v>0</v>
      </c>
      <c r="AD76" s="146" t="n">
        <v>1.8</v>
      </c>
      <c r="AE76" s="148" t="n">
        <v>12</v>
      </c>
      <c r="AF76" s="146" t="n">
        <v>58.5</v>
      </c>
      <c r="AG76" s="147" t="n">
        <v>1.554</v>
      </c>
      <c r="AH76" s="147" t="n">
        <v>0.027</v>
      </c>
      <c r="AI76" s="146" t="n">
        <v>6.2</v>
      </c>
      <c r="AJ76" s="148" t="n">
        <v>11</v>
      </c>
      <c r="AK76" s="146" t="n">
        <v>241.5</v>
      </c>
      <c r="AL76" s="147" t="n">
        <v>6.08</v>
      </c>
      <c r="AM76" s="147" t="n">
        <v>0.025</v>
      </c>
      <c r="AN76" s="146" t="n">
        <v>16.4</v>
      </c>
      <c r="AO76" s="78" t="n">
        <f aca="false">Table1[[#This Row],[Inside_._time]]/Table1[[#This Row],[Duration]]</f>
        <v>0.195</v>
      </c>
      <c r="AP76" s="78" t="n">
        <f aca="false">Table1[[#This Row],[Outside_._time]]/Table1[[#This Row],[Duration]]</f>
        <v>0.805</v>
      </c>
      <c r="AQ76" s="78" t="n">
        <f aca="false">Table1[[#This Row],[Inside_._distance]]/Table1[[#This Row],[Distance]]</f>
        <v>0.20356300759759</v>
      </c>
      <c r="AR76" s="78" t="n">
        <f aca="false">Table1[[#This Row],[Outside_._distance]]/Table1[[#This Row],[Distance]]</f>
        <v>0.79643699240241</v>
      </c>
      <c r="AS76" s="149" t="e">
        <f aca="false">[1]!table2[[#this row],[object_a_._head_time]]+[1]!table2[[#this row],[object_b_._head_time]]</f>
        <v>#N/A</v>
      </c>
      <c r="AT76" s="149" t="e">
        <f aca="false">[1]!table2[[#this row],[object_a_._head_time]]+[1]!table2[[#this row],[object_b_._head_time]]</f>
        <v>#N/A</v>
      </c>
      <c r="AU76" s="149" t="e">
        <f aca="false">[1]!table2[[#this row],[object_b_._head_time]]-[1]!table2[[#this row],[object_a_._head_time]]</f>
        <v>#N/A</v>
      </c>
      <c r="AV76" s="150" t="e">
        <f aca="false">[1]!table2[[#this row],[d1: absolute discrimination measure (D1 = B2- A2)]]/[1]!table2[[#this row],[e2: total exploration time in second trial E2 ( E2 = A2 + B2)]]</f>
        <v>#N/A</v>
      </c>
      <c r="AW76" s="149" t="e">
        <f aca="false">(W76/AT76)*100</f>
        <v>#N/A</v>
      </c>
      <c r="AX76" s="149" t="e">
        <f aca="false">([1]!table2[[#this row],[object_a_._head_time]]/([1]!table2[[#this row],[object_a_._head_time]]+[1]!table2[[#this row],[object_b_._head_time]]))*100</f>
        <v>#N/A</v>
      </c>
      <c r="AY76" s="82" t="s">
        <v>64</v>
      </c>
      <c r="AZ76" s="82" t="s">
        <v>65</v>
      </c>
      <c r="BA76" s="82" t="s">
        <v>93</v>
      </c>
      <c r="BB76" s="83" t="n">
        <v>185</v>
      </c>
      <c r="BC76" s="84" t="n">
        <v>6.16666666666667</v>
      </c>
      <c r="BD76" s="85" t="s">
        <v>67</v>
      </c>
      <c r="BE76" s="82" t="n">
        <v>4</v>
      </c>
      <c r="BF76" s="86" t="s">
        <v>94</v>
      </c>
    </row>
    <row r="77" customFormat="false" ht="12" hidden="false" customHeight="true" outlineLevel="0" collapsed="false">
      <c r="A77" s="144" t="n">
        <v>8</v>
      </c>
      <c r="B77" s="145" t="s">
        <v>95</v>
      </c>
      <c r="C77" s="145" t="s">
        <v>224</v>
      </c>
      <c r="D77" s="145" t="s">
        <v>77</v>
      </c>
      <c r="E77" s="145" t="s">
        <v>377</v>
      </c>
      <c r="F77" s="145" t="s">
        <v>226</v>
      </c>
      <c r="G77" s="145" t="s">
        <v>386</v>
      </c>
      <c r="H77" s="146" t="n">
        <v>300</v>
      </c>
      <c r="I77" s="147" t="n">
        <v>7.998</v>
      </c>
      <c r="J77" s="147" t="n">
        <v>0.027</v>
      </c>
      <c r="K77" s="147" t="n">
        <v>1</v>
      </c>
      <c r="L77" s="146" t="n">
        <v>54.5</v>
      </c>
      <c r="M77" s="148" t="n">
        <v>16</v>
      </c>
      <c r="N77" s="146" t="n">
        <v>22.5</v>
      </c>
      <c r="O77" s="147" t="n">
        <v>0.45</v>
      </c>
      <c r="P77" s="147" t="n">
        <v>0.02</v>
      </c>
      <c r="Q77" s="147" t="n">
        <v>0.189</v>
      </c>
      <c r="R77" s="146" t="n">
        <v>9.5</v>
      </c>
      <c r="S77" s="148" t="n">
        <v>1257</v>
      </c>
      <c r="T77" s="146" t="n">
        <v>1.5</v>
      </c>
      <c r="U77" s="146" t="n">
        <v>17</v>
      </c>
      <c r="V77" s="148" t="n">
        <v>8</v>
      </c>
      <c r="W77" s="146" t="n">
        <v>10.9</v>
      </c>
      <c r="X77" s="147" t="n">
        <v>0.585</v>
      </c>
      <c r="Y77" s="147" t="n">
        <v>0.054</v>
      </c>
      <c r="Z77" s="147" t="n">
        <v>0.149</v>
      </c>
      <c r="AA77" s="146" t="n">
        <v>3.7</v>
      </c>
      <c r="AB77" s="148" t="n">
        <v>848</v>
      </c>
      <c r="AC77" s="146" t="n">
        <v>0</v>
      </c>
      <c r="AD77" s="146" t="n">
        <v>5.1</v>
      </c>
      <c r="AE77" s="148" t="n">
        <v>13</v>
      </c>
      <c r="AF77" s="146" t="n">
        <v>17.7</v>
      </c>
      <c r="AG77" s="147" t="n">
        <v>1.676</v>
      </c>
      <c r="AH77" s="147" t="n">
        <v>0.095</v>
      </c>
      <c r="AI77" s="146" t="n">
        <v>0</v>
      </c>
      <c r="AJ77" s="148" t="n">
        <v>14</v>
      </c>
      <c r="AK77" s="146" t="n">
        <v>282.2</v>
      </c>
      <c r="AL77" s="147" t="n">
        <v>5.923</v>
      </c>
      <c r="AM77" s="147" t="n">
        <v>0.021</v>
      </c>
      <c r="AN77" s="146" t="n">
        <v>54.5</v>
      </c>
      <c r="AO77" s="78" t="n">
        <f aca="false">Table1[[#This Row],[Inside_._time]]/Table1[[#This Row],[Duration]]</f>
        <v>0.059</v>
      </c>
      <c r="AP77" s="78" t="n">
        <f aca="false">Table1[[#This Row],[Outside_._time]]/Table1[[#This Row],[Duration]]</f>
        <v>0.940666666666667</v>
      </c>
      <c r="AQ77" s="78" t="n">
        <f aca="false">Table1[[#This Row],[Inside_._distance]]/Table1[[#This Row],[Distance]]</f>
        <v>0.209552388097024</v>
      </c>
      <c r="AR77" s="78" t="n">
        <f aca="false">Table1[[#This Row],[Outside_._distance]]/Table1[[#This Row],[Distance]]</f>
        <v>0.740560140035009</v>
      </c>
      <c r="AS77" s="149" t="e">
        <f aca="false">[1]!table2[[#this row],[object_a_._head_time]]+[1]!table2[[#this row],[object_b_._head_time]]</f>
        <v>#N/A</v>
      </c>
      <c r="AT77" s="149" t="e">
        <f aca="false">[1]!table2[[#this row],[object_a_._head_time]]+[1]!table2[[#this row],[object_b_._head_time]]</f>
        <v>#N/A</v>
      </c>
      <c r="AU77" s="149" t="e">
        <f aca="false">[1]!table2[[#this row],[object_b_._head_time]]-[1]!table2[[#this row],[object_a_._head_time]]</f>
        <v>#N/A</v>
      </c>
      <c r="AV77" s="150" t="e">
        <f aca="false">[1]!table2[[#this row],[d1: absolute discrimination measure (D1 = B2- A2)]]/[1]!table2[[#this row],[e2: total exploration time in second trial E2 ( E2 = A2 + B2)]]</f>
        <v>#N/A</v>
      </c>
      <c r="AW77" s="149" t="e">
        <f aca="false">(W77/AT77)*100</f>
        <v>#N/A</v>
      </c>
      <c r="AX77" s="149" t="e">
        <f aca="false">([1]!table2[[#this row],[object_a_._head_time]]/([1]!table2[[#this row],[object_a_._head_time]]+[1]!table2[[#this row],[object_b_._head_time]]))*100</f>
        <v>#N/A</v>
      </c>
      <c r="AY77" s="82" t="s">
        <v>79</v>
      </c>
      <c r="AZ77" s="82" t="s">
        <v>65</v>
      </c>
      <c r="BA77" s="82" t="s">
        <v>93</v>
      </c>
      <c r="BB77" s="83" t="n">
        <v>185</v>
      </c>
      <c r="BC77" s="84" t="n">
        <v>6.16666666666667</v>
      </c>
      <c r="BD77" s="85" t="s">
        <v>67</v>
      </c>
      <c r="BE77" s="82" t="n">
        <v>4</v>
      </c>
      <c r="BF77" s="86"/>
    </row>
    <row r="78" customFormat="false" ht="12" hidden="false" customHeight="true" outlineLevel="0" collapsed="false">
      <c r="A78" s="144" t="n">
        <v>11</v>
      </c>
      <c r="B78" s="145" t="s">
        <v>98</v>
      </c>
      <c r="C78" s="145" t="s">
        <v>224</v>
      </c>
      <c r="D78" s="145" t="s">
        <v>60</v>
      </c>
      <c r="E78" s="145" t="s">
        <v>377</v>
      </c>
      <c r="F78" s="145" t="s">
        <v>235</v>
      </c>
      <c r="G78" s="145" t="s">
        <v>387</v>
      </c>
      <c r="H78" s="146" t="n">
        <v>300</v>
      </c>
      <c r="I78" s="147" t="n">
        <v>7.69</v>
      </c>
      <c r="J78" s="147" t="n">
        <v>0.026</v>
      </c>
      <c r="K78" s="147" t="n">
        <v>0.293</v>
      </c>
      <c r="L78" s="146" t="n">
        <v>111.9</v>
      </c>
      <c r="M78" s="148" t="n">
        <v>33</v>
      </c>
      <c r="N78" s="146" t="n">
        <v>23</v>
      </c>
      <c r="O78" s="147" t="n">
        <v>0.603</v>
      </c>
      <c r="P78" s="147" t="n">
        <v>0.026</v>
      </c>
      <c r="Q78" s="147" t="n">
        <v>0.293</v>
      </c>
      <c r="R78" s="146" t="n">
        <v>12.9</v>
      </c>
      <c r="S78" s="148" t="n">
        <v>1943</v>
      </c>
      <c r="T78" s="146" t="n">
        <v>8.7</v>
      </c>
      <c r="U78" s="146" t="n">
        <v>17.7</v>
      </c>
      <c r="V78" s="148" t="n">
        <v>6</v>
      </c>
      <c r="W78" s="146" t="n">
        <v>3.4</v>
      </c>
      <c r="X78" s="147" t="n">
        <v>0.239</v>
      </c>
      <c r="Y78" s="147" t="n">
        <v>0.069</v>
      </c>
      <c r="Z78" s="147" t="n">
        <v>0.192</v>
      </c>
      <c r="AA78" s="146" t="n">
        <v>0.5</v>
      </c>
      <c r="AB78" s="148" t="n">
        <v>382</v>
      </c>
      <c r="AC78" s="146" t="n">
        <v>0</v>
      </c>
      <c r="AD78" s="146" t="n">
        <v>1</v>
      </c>
      <c r="AE78" s="148" t="n">
        <v>8</v>
      </c>
      <c r="AF78" s="146" t="n">
        <v>16</v>
      </c>
      <c r="AG78" s="147" t="n">
        <v>0.7</v>
      </c>
      <c r="AH78" s="147" t="n">
        <v>0.044</v>
      </c>
      <c r="AI78" s="146" t="n">
        <v>2.9</v>
      </c>
      <c r="AJ78" s="148" t="n">
        <v>8</v>
      </c>
      <c r="AK78" s="146" t="n">
        <v>284</v>
      </c>
      <c r="AL78" s="147" t="n">
        <v>6.99</v>
      </c>
      <c r="AM78" s="147" t="n">
        <v>0.025</v>
      </c>
      <c r="AN78" s="146" t="n">
        <v>109</v>
      </c>
      <c r="AO78" s="78" t="n">
        <f aca="false">Table1[[#This Row],[Inside_._time]]/Table1[[#This Row],[Duration]]</f>
        <v>0.0533333333333333</v>
      </c>
      <c r="AP78" s="78" t="n">
        <f aca="false">Table1[[#This Row],[Outside_._time]]/Table1[[#This Row],[Duration]]</f>
        <v>0.946666666666667</v>
      </c>
      <c r="AQ78" s="78" t="n">
        <f aca="false">Table1[[#This Row],[Inside_._distance]]/Table1[[#This Row],[Distance]]</f>
        <v>0.0910273081924577</v>
      </c>
      <c r="AR78" s="78" t="n">
        <f aca="false">Table1[[#This Row],[Outside_._distance]]/Table1[[#This Row],[Distance]]</f>
        <v>0.908972691807542</v>
      </c>
      <c r="AS78" s="149" t="e">
        <f aca="false">[1]!table2[[#this row],[object_a_._head_time]]+[1]!table2[[#this row],[object_b_._head_time]]</f>
        <v>#N/A</v>
      </c>
      <c r="AT78" s="149" t="e">
        <f aca="false">[1]!table2[[#this row],[object_a_._head_time]]+[1]!table2[[#this row],[object_b_._head_time]]</f>
        <v>#N/A</v>
      </c>
      <c r="AU78" s="149" t="e">
        <f aca="false">[1]!table2[[#this row],[object_b_._head_time]]-[1]!table2[[#this row],[object_a_._head_time]]</f>
        <v>#N/A</v>
      </c>
      <c r="AV78" s="150" t="e">
        <f aca="false">[1]!table2[[#this row],[d1: absolute discrimination measure (D1 = B2- A2)]]/[1]!table2[[#this row],[e2: total exploration time in second trial E2 ( E2 = A2 + B2)]]</f>
        <v>#N/A</v>
      </c>
      <c r="AW78" s="149" t="e">
        <f aca="false">(W78/AT78)*100</f>
        <v>#N/A</v>
      </c>
      <c r="AX78" s="149" t="e">
        <f aca="false">([1]!table2[[#this row],[object_a_._head_time]]/([1]!table2[[#this row],[object_a_._head_time]]+[1]!table2[[#this row],[object_b_._head_time]]))*100</f>
        <v>#N/A</v>
      </c>
      <c r="AY78" s="82" t="s">
        <v>79</v>
      </c>
      <c r="AZ78" s="82" t="s">
        <v>65</v>
      </c>
      <c r="BA78" s="82" t="s">
        <v>66</v>
      </c>
      <c r="BB78" s="83" t="n">
        <v>180</v>
      </c>
      <c r="BC78" s="84" t="n">
        <v>6</v>
      </c>
      <c r="BD78" s="85" t="s">
        <v>80</v>
      </c>
      <c r="BE78" s="82" t="n">
        <v>1</v>
      </c>
      <c r="BF78" s="86"/>
    </row>
    <row r="79" customFormat="false" ht="12" hidden="false" customHeight="true" outlineLevel="0" collapsed="false">
      <c r="A79" s="144" t="n">
        <v>10</v>
      </c>
      <c r="B79" s="145" t="s">
        <v>100</v>
      </c>
      <c r="C79" s="145" t="s">
        <v>224</v>
      </c>
      <c r="D79" s="145" t="s">
        <v>70</v>
      </c>
      <c r="E79" s="145" t="s">
        <v>377</v>
      </c>
      <c r="F79" s="145" t="s">
        <v>235</v>
      </c>
      <c r="G79" s="145" t="s">
        <v>388</v>
      </c>
      <c r="H79" s="146" t="n">
        <v>300</v>
      </c>
      <c r="I79" s="147" t="n">
        <v>7.476</v>
      </c>
      <c r="J79" s="147" t="n">
        <v>0.025</v>
      </c>
      <c r="K79" s="147" t="n">
        <v>0.298</v>
      </c>
      <c r="L79" s="146" t="n">
        <v>118.3</v>
      </c>
      <c r="M79" s="148" t="n">
        <v>8</v>
      </c>
      <c r="N79" s="146" t="n">
        <v>20.9</v>
      </c>
      <c r="O79" s="147" t="n">
        <v>0.607</v>
      </c>
      <c r="P79" s="147" t="n">
        <v>0.029</v>
      </c>
      <c r="Q79" s="147" t="n">
        <v>0.248</v>
      </c>
      <c r="R79" s="146" t="n">
        <v>5.4</v>
      </c>
      <c r="S79" s="148" t="n">
        <v>1827</v>
      </c>
      <c r="T79" s="146" t="n">
        <v>7.4</v>
      </c>
      <c r="U79" s="146" t="n">
        <v>4.9</v>
      </c>
      <c r="V79" s="148" t="n">
        <v>16</v>
      </c>
      <c r="W79" s="146" t="n">
        <v>23.7</v>
      </c>
      <c r="X79" s="147" t="n">
        <v>0.815</v>
      </c>
      <c r="Y79" s="147" t="n">
        <v>0.034</v>
      </c>
      <c r="Z79" s="147" t="n">
        <v>0.298</v>
      </c>
      <c r="AA79" s="146" t="n">
        <v>8.5</v>
      </c>
      <c r="AB79" s="148" t="n">
        <v>1608</v>
      </c>
      <c r="AC79" s="146" t="n">
        <v>5.9</v>
      </c>
      <c r="AD79" s="146" t="n">
        <v>13.4</v>
      </c>
      <c r="AE79" s="148" t="n">
        <v>13</v>
      </c>
      <c r="AF79" s="146" t="n">
        <v>14.8</v>
      </c>
      <c r="AG79" s="147" t="n">
        <v>1.235</v>
      </c>
      <c r="AH79" s="147" t="n">
        <v>0.083</v>
      </c>
      <c r="AI79" s="146" t="n">
        <v>0</v>
      </c>
      <c r="AJ79" s="148" t="n">
        <v>14</v>
      </c>
      <c r="AK79" s="146" t="n">
        <v>285.2</v>
      </c>
      <c r="AL79" s="147" t="n">
        <v>6.241</v>
      </c>
      <c r="AM79" s="147" t="n">
        <v>0.022</v>
      </c>
      <c r="AN79" s="146" t="n">
        <v>118.3</v>
      </c>
      <c r="AO79" s="78" t="n">
        <f aca="false">Table1[[#This Row],[Inside_._time]]/Table1[[#This Row],[Duration]]</f>
        <v>0.0493333333333333</v>
      </c>
      <c r="AP79" s="78" t="n">
        <f aca="false">Table1[[#This Row],[Outside_._time]]/Table1[[#This Row],[Duration]]</f>
        <v>0.950666666666667</v>
      </c>
      <c r="AQ79" s="78" t="n">
        <f aca="false">Table1[[#This Row],[Inside_._distance]]/Table1[[#This Row],[Distance]]</f>
        <v>0.165195291599786</v>
      </c>
      <c r="AR79" s="78" t="n">
        <f aca="false">Table1[[#This Row],[Outside_._distance]]/Table1[[#This Row],[Distance]]</f>
        <v>0.834804708400214</v>
      </c>
      <c r="AS79" s="149" t="e">
        <f aca="false">[1]!table2[[#this row],[object_a_._head_time]]+[1]!table2[[#this row],[object_b_._head_time]]</f>
        <v>#N/A</v>
      </c>
      <c r="AT79" s="149" t="e">
        <f aca="false">[1]!table2[[#this row],[object_a_._head_time]]+[1]!table2[[#this row],[object_b_._head_time]]</f>
        <v>#N/A</v>
      </c>
      <c r="AU79" s="149" t="e">
        <f aca="false">[1]!table2[[#this row],[object_b_._head_time]]-[1]!table2[[#this row],[object_a_._head_time]]</f>
        <v>#N/A</v>
      </c>
      <c r="AV79" s="150" t="e">
        <f aca="false">[1]!table2[[#this row],[d1: absolute discrimination measure (D1 = B2- A2)]]/[1]!table2[[#this row],[e2: total exploration time in second trial E2 ( E2 = A2 + B2)]]</f>
        <v>#N/A</v>
      </c>
      <c r="AW79" s="149" t="e">
        <f aca="false">(W79/AT79)*100</f>
        <v>#N/A</v>
      </c>
      <c r="AX79" s="149" t="e">
        <f aca="false">([1]!table2[[#this row],[object_a_._head_time]]/([1]!table2[[#this row],[object_a_._head_time]]+[1]!table2[[#this row],[object_b_._head_time]]))*100</f>
        <v>#N/A</v>
      </c>
      <c r="AY79" s="82" t="s">
        <v>64</v>
      </c>
      <c r="AZ79" s="82" t="s">
        <v>65</v>
      </c>
      <c r="BA79" s="82" t="s">
        <v>93</v>
      </c>
      <c r="BB79" s="83" t="n">
        <v>180</v>
      </c>
      <c r="BC79" s="84" t="n">
        <v>6</v>
      </c>
      <c r="BD79" s="85" t="s">
        <v>80</v>
      </c>
      <c r="BE79" s="82" t="n">
        <v>3</v>
      </c>
      <c r="BF79" s="86"/>
    </row>
    <row r="80" customFormat="false" ht="12" hidden="false" customHeight="true" outlineLevel="0" collapsed="false">
      <c r="A80" s="144" t="n">
        <v>12</v>
      </c>
      <c r="B80" s="145" t="s">
        <v>103</v>
      </c>
      <c r="C80" s="145" t="s">
        <v>224</v>
      </c>
      <c r="D80" s="145" t="s">
        <v>73</v>
      </c>
      <c r="E80" s="145" t="s">
        <v>377</v>
      </c>
      <c r="F80" s="145" t="s">
        <v>389</v>
      </c>
      <c r="G80" s="145" t="s">
        <v>390</v>
      </c>
      <c r="H80" s="146" t="n">
        <v>300</v>
      </c>
      <c r="I80" s="147" t="n">
        <v>4.837</v>
      </c>
      <c r="J80" s="147" t="n">
        <v>0.016</v>
      </c>
      <c r="K80" s="147" t="n">
        <v>0.262</v>
      </c>
      <c r="L80" s="146" t="n">
        <v>126.9</v>
      </c>
      <c r="M80" s="148" t="n">
        <v>32</v>
      </c>
      <c r="N80" s="146" t="n">
        <v>70.5</v>
      </c>
      <c r="O80" s="147" t="n">
        <v>0.234</v>
      </c>
      <c r="P80" s="147" t="n">
        <v>0.003</v>
      </c>
      <c r="Q80" s="147" t="n">
        <v>0.203</v>
      </c>
      <c r="R80" s="146" t="n">
        <v>32.2</v>
      </c>
      <c r="S80" s="148" t="n">
        <v>4974</v>
      </c>
      <c r="T80" s="146" t="n">
        <v>41.4</v>
      </c>
      <c r="U80" s="146" t="n">
        <v>35.1</v>
      </c>
      <c r="V80" s="148" t="n">
        <v>7</v>
      </c>
      <c r="W80" s="146" t="n">
        <v>6.4</v>
      </c>
      <c r="X80" s="147" t="n">
        <v>0.391</v>
      </c>
      <c r="Y80" s="147" t="n">
        <v>0.061</v>
      </c>
      <c r="Z80" s="147" t="n">
        <v>0.249</v>
      </c>
      <c r="AA80" s="146" t="n">
        <v>2.1</v>
      </c>
      <c r="AB80" s="148" t="n">
        <v>640</v>
      </c>
      <c r="AC80" s="146" t="n">
        <v>0</v>
      </c>
      <c r="AD80" s="146" t="n">
        <v>1.7</v>
      </c>
      <c r="AE80" s="148" t="n">
        <v>3</v>
      </c>
      <c r="AF80" s="146" t="n">
        <v>5.3</v>
      </c>
      <c r="AG80" s="147" t="n">
        <v>0.46</v>
      </c>
      <c r="AH80" s="147" t="n">
        <v>0.087</v>
      </c>
      <c r="AI80" s="146" t="n">
        <v>0</v>
      </c>
      <c r="AJ80" s="148" t="n">
        <v>3</v>
      </c>
      <c r="AK80" s="146" t="n">
        <v>294.7</v>
      </c>
      <c r="AL80" s="147" t="n">
        <v>4.377</v>
      </c>
      <c r="AM80" s="147" t="n">
        <v>0.015</v>
      </c>
      <c r="AN80" s="146" t="n">
        <v>126.9</v>
      </c>
      <c r="AO80" s="78" t="n">
        <f aca="false">Table1[[#This Row],[Inside_._time]]/Table1[[#This Row],[Duration]]</f>
        <v>0.0176666666666667</v>
      </c>
      <c r="AP80" s="78" t="n">
        <f aca="false">Table1[[#This Row],[Outside_._time]]/Table1[[#This Row],[Duration]]</f>
        <v>0.982333333333333</v>
      </c>
      <c r="AQ80" s="78" t="n">
        <f aca="false">Table1[[#This Row],[Inside_._distance]]/Table1[[#This Row],[Distance]]</f>
        <v>0.0951002687616291</v>
      </c>
      <c r="AR80" s="78" t="n">
        <f aca="false">Table1[[#This Row],[Outside_._distance]]/Table1[[#This Row],[Distance]]</f>
        <v>0.904899731238371</v>
      </c>
      <c r="AS80" s="149" t="e">
        <f aca="false">[1]!table2[[#this row],[object_a_._head_time]]+[1]!table2[[#this row],[object_b_._head_time]]</f>
        <v>#N/A</v>
      </c>
      <c r="AT80" s="149" t="e">
        <f aca="false">[1]!table2[[#this row],[object_a_._head_time]]+[1]!table2[[#this row],[object_b_._head_time]]</f>
        <v>#N/A</v>
      </c>
      <c r="AU80" s="149" t="e">
        <f aca="false">[1]!table2[[#this row],[object_b_._head_time]]-[1]!table2[[#this row],[object_a_._head_time]]</f>
        <v>#N/A</v>
      </c>
      <c r="AV80" s="150" t="e">
        <f aca="false">[1]!table2[[#this row],[d1: absolute discrimination measure (D1 = B2- A2)]]/[1]!table2[[#this row],[e2: total exploration time in second trial E2 ( E2 = A2 + B2)]]</f>
        <v>#N/A</v>
      </c>
      <c r="AW80" s="149" t="e">
        <f aca="false">(W80/AT80)*100</f>
        <v>#N/A</v>
      </c>
      <c r="AX80" s="149" t="e">
        <f aca="false">([1]!table2[[#this row],[object_a_._head_time]]/([1]!table2[[#this row],[object_a_._head_time]]+[1]!table2[[#this row],[object_b_._head_time]]))*100</f>
        <v>#N/A</v>
      </c>
      <c r="AY80" s="82" t="s">
        <v>64</v>
      </c>
      <c r="AZ80" s="82" t="s">
        <v>105</v>
      </c>
      <c r="BA80" s="82" t="s">
        <v>66</v>
      </c>
      <c r="BB80" s="83" t="n">
        <v>180</v>
      </c>
      <c r="BC80" s="84" t="n">
        <v>6</v>
      </c>
      <c r="BD80" s="85" t="s">
        <v>67</v>
      </c>
      <c r="BE80" s="82" t="n">
        <v>6</v>
      </c>
      <c r="BF80" s="86"/>
    </row>
    <row r="81" customFormat="false" ht="12" hidden="false" customHeight="true" outlineLevel="0" collapsed="false">
      <c r="A81" s="144" t="n">
        <v>9</v>
      </c>
      <c r="B81" s="145" t="s">
        <v>106</v>
      </c>
      <c r="C81" s="145" t="s">
        <v>224</v>
      </c>
      <c r="D81" s="145" t="s">
        <v>77</v>
      </c>
      <c r="E81" s="145" t="s">
        <v>377</v>
      </c>
      <c r="F81" s="145" t="s">
        <v>391</v>
      </c>
      <c r="G81" s="145" t="s">
        <v>392</v>
      </c>
      <c r="H81" s="146" t="n">
        <v>300</v>
      </c>
      <c r="I81" s="147" t="n">
        <v>8.061</v>
      </c>
      <c r="J81" s="147" t="n">
        <v>0.027</v>
      </c>
      <c r="K81" s="147" t="n">
        <v>0.32</v>
      </c>
      <c r="L81" s="146" t="n">
        <v>71.3</v>
      </c>
      <c r="M81" s="148" t="n">
        <v>17</v>
      </c>
      <c r="N81" s="146" t="n">
        <v>16.1</v>
      </c>
      <c r="O81" s="147" t="n">
        <v>0.884</v>
      </c>
      <c r="P81" s="147" t="n">
        <v>0.055</v>
      </c>
      <c r="Q81" s="147" t="n">
        <v>0.314</v>
      </c>
      <c r="R81" s="146" t="n">
        <v>2.8</v>
      </c>
      <c r="S81" s="148" t="n">
        <v>1679</v>
      </c>
      <c r="T81" s="146" t="n">
        <v>0.4</v>
      </c>
      <c r="U81" s="146" t="n">
        <v>5.2</v>
      </c>
      <c r="V81" s="148" t="n">
        <v>40</v>
      </c>
      <c r="W81" s="146" t="n">
        <v>33.9</v>
      </c>
      <c r="X81" s="147" t="n">
        <v>0.55</v>
      </c>
      <c r="Y81" s="147" t="n">
        <v>0.016</v>
      </c>
      <c r="Z81" s="147" t="n">
        <v>0.32</v>
      </c>
      <c r="AA81" s="146" t="n">
        <v>15.6</v>
      </c>
      <c r="AB81" s="148" t="n">
        <v>3433</v>
      </c>
      <c r="AC81" s="146" t="n">
        <v>12.7</v>
      </c>
      <c r="AD81" s="146" t="n">
        <v>12.3</v>
      </c>
      <c r="AE81" s="148" t="n">
        <v>39</v>
      </c>
      <c r="AF81" s="146" t="n">
        <v>138.2</v>
      </c>
      <c r="AG81" s="147" t="n">
        <v>2.905</v>
      </c>
      <c r="AH81" s="147" t="n">
        <v>0.021</v>
      </c>
      <c r="AI81" s="146" t="n">
        <v>45.1</v>
      </c>
      <c r="AJ81" s="148" t="n">
        <v>39</v>
      </c>
      <c r="AK81" s="146" t="n">
        <v>161.8</v>
      </c>
      <c r="AL81" s="147" t="n">
        <v>5.156</v>
      </c>
      <c r="AM81" s="147" t="n">
        <v>0.032</v>
      </c>
      <c r="AN81" s="146" t="n">
        <v>26.1</v>
      </c>
      <c r="AO81" s="78" t="n">
        <f aca="false">Table1[[#This Row],[Inside_._time]]/Table1[[#This Row],[Duration]]</f>
        <v>0.460666666666667</v>
      </c>
      <c r="AP81" s="78" t="n">
        <f aca="false">Table1[[#This Row],[Outside_._time]]/Table1[[#This Row],[Duration]]</f>
        <v>0.539333333333333</v>
      </c>
      <c r="AQ81" s="78" t="n">
        <f aca="false">Table1[[#This Row],[Inside_._distance]]/Table1[[#This Row],[Distance]]</f>
        <v>0.36037712442625</v>
      </c>
      <c r="AR81" s="78" t="n">
        <f aca="false">Table1[[#This Row],[Outside_._distance]]/Table1[[#This Row],[Distance]]</f>
        <v>0.63962287557375</v>
      </c>
      <c r="AS81" s="149" t="e">
        <f aca="false">[1]!table2[[#this row],[object_a_._head_time]]+[1]!table2[[#this row],[object_b_._head_time]]</f>
        <v>#N/A</v>
      </c>
      <c r="AT81" s="149" t="e">
        <f aca="false">[1]!table2[[#this row],[object_a_._head_time]]+[1]!table2[[#this row],[object_b_._head_time]]</f>
        <v>#N/A</v>
      </c>
      <c r="AU81" s="149" t="e">
        <f aca="false">[1]!table2[[#this row],[object_b_._head_time]]-[1]!table2[[#this row],[object_a_._head_time]]</f>
        <v>#N/A</v>
      </c>
      <c r="AV81" s="150" t="e">
        <f aca="false">[1]!table2[[#this row],[d1: absolute discrimination measure (D1 = B2- A2)]]/[1]!table2[[#this row],[e2: total exploration time in second trial E2 ( E2 = A2 + B2)]]</f>
        <v>#N/A</v>
      </c>
      <c r="AW81" s="149" t="e">
        <f aca="false">(W81/AT81)*100</f>
        <v>#N/A</v>
      </c>
      <c r="AX81" s="149" t="e">
        <f aca="false">([1]!table2[[#this row],[object_a_._head_time]]/([1]!table2[[#this row],[object_a_._head_time]]+[1]!table2[[#this row],[object_b_._head_time]]))*100</f>
        <v>#N/A</v>
      </c>
      <c r="AY81" s="82" t="s">
        <v>79</v>
      </c>
      <c r="AZ81" s="82" t="s">
        <v>65</v>
      </c>
      <c r="BA81" s="82" t="s">
        <v>93</v>
      </c>
      <c r="BB81" s="83" t="n">
        <v>170</v>
      </c>
      <c r="BC81" s="84" t="n">
        <v>5.66666666666667</v>
      </c>
      <c r="BD81" s="85" t="s">
        <v>80</v>
      </c>
      <c r="BE81" s="82" t="n">
        <v>3</v>
      </c>
      <c r="BF81" s="86" t="s">
        <v>299</v>
      </c>
    </row>
    <row r="82" customFormat="false" ht="12" hidden="false" customHeight="true" outlineLevel="0" collapsed="false">
      <c r="A82" s="144" t="n">
        <v>14</v>
      </c>
      <c r="B82" s="145" t="s">
        <v>109</v>
      </c>
      <c r="C82" s="145" t="s">
        <v>224</v>
      </c>
      <c r="D82" s="145" t="s">
        <v>60</v>
      </c>
      <c r="E82" s="145" t="s">
        <v>377</v>
      </c>
      <c r="F82" s="145" t="s">
        <v>241</v>
      </c>
      <c r="G82" s="145" t="s">
        <v>393</v>
      </c>
      <c r="H82" s="146" t="n">
        <v>300</v>
      </c>
      <c r="I82" s="147" t="n">
        <v>6.274</v>
      </c>
      <c r="J82" s="147" t="n">
        <v>0.021</v>
      </c>
      <c r="K82" s="147" t="n">
        <v>0.268</v>
      </c>
      <c r="L82" s="146" t="n">
        <v>145.9</v>
      </c>
      <c r="M82" s="148" t="n">
        <v>10</v>
      </c>
      <c r="N82" s="146" t="n">
        <v>5.5</v>
      </c>
      <c r="O82" s="147" t="n">
        <v>0.385</v>
      </c>
      <c r="P82" s="147" t="n">
        <v>0.07</v>
      </c>
      <c r="Q82" s="147" t="n">
        <v>0.233</v>
      </c>
      <c r="R82" s="146" t="n">
        <v>0.8</v>
      </c>
      <c r="S82" s="148" t="n">
        <v>603</v>
      </c>
      <c r="T82" s="146" t="n">
        <v>0</v>
      </c>
      <c r="U82" s="146" t="n">
        <v>2.2</v>
      </c>
      <c r="V82" s="148" t="n">
        <v>4</v>
      </c>
      <c r="W82" s="146" t="n">
        <v>1.4</v>
      </c>
      <c r="X82" s="147" t="n">
        <v>0.216</v>
      </c>
      <c r="Y82" s="147" t="n">
        <v>0.15</v>
      </c>
      <c r="Z82" s="147" t="n">
        <v>0.241</v>
      </c>
      <c r="AA82" s="146" t="n">
        <v>0.1</v>
      </c>
      <c r="AB82" s="148" t="n">
        <v>102</v>
      </c>
      <c r="AC82" s="146" t="n">
        <v>0</v>
      </c>
      <c r="AD82" s="146" t="n">
        <v>1</v>
      </c>
      <c r="AE82" s="148" t="n">
        <v>11</v>
      </c>
      <c r="AF82" s="146" t="n">
        <v>13.4</v>
      </c>
      <c r="AG82" s="147" t="n">
        <v>1.092</v>
      </c>
      <c r="AH82" s="147" t="n">
        <v>0.082</v>
      </c>
      <c r="AI82" s="146" t="n">
        <v>0</v>
      </c>
      <c r="AJ82" s="148" t="n">
        <v>10</v>
      </c>
      <c r="AK82" s="146" t="n">
        <v>286.6</v>
      </c>
      <c r="AL82" s="147" t="n">
        <v>5.182</v>
      </c>
      <c r="AM82" s="147" t="n">
        <v>0.018</v>
      </c>
      <c r="AN82" s="146" t="n">
        <v>145.9</v>
      </c>
      <c r="AO82" s="78" t="n">
        <f aca="false">Table1[[#This Row],[Inside_._time]]/Table1[[#This Row],[Duration]]</f>
        <v>0.0446666666666667</v>
      </c>
      <c r="AP82" s="78" t="n">
        <f aca="false">Table1[[#This Row],[Outside_._time]]/Table1[[#This Row],[Duration]]</f>
        <v>0.955333333333333</v>
      </c>
      <c r="AQ82" s="78" t="n">
        <f aca="false">Table1[[#This Row],[Inside_._distance]]/Table1[[#This Row],[Distance]]</f>
        <v>0.174051641695888</v>
      </c>
      <c r="AR82" s="78" t="n">
        <f aca="false">Table1[[#This Row],[Outside_._distance]]/Table1[[#This Row],[Distance]]</f>
        <v>0.825948358304112</v>
      </c>
      <c r="AS82" s="149" t="e">
        <f aca="false">[1]!table2[[#this row],[object_a_._head_time]]+[1]!table2[[#this row],[object_b_._head_time]]</f>
        <v>#N/A</v>
      </c>
      <c r="AT82" s="149" t="e">
        <f aca="false">[1]!table2[[#this row],[object_a_._head_time]]+[1]!table2[[#this row],[object_b_._head_time]]</f>
        <v>#N/A</v>
      </c>
      <c r="AU82" s="149" t="e">
        <f aca="false">[1]!table2[[#this row],[object_b_._head_time]]-[1]!table2[[#this row],[object_a_._head_time]]</f>
        <v>#N/A</v>
      </c>
      <c r="AV82" s="150" t="e">
        <f aca="false">[1]!table2[[#this row],[d1: absolute discrimination measure (D1 = B2- A2)]]/[1]!table2[[#this row],[e2: total exploration time in second trial E2 ( E2 = A2 + B2)]]</f>
        <v>#N/A</v>
      </c>
      <c r="AW82" s="149" t="e">
        <f aca="false">(W82/AT82)*100</f>
        <v>#N/A</v>
      </c>
      <c r="AX82" s="149" t="e">
        <f aca="false">([1]!table2[[#this row],[object_a_._head_time]]/([1]!table2[[#this row],[object_a_._head_time]]+[1]!table2[[#this row],[object_b_._head_time]]))*100</f>
        <v>#N/A</v>
      </c>
      <c r="AY82" s="82" t="s">
        <v>79</v>
      </c>
      <c r="AZ82" s="82" t="s">
        <v>65</v>
      </c>
      <c r="BA82" s="82" t="s">
        <v>66</v>
      </c>
      <c r="BB82" s="83" t="n">
        <v>170</v>
      </c>
      <c r="BC82" s="84" t="n">
        <v>5.66666666666667</v>
      </c>
      <c r="BD82" s="85" t="s">
        <v>67</v>
      </c>
      <c r="BE82" s="82" t="n">
        <v>2</v>
      </c>
      <c r="BF82" s="86"/>
    </row>
    <row r="83" customFormat="false" ht="12" hidden="false" customHeight="true" outlineLevel="0" collapsed="false">
      <c r="A83" s="144" t="n">
        <v>13</v>
      </c>
      <c r="B83" s="145" t="s">
        <v>111</v>
      </c>
      <c r="C83" s="145" t="s">
        <v>224</v>
      </c>
      <c r="D83" s="145" t="s">
        <v>70</v>
      </c>
      <c r="E83" s="145" t="s">
        <v>377</v>
      </c>
      <c r="F83" s="145" t="s">
        <v>241</v>
      </c>
      <c r="G83" s="145" t="s">
        <v>394</v>
      </c>
      <c r="H83" s="146" t="n">
        <v>300</v>
      </c>
      <c r="I83" s="147" t="n">
        <v>7.092</v>
      </c>
      <c r="J83" s="147" t="n">
        <v>0.024</v>
      </c>
      <c r="K83" s="147" t="n">
        <v>0.253</v>
      </c>
      <c r="L83" s="146" t="n">
        <v>129</v>
      </c>
      <c r="M83" s="148" t="n">
        <v>8</v>
      </c>
      <c r="N83" s="146" t="n">
        <v>17.4</v>
      </c>
      <c r="O83" s="147" t="n">
        <v>0.629</v>
      </c>
      <c r="P83" s="147" t="n">
        <v>0.036</v>
      </c>
      <c r="Q83" s="147" t="n">
        <v>0.233</v>
      </c>
      <c r="R83" s="146" t="n">
        <v>4</v>
      </c>
      <c r="S83" s="148" t="n">
        <v>1248</v>
      </c>
      <c r="T83" s="146" t="n">
        <v>8.7</v>
      </c>
      <c r="U83" s="146" t="n">
        <v>0.9</v>
      </c>
      <c r="V83" s="148" t="n">
        <v>11</v>
      </c>
      <c r="W83" s="146" t="n">
        <v>8.5</v>
      </c>
      <c r="X83" s="147" t="n">
        <v>0.806</v>
      </c>
      <c r="Y83" s="147" t="n">
        <v>0.094</v>
      </c>
      <c r="Z83" s="147" t="n">
        <v>0.233</v>
      </c>
      <c r="AA83" s="146" t="n">
        <v>2</v>
      </c>
      <c r="AB83" s="148" t="n">
        <v>885</v>
      </c>
      <c r="AC83" s="146" t="n">
        <v>0</v>
      </c>
      <c r="AD83" s="146" t="n">
        <v>3</v>
      </c>
      <c r="AE83" s="148" t="n">
        <v>20</v>
      </c>
      <c r="AF83" s="146" t="n">
        <v>25.2</v>
      </c>
      <c r="AG83" s="147" t="n">
        <v>2.135</v>
      </c>
      <c r="AH83" s="147" t="n">
        <v>0.085</v>
      </c>
      <c r="AI83" s="146" t="n">
        <v>0.7</v>
      </c>
      <c r="AJ83" s="148" t="n">
        <v>20</v>
      </c>
      <c r="AK83" s="146" t="n">
        <v>274.8</v>
      </c>
      <c r="AL83" s="147" t="n">
        <v>4.958</v>
      </c>
      <c r="AM83" s="147" t="n">
        <v>0.018</v>
      </c>
      <c r="AN83" s="146" t="n">
        <v>128.3</v>
      </c>
      <c r="AO83" s="78" t="n">
        <f aca="false">Table1[[#This Row],[Inside_._time]]/Table1[[#This Row],[Duration]]</f>
        <v>0.084</v>
      </c>
      <c r="AP83" s="78" t="n">
        <f aca="false">Table1[[#This Row],[Outside_._time]]/Table1[[#This Row],[Duration]]</f>
        <v>0.916</v>
      </c>
      <c r="AQ83" s="78" t="n">
        <f aca="false">Table1[[#This Row],[Inside_._distance]]/Table1[[#This Row],[Distance]]</f>
        <v>0.301043429216018</v>
      </c>
      <c r="AR83" s="78" t="n">
        <f aca="false">Table1[[#This Row],[Outside_._distance]]/Table1[[#This Row],[Distance]]</f>
        <v>0.699097574732093</v>
      </c>
      <c r="AS83" s="149" t="e">
        <f aca="false">[1]!table2[[#this row],[object_a_._head_time]]+[1]!table2[[#this row],[object_b_._head_time]]</f>
        <v>#N/A</v>
      </c>
      <c r="AT83" s="149" t="e">
        <f aca="false">[1]!table2[[#this row],[object_a_._head_time]]+[1]!table2[[#this row],[object_b_._head_time]]</f>
        <v>#N/A</v>
      </c>
      <c r="AU83" s="149" t="e">
        <f aca="false">[1]!table2[[#this row],[object_b_._head_time]]-[1]!table2[[#this row],[object_a_._head_time]]</f>
        <v>#N/A</v>
      </c>
      <c r="AV83" s="150" t="e">
        <f aca="false">[1]!table2[[#this row],[d1: absolute discrimination measure (D1 = B2- A2)]]/[1]!table2[[#this row],[e2: total exploration time in second trial E2 ( E2 = A2 + B2)]]</f>
        <v>#N/A</v>
      </c>
      <c r="AW83" s="149" t="e">
        <f aca="false">(W83/AT83)*100</f>
        <v>#N/A</v>
      </c>
      <c r="AX83" s="149" t="e">
        <f aca="false">([1]!table2[[#this row],[object_a_._head_time]]/([1]!table2[[#this row],[object_a_._head_time]]+[1]!table2[[#this row],[object_b_._head_time]]))*100</f>
        <v>#N/A</v>
      </c>
      <c r="AY83" s="82" t="s">
        <v>79</v>
      </c>
      <c r="AZ83" s="82" t="s">
        <v>65</v>
      </c>
      <c r="BA83" s="82" t="s">
        <v>93</v>
      </c>
      <c r="BB83" s="83" t="n">
        <v>170</v>
      </c>
      <c r="BC83" s="84" t="n">
        <v>5.66666666666667</v>
      </c>
      <c r="BD83" s="85" t="s">
        <v>67</v>
      </c>
      <c r="BE83" s="82" t="n">
        <v>4</v>
      </c>
      <c r="BF83" s="86"/>
    </row>
    <row r="84" customFormat="false" ht="12" hidden="false" customHeight="true" outlineLevel="0" collapsed="false">
      <c r="A84" s="144" t="n">
        <v>15</v>
      </c>
      <c r="B84" s="145" t="s">
        <v>113</v>
      </c>
      <c r="C84" s="145" t="s">
        <v>224</v>
      </c>
      <c r="D84" s="145" t="s">
        <v>73</v>
      </c>
      <c r="E84" s="145" t="s">
        <v>377</v>
      </c>
      <c r="F84" s="145" t="s">
        <v>241</v>
      </c>
      <c r="G84" s="145" t="s">
        <v>395</v>
      </c>
      <c r="H84" s="146" t="n">
        <v>300</v>
      </c>
      <c r="I84" s="147" t="n">
        <v>6.962</v>
      </c>
      <c r="J84" s="147" t="n">
        <v>0.023</v>
      </c>
      <c r="K84" s="147" t="n">
        <v>0.333</v>
      </c>
      <c r="L84" s="146" t="n">
        <v>118.3</v>
      </c>
      <c r="M84" s="148" t="n">
        <v>9</v>
      </c>
      <c r="N84" s="146" t="n">
        <v>13.6</v>
      </c>
      <c r="O84" s="147" t="n">
        <v>0.359</v>
      </c>
      <c r="P84" s="147" t="n">
        <v>0.026</v>
      </c>
      <c r="Q84" s="147" t="n">
        <v>0.281</v>
      </c>
      <c r="R84" s="146" t="n">
        <v>4.9</v>
      </c>
      <c r="S84" s="148" t="n">
        <v>1380</v>
      </c>
      <c r="T84" s="146" t="n">
        <v>1.9</v>
      </c>
      <c r="U84" s="146" t="n">
        <v>5.2</v>
      </c>
      <c r="V84" s="148" t="n">
        <v>31</v>
      </c>
      <c r="W84" s="146" t="n">
        <v>97.8</v>
      </c>
      <c r="X84" s="147" t="n">
        <v>1.193</v>
      </c>
      <c r="Y84" s="147" t="n">
        <v>0.012</v>
      </c>
      <c r="Z84" s="147" t="n">
        <v>0.246</v>
      </c>
      <c r="AA84" s="146" t="n">
        <v>32.6</v>
      </c>
      <c r="AB84" s="148" t="n">
        <v>7218</v>
      </c>
      <c r="AC84" s="146" t="n">
        <v>48.7</v>
      </c>
      <c r="AD84" s="146" t="n">
        <v>32.6</v>
      </c>
      <c r="AE84" s="148" t="n">
        <v>14</v>
      </c>
      <c r="AF84" s="146" t="n">
        <v>90.9</v>
      </c>
      <c r="AG84" s="147" t="n">
        <v>1.513</v>
      </c>
      <c r="AH84" s="147" t="n">
        <v>0.017</v>
      </c>
      <c r="AI84" s="146" t="n">
        <v>57.2</v>
      </c>
      <c r="AJ84" s="148" t="n">
        <v>13</v>
      </c>
      <c r="AK84" s="146" t="n">
        <v>209.1</v>
      </c>
      <c r="AL84" s="147" t="n">
        <v>5.448</v>
      </c>
      <c r="AM84" s="147" t="n">
        <v>0.026</v>
      </c>
      <c r="AN84" s="146" t="n">
        <v>61</v>
      </c>
      <c r="AO84" s="78" t="n">
        <f aca="false">Table1[[#This Row],[Inside_._time]]/Table1[[#This Row],[Duration]]</f>
        <v>0.303</v>
      </c>
      <c r="AP84" s="78" t="n">
        <f aca="false">Table1[[#This Row],[Outside_._time]]/Table1[[#This Row],[Duration]]</f>
        <v>0.697</v>
      </c>
      <c r="AQ84" s="78" t="n">
        <f aca="false">Table1[[#This Row],[Inside_._distance]]/Table1[[#This Row],[Distance]]</f>
        <v>0.217322608445849</v>
      </c>
      <c r="AR84" s="78" t="n">
        <f aca="false">Table1[[#This Row],[Outside_._distance]]/Table1[[#This Row],[Distance]]</f>
        <v>0.782533754668199</v>
      </c>
      <c r="AS84" s="149" t="e">
        <f aca="false">[1]!table2[[#this row],[object_a_._head_time]]+[1]!table2[[#this row],[object_b_._head_time]]</f>
        <v>#N/A</v>
      </c>
      <c r="AT84" s="149" t="e">
        <f aca="false">[1]!table2[[#this row],[object_a_._head_time]]+[1]!table2[[#this row],[object_b_._head_time]]</f>
        <v>#N/A</v>
      </c>
      <c r="AU84" s="149" t="e">
        <f aca="false">[1]!table2[[#this row],[object_b_._head_time]]-[1]!table2[[#this row],[object_a_._head_time]]</f>
        <v>#N/A</v>
      </c>
      <c r="AV84" s="150" t="e">
        <f aca="false">[1]!table2[[#this row],[d1: absolute discrimination measure (D1 = B2- A2)]]/[1]!table2[[#this row],[e2: total exploration time in second trial E2 ( E2 = A2 + B2)]]</f>
        <v>#N/A</v>
      </c>
      <c r="AW84" s="149" t="e">
        <f aca="false">(W84/AT84)*100</f>
        <v>#N/A</v>
      </c>
      <c r="AX84" s="149" t="e">
        <f aca="false">([1]!table2[[#this row],[object_a_._head_time]]/([1]!table2[[#this row],[object_a_._head_time]]+[1]!table2[[#this row],[object_b_._head_time]]))*100</f>
        <v>#N/A</v>
      </c>
      <c r="AY84" s="82" t="s">
        <v>79</v>
      </c>
      <c r="AZ84" s="82" t="s">
        <v>65</v>
      </c>
      <c r="BA84" s="82" t="s">
        <v>93</v>
      </c>
      <c r="BB84" s="83" t="n">
        <v>170</v>
      </c>
      <c r="BC84" s="84" t="n">
        <v>5.66666666666667</v>
      </c>
      <c r="BD84" s="85" t="s">
        <v>80</v>
      </c>
      <c r="BE84" s="82" t="n">
        <v>3</v>
      </c>
      <c r="BF84" s="86"/>
    </row>
    <row r="85" customFormat="false" ht="12" hidden="false" customHeight="true" outlineLevel="0" collapsed="false">
      <c r="A85" s="144" t="n">
        <v>16</v>
      </c>
      <c r="B85" s="145" t="s">
        <v>116</v>
      </c>
      <c r="C85" s="145" t="s">
        <v>224</v>
      </c>
      <c r="D85" s="145" t="s">
        <v>77</v>
      </c>
      <c r="E85" s="145" t="s">
        <v>377</v>
      </c>
      <c r="F85" s="145" t="s">
        <v>396</v>
      </c>
      <c r="G85" s="145" t="s">
        <v>397</v>
      </c>
      <c r="H85" s="146" t="n">
        <v>300</v>
      </c>
      <c r="I85" s="147" t="n">
        <v>5.482</v>
      </c>
      <c r="J85" s="147" t="n">
        <v>0.018</v>
      </c>
      <c r="K85" s="147" t="n">
        <v>0.235</v>
      </c>
      <c r="L85" s="146" t="n">
        <v>173.4</v>
      </c>
      <c r="M85" s="148" t="n">
        <v>6</v>
      </c>
      <c r="N85" s="146" t="n">
        <v>4.7</v>
      </c>
      <c r="O85" s="147" t="n">
        <v>0.618</v>
      </c>
      <c r="P85" s="147" t="n">
        <v>0.133</v>
      </c>
      <c r="Q85" s="147" t="n">
        <v>0.208</v>
      </c>
      <c r="R85" s="146" t="n">
        <v>0.8</v>
      </c>
      <c r="S85" s="148" t="n">
        <v>491</v>
      </c>
      <c r="T85" s="146" t="n">
        <v>0</v>
      </c>
      <c r="U85" s="146" t="n">
        <v>1.3</v>
      </c>
      <c r="V85" s="148" t="n">
        <v>29</v>
      </c>
      <c r="W85" s="146" t="n">
        <v>48.5</v>
      </c>
      <c r="X85" s="147" t="n">
        <v>0.519</v>
      </c>
      <c r="Y85" s="147" t="n">
        <v>0.011</v>
      </c>
      <c r="Z85" s="147" t="n">
        <v>0.193</v>
      </c>
      <c r="AA85" s="146" t="n">
        <v>9.1</v>
      </c>
      <c r="AB85" s="148" t="n">
        <v>1874</v>
      </c>
      <c r="AC85" s="146" t="n">
        <v>33</v>
      </c>
      <c r="AD85" s="146" t="n">
        <v>5.9</v>
      </c>
      <c r="AE85" s="148" t="n">
        <v>9</v>
      </c>
      <c r="AF85" s="146" t="n">
        <v>8</v>
      </c>
      <c r="AG85" s="147" t="n">
        <v>0.712</v>
      </c>
      <c r="AH85" s="147" t="n">
        <v>0.089</v>
      </c>
      <c r="AI85" s="146" t="n">
        <v>0</v>
      </c>
      <c r="AJ85" s="148" t="n">
        <v>9</v>
      </c>
      <c r="AK85" s="146" t="n">
        <v>292</v>
      </c>
      <c r="AL85" s="147" t="n">
        <v>4.77</v>
      </c>
      <c r="AM85" s="147" t="n">
        <v>0.016</v>
      </c>
      <c r="AN85" s="146" t="n">
        <v>173.4</v>
      </c>
      <c r="AO85" s="78" t="n">
        <f aca="false">Table1[[#This Row],[Inside_._time]]/Table1[[#This Row],[Duration]]</f>
        <v>0.0266666666666667</v>
      </c>
      <c r="AP85" s="78" t="n">
        <f aca="false">Table1[[#This Row],[Outside_._time]]/Table1[[#This Row],[Duration]]</f>
        <v>0.973333333333333</v>
      </c>
      <c r="AQ85" s="78" t="n">
        <f aca="false">Table1[[#This Row],[Inside_._distance]]/Table1[[#This Row],[Distance]]</f>
        <v>0.129879605983218</v>
      </c>
      <c r="AR85" s="78" t="n">
        <f aca="false">Table1[[#This Row],[Outside_._distance]]/Table1[[#This Row],[Distance]]</f>
        <v>0.870120394016782</v>
      </c>
      <c r="AS85" s="149" t="e">
        <f aca="false">[1]!table2[[#this row],[object_a_._head_time]]+[1]!table2[[#this row],[object_b_._head_time]]</f>
        <v>#N/A</v>
      </c>
      <c r="AT85" s="149" t="e">
        <f aca="false">[1]!table2[[#this row],[object_a_._head_time]]+[1]!table2[[#this row],[object_b_._head_time]]</f>
        <v>#N/A</v>
      </c>
      <c r="AU85" s="149" t="e">
        <f aca="false">[1]!table2[[#this row],[object_b_._head_time]]-[1]!table2[[#this row],[object_a_._head_time]]</f>
        <v>#N/A</v>
      </c>
      <c r="AV85" s="150" t="e">
        <f aca="false">[1]!table2[[#this row],[d1: absolute discrimination measure (D1 = B2- A2)]]/[1]!table2[[#this row],[e2: total exploration time in second trial E2 ( E2 = A2 + B2)]]</f>
        <v>#N/A</v>
      </c>
      <c r="AW85" s="149" t="e">
        <f aca="false">(W85/AT85)*100</f>
        <v>#N/A</v>
      </c>
      <c r="AX85" s="149" t="e">
        <f aca="false">([1]!table2[[#this row],[object_a_._head_time]]/([1]!table2[[#this row],[object_a_._head_time]]+[1]!table2[[#this row],[object_b_._head_time]]))*100</f>
        <v>#N/A</v>
      </c>
      <c r="AY85" s="82" t="s">
        <v>79</v>
      </c>
      <c r="AZ85" s="82" t="s">
        <v>119</v>
      </c>
      <c r="BA85" s="82" t="s">
        <v>66</v>
      </c>
      <c r="BB85" s="83" t="n">
        <v>163</v>
      </c>
      <c r="BC85" s="84" t="n">
        <v>5.43333333333333</v>
      </c>
      <c r="BD85" s="85" t="s">
        <v>67</v>
      </c>
      <c r="BE85" s="82" t="n">
        <v>6</v>
      </c>
      <c r="BF85" s="86" t="s">
        <v>120</v>
      </c>
    </row>
    <row r="86" customFormat="false" ht="12" hidden="false" customHeight="true" outlineLevel="0" collapsed="false">
      <c r="A86" s="144" t="n">
        <v>18</v>
      </c>
      <c r="B86" s="145" t="s">
        <v>121</v>
      </c>
      <c r="C86" s="145" t="s">
        <v>224</v>
      </c>
      <c r="D86" s="145" t="s">
        <v>60</v>
      </c>
      <c r="E86" s="145" t="s">
        <v>377</v>
      </c>
      <c r="F86" s="145" t="s">
        <v>398</v>
      </c>
      <c r="G86" s="145" t="s">
        <v>399</v>
      </c>
      <c r="H86" s="146" t="n">
        <v>300</v>
      </c>
      <c r="I86" s="147" t="n">
        <v>10.104</v>
      </c>
      <c r="J86" s="147" t="n">
        <v>0.034</v>
      </c>
      <c r="K86" s="147" t="n">
        <v>0.275</v>
      </c>
      <c r="L86" s="146" t="n">
        <v>30.7</v>
      </c>
      <c r="M86" s="148" t="n">
        <v>24</v>
      </c>
      <c r="N86" s="146" t="n">
        <v>68.1</v>
      </c>
      <c r="O86" s="147" t="n">
        <v>0.944</v>
      </c>
      <c r="P86" s="147" t="n">
        <v>0.014</v>
      </c>
      <c r="Q86" s="147" t="n">
        <v>0.275</v>
      </c>
      <c r="R86" s="146" t="n">
        <v>4.6</v>
      </c>
      <c r="S86" s="148" t="n">
        <v>3791</v>
      </c>
      <c r="T86" s="146" t="n">
        <v>13.2</v>
      </c>
      <c r="U86" s="146" t="n">
        <v>2</v>
      </c>
      <c r="V86" s="148" t="n">
        <v>14</v>
      </c>
      <c r="W86" s="146" t="n">
        <v>46.5</v>
      </c>
      <c r="X86" s="147" t="n">
        <v>1.145</v>
      </c>
      <c r="Y86" s="147" t="n">
        <v>0.025</v>
      </c>
      <c r="Z86" s="147" t="n">
        <v>0.203</v>
      </c>
      <c r="AA86" s="146" t="n">
        <v>5.9</v>
      </c>
      <c r="AB86" s="148" t="n">
        <v>2456</v>
      </c>
      <c r="AC86" s="146" t="n">
        <v>9.6</v>
      </c>
      <c r="AD86" s="146" t="n">
        <v>16.8</v>
      </c>
      <c r="AE86" s="148" t="n">
        <v>22</v>
      </c>
      <c r="AF86" s="146" t="n">
        <v>70.4</v>
      </c>
      <c r="AG86" s="147" t="n">
        <v>2.636</v>
      </c>
      <c r="AH86" s="147" t="n">
        <v>0.037</v>
      </c>
      <c r="AI86" s="146" t="n">
        <v>7.5</v>
      </c>
      <c r="AJ86" s="148" t="n">
        <v>21</v>
      </c>
      <c r="AK86" s="146" t="n">
        <v>229.6</v>
      </c>
      <c r="AL86" s="147" t="n">
        <v>7.468</v>
      </c>
      <c r="AM86" s="147" t="n">
        <v>0.033</v>
      </c>
      <c r="AN86" s="146" t="n">
        <v>23.2</v>
      </c>
      <c r="AO86" s="78" t="n">
        <f aca="false">Table1[[#This Row],[Inside_._time]]/Table1[[#This Row],[Duration]]</f>
        <v>0.234666666666667</v>
      </c>
      <c r="AP86" s="78" t="n">
        <f aca="false">Table1[[#This Row],[Outside_._time]]/Table1[[#This Row],[Duration]]</f>
        <v>0.765333333333333</v>
      </c>
      <c r="AQ86" s="78" t="n">
        <f aca="false">Table1[[#This Row],[Inside_._distance]]/Table1[[#This Row],[Distance]]</f>
        <v>0.260886777513856</v>
      </c>
      <c r="AR86" s="78" t="n">
        <f aca="false">Table1[[#This Row],[Outside_._distance]]/Table1[[#This Row],[Distance]]</f>
        <v>0.739113222486144</v>
      </c>
      <c r="AS86" s="149" t="e">
        <f aca="false">[1]!table2[[#this row],[object_a_._head_time]]+[1]!table2[[#this row],[object_b_._head_time]]</f>
        <v>#N/A</v>
      </c>
      <c r="AT86" s="149" t="e">
        <f aca="false">[1]!table2[[#this row],[object_a_._head_time]]+[1]!table2[[#this row],[object_b_._head_time]]</f>
        <v>#N/A</v>
      </c>
      <c r="AU86" s="149" t="e">
        <f aca="false">[1]!table2[[#this row],[object_b_._head_time]]-[1]!table2[[#this row],[object_a_._head_time]]</f>
        <v>#N/A</v>
      </c>
      <c r="AV86" s="150" t="e">
        <f aca="false">[1]!table2[[#this row],[d1: absolute discrimination measure (D1 = B2- A2)]]/[1]!table2[[#this row],[e2: total exploration time in second trial E2 ( E2 = A2 + B2)]]</f>
        <v>#N/A</v>
      </c>
      <c r="AW86" s="149" t="e">
        <f aca="false">(W86/AT86)*100</f>
        <v>#N/A</v>
      </c>
      <c r="AX86" s="149" t="e">
        <f aca="false">([1]!table2[[#this row],[object_a_._head_time]]/([1]!table2[[#this row],[object_a_._head_time]]+[1]!table2[[#this row],[object_b_._head_time]]))*100</f>
        <v>#N/A</v>
      </c>
      <c r="AY86" s="82" t="s">
        <v>79</v>
      </c>
      <c r="AZ86" s="82" t="s">
        <v>123</v>
      </c>
      <c r="BA86" s="82" t="s">
        <v>93</v>
      </c>
      <c r="BB86" s="83" t="n">
        <v>163</v>
      </c>
      <c r="BC86" s="84" t="n">
        <v>5.43333333333333</v>
      </c>
      <c r="BD86" s="82" t="s">
        <v>67</v>
      </c>
      <c r="BE86" s="82" t="n">
        <v>4</v>
      </c>
      <c r="BF86" s="86" t="s">
        <v>120</v>
      </c>
    </row>
    <row r="87" customFormat="false" ht="12" hidden="false" customHeight="true" outlineLevel="0" collapsed="false">
      <c r="A87" s="144" t="n">
        <v>17</v>
      </c>
      <c r="B87" s="145" t="s">
        <v>124</v>
      </c>
      <c r="C87" s="145" t="s">
        <v>224</v>
      </c>
      <c r="D87" s="145" t="s">
        <v>70</v>
      </c>
      <c r="E87" s="145" t="s">
        <v>377</v>
      </c>
      <c r="F87" s="145" t="s">
        <v>400</v>
      </c>
      <c r="G87" s="145" t="s">
        <v>401</v>
      </c>
      <c r="H87" s="146" t="n">
        <v>300</v>
      </c>
      <c r="I87" s="147" t="n">
        <v>11.755</v>
      </c>
      <c r="J87" s="147" t="n">
        <v>0.039</v>
      </c>
      <c r="K87" s="147" t="n">
        <v>0.304</v>
      </c>
      <c r="L87" s="146" t="n">
        <v>56.5</v>
      </c>
      <c r="M87" s="148" t="n">
        <v>34</v>
      </c>
      <c r="N87" s="146" t="n">
        <v>33.4</v>
      </c>
      <c r="O87" s="147" t="n">
        <v>1.299</v>
      </c>
      <c r="P87" s="147" t="n">
        <v>0.039</v>
      </c>
      <c r="Q87" s="147" t="n">
        <v>0.286</v>
      </c>
      <c r="R87" s="146" t="n">
        <v>10.3</v>
      </c>
      <c r="S87" s="148" t="n">
        <v>2201</v>
      </c>
      <c r="T87" s="146" t="n">
        <v>6.7</v>
      </c>
      <c r="U87" s="146" t="n">
        <v>19.7</v>
      </c>
      <c r="V87" s="148" t="n">
        <v>15</v>
      </c>
      <c r="W87" s="146" t="n">
        <v>27.6</v>
      </c>
      <c r="X87" s="147" t="n">
        <v>1.18</v>
      </c>
      <c r="Y87" s="147" t="n">
        <v>0.043</v>
      </c>
      <c r="Z87" s="147" t="n">
        <v>0.289</v>
      </c>
      <c r="AA87" s="146" t="n">
        <v>7.3</v>
      </c>
      <c r="AB87" s="148" t="n">
        <v>1993</v>
      </c>
      <c r="AC87" s="146" t="n">
        <v>9</v>
      </c>
      <c r="AD87" s="146" t="n">
        <v>1.9</v>
      </c>
      <c r="AE87" s="148" t="n">
        <v>16</v>
      </c>
      <c r="AF87" s="146" t="n">
        <v>48.4</v>
      </c>
      <c r="AG87" s="147" t="n">
        <v>2.015</v>
      </c>
      <c r="AH87" s="147" t="n">
        <v>0.042</v>
      </c>
      <c r="AI87" s="146" t="n">
        <v>5.7</v>
      </c>
      <c r="AJ87" s="148" t="n">
        <v>17</v>
      </c>
      <c r="AK87" s="146" t="n">
        <v>251.6</v>
      </c>
      <c r="AL87" s="147" t="n">
        <v>9.74</v>
      </c>
      <c r="AM87" s="147" t="n">
        <v>0.039</v>
      </c>
      <c r="AN87" s="146" t="n">
        <v>50.8</v>
      </c>
      <c r="AO87" s="78" t="n">
        <f aca="false">Table1[[#This Row],[Inside_._time]]/Table1[[#This Row],[Duration]]</f>
        <v>0.161333333333333</v>
      </c>
      <c r="AP87" s="78" t="n">
        <f aca="false">Table1[[#This Row],[Outside_._time]]/Table1[[#This Row],[Duration]]</f>
        <v>0.838666666666667</v>
      </c>
      <c r="AQ87" s="78" t="n">
        <f aca="false">Table1[[#This Row],[Inside_._distance]]/Table1[[#This Row],[Distance]]</f>
        <v>0.1714164185453</v>
      </c>
      <c r="AR87" s="78" t="n">
        <f aca="false">Table1[[#This Row],[Outside_._distance]]/Table1[[#This Row],[Distance]]</f>
        <v>0.8285835814547</v>
      </c>
      <c r="AS87" s="149" t="e">
        <f aca="false">[1]!table2[[#this row],[object_a_._head_time]]+[1]!table2[[#this row],[object_b_._head_time]]</f>
        <v>#N/A</v>
      </c>
      <c r="AT87" s="149" t="e">
        <f aca="false">[1]!table2[[#this row],[object_a_._head_time]]+[1]!table2[[#this row],[object_b_._head_time]]</f>
        <v>#N/A</v>
      </c>
      <c r="AU87" s="149" t="e">
        <f aca="false">[1]!table2[[#this row],[object_b_._head_time]]-[1]!table2[[#this row],[object_a_._head_time]]</f>
        <v>#N/A</v>
      </c>
      <c r="AV87" s="150" t="e">
        <f aca="false">[1]!table2[[#this row],[d1: absolute discrimination measure (D1 = B2- A2)]]/[1]!table2[[#this row],[e2: total exploration time in second trial E2 ( E2 = A2 + B2)]]</f>
        <v>#N/A</v>
      </c>
      <c r="AW87" s="149" t="e">
        <f aca="false">(W87/AT87)*100</f>
        <v>#N/A</v>
      </c>
      <c r="AX87" s="149" t="e">
        <f aca="false">([1]!table2[[#this row],[object_a_._head_time]]/([1]!table2[[#this row],[object_a_._head_time]]+[1]!table2[[#this row],[object_b_._head_time]]))*100</f>
        <v>#N/A</v>
      </c>
      <c r="AY87" s="82" t="s">
        <v>64</v>
      </c>
      <c r="AZ87" s="82" t="s">
        <v>105</v>
      </c>
      <c r="BA87" s="82" t="s">
        <v>66</v>
      </c>
      <c r="BB87" s="83" t="n">
        <v>145</v>
      </c>
      <c r="BC87" s="84" t="n">
        <v>4.83333333333333</v>
      </c>
      <c r="BD87" s="85" t="s">
        <v>80</v>
      </c>
      <c r="BE87" s="82" t="n">
        <v>5</v>
      </c>
      <c r="BF87" s="86"/>
    </row>
    <row r="88" customFormat="false" ht="12" hidden="false" customHeight="true" outlineLevel="0" collapsed="false">
      <c r="A88" s="144" t="n">
        <v>19</v>
      </c>
      <c r="B88" s="145" t="s">
        <v>126</v>
      </c>
      <c r="C88" s="145" t="s">
        <v>224</v>
      </c>
      <c r="D88" s="145" t="s">
        <v>73</v>
      </c>
      <c r="E88" s="145" t="s">
        <v>377</v>
      </c>
      <c r="F88" s="145" t="s">
        <v>398</v>
      </c>
      <c r="G88" s="145" t="s">
        <v>402</v>
      </c>
      <c r="H88" s="146" t="n">
        <v>300</v>
      </c>
      <c r="I88" s="147" t="n">
        <v>2.422</v>
      </c>
      <c r="J88" s="147" t="n">
        <v>0.008</v>
      </c>
      <c r="K88" s="147" t="n">
        <v>0.202</v>
      </c>
      <c r="L88" s="146" t="n">
        <v>47.8</v>
      </c>
      <c r="M88" s="148" t="n">
        <v>8</v>
      </c>
      <c r="N88" s="146" t="n">
        <v>22.9</v>
      </c>
      <c r="O88" s="147" t="n">
        <v>0.182</v>
      </c>
      <c r="P88" s="147" t="n">
        <v>0.008</v>
      </c>
      <c r="Q88" s="147" t="n">
        <v>0.196</v>
      </c>
      <c r="R88" s="146" t="n">
        <v>0.7</v>
      </c>
      <c r="S88" s="148" t="n">
        <v>1301</v>
      </c>
      <c r="T88" s="146" t="n">
        <v>1.2</v>
      </c>
      <c r="U88" s="146" t="n">
        <v>0.5</v>
      </c>
      <c r="V88" s="148" t="n">
        <v>6</v>
      </c>
      <c r="W88" s="146" t="n">
        <v>4.7</v>
      </c>
      <c r="X88" s="147" t="n">
        <v>0.2</v>
      </c>
      <c r="Y88" s="147" t="n">
        <v>0.043</v>
      </c>
      <c r="Z88" s="147" t="n">
        <v>0.202</v>
      </c>
      <c r="AA88" s="146" t="n">
        <v>0.5</v>
      </c>
      <c r="AB88" s="148" t="n">
        <v>318</v>
      </c>
      <c r="AC88" s="146" t="n">
        <v>0</v>
      </c>
      <c r="AD88" s="146" t="n">
        <v>1.6</v>
      </c>
      <c r="AE88" s="148" t="n">
        <v>2</v>
      </c>
      <c r="AF88" s="146" t="n">
        <v>6.8</v>
      </c>
      <c r="AG88" s="147" t="n">
        <v>0.271</v>
      </c>
      <c r="AH88" s="147" t="n">
        <v>0.04</v>
      </c>
      <c r="AI88" s="146" t="n">
        <v>0</v>
      </c>
      <c r="AJ88" s="148" t="n">
        <v>2</v>
      </c>
      <c r="AK88" s="146" t="n">
        <v>293.2</v>
      </c>
      <c r="AL88" s="147" t="n">
        <v>2.151</v>
      </c>
      <c r="AM88" s="147" t="n">
        <v>0.007</v>
      </c>
      <c r="AN88" s="146" t="n">
        <v>47.8</v>
      </c>
      <c r="AO88" s="78" t="n">
        <f aca="false">Table1[[#This Row],[Inside_._time]]/Table1[[#This Row],[Duration]]</f>
        <v>0.0226666666666667</v>
      </c>
      <c r="AP88" s="78" t="n">
        <f aca="false">Table1[[#This Row],[Outside_._time]]/Table1[[#This Row],[Duration]]</f>
        <v>0.977333333333333</v>
      </c>
      <c r="AQ88" s="78" t="n">
        <f aca="false">Table1[[#This Row],[Inside_._distance]]/Table1[[#This Row],[Distance]]</f>
        <v>0.111890999174236</v>
      </c>
      <c r="AR88" s="78" t="n">
        <f aca="false">Table1[[#This Row],[Outside_._distance]]/Table1[[#This Row],[Distance]]</f>
        <v>0.888109000825764</v>
      </c>
      <c r="AS88" s="149" t="e">
        <f aca="false">[1]!table2[[#this row],[object_a_._head_time]]+[1]!table2[[#this row],[object_b_._head_time]]</f>
        <v>#N/A</v>
      </c>
      <c r="AT88" s="149" t="e">
        <f aca="false">[1]!table2[[#this row],[object_a_._head_time]]+[1]!table2[[#this row],[object_b_._head_time]]</f>
        <v>#N/A</v>
      </c>
      <c r="AU88" s="149" t="e">
        <f aca="false">[1]!table2[[#this row],[object_b_._head_time]]-[1]!table2[[#this row],[object_a_._head_time]]</f>
        <v>#N/A</v>
      </c>
      <c r="AV88" s="150" t="e">
        <f aca="false">[1]!table2[[#this row],[d1: absolute discrimination measure (D1 = B2- A2)]]/[1]!table2[[#this row],[e2: total exploration time in second trial E2 ( E2 = A2 + B2)]]</f>
        <v>#N/A</v>
      </c>
      <c r="AW88" s="149" t="e">
        <f aca="false">(W88/AT88)*100</f>
        <v>#N/A</v>
      </c>
      <c r="AX88" s="149" t="e">
        <f aca="false">([1]!table2[[#this row],[object_a_._head_time]]/([1]!table2[[#this row],[object_a_._head_time]]+[1]!table2[[#this row],[object_b_._head_time]]))*100</f>
        <v>#N/A</v>
      </c>
      <c r="AY88" s="82" t="s">
        <v>64</v>
      </c>
      <c r="AZ88" s="82" t="s">
        <v>105</v>
      </c>
      <c r="BA88" s="82" t="s">
        <v>66</v>
      </c>
      <c r="BB88" s="83" t="n">
        <v>143</v>
      </c>
      <c r="BC88" s="84" t="n">
        <v>4.76666666666667</v>
      </c>
      <c r="BD88" s="85" t="s">
        <v>67</v>
      </c>
      <c r="BE88" s="82" t="n">
        <v>6</v>
      </c>
      <c r="BF88" s="86" t="s">
        <v>94</v>
      </c>
    </row>
    <row r="89" customFormat="false" ht="12" hidden="false" customHeight="true" outlineLevel="0" collapsed="false">
      <c r="A89" s="144" t="n">
        <v>20</v>
      </c>
      <c r="B89" s="145" t="s">
        <v>128</v>
      </c>
      <c r="C89" s="145" t="s">
        <v>224</v>
      </c>
      <c r="D89" s="145" t="s">
        <v>77</v>
      </c>
      <c r="E89" s="145" t="s">
        <v>377</v>
      </c>
      <c r="F89" s="145" t="s">
        <v>398</v>
      </c>
      <c r="G89" s="145" t="s">
        <v>403</v>
      </c>
      <c r="H89" s="146" t="n">
        <v>300</v>
      </c>
      <c r="I89" s="147" t="n">
        <v>5.777</v>
      </c>
      <c r="J89" s="147" t="n">
        <v>0.019</v>
      </c>
      <c r="K89" s="147" t="n">
        <v>0.224</v>
      </c>
      <c r="L89" s="146" t="n">
        <v>87.8</v>
      </c>
      <c r="M89" s="148" t="n">
        <v>15</v>
      </c>
      <c r="N89" s="146" t="n">
        <v>14.2</v>
      </c>
      <c r="O89" s="147" t="n">
        <v>0.551</v>
      </c>
      <c r="P89" s="147" t="n">
        <v>0.039</v>
      </c>
      <c r="Q89" s="147" t="n">
        <v>0.151</v>
      </c>
      <c r="R89" s="146" t="n">
        <v>0.9</v>
      </c>
      <c r="S89" s="148" t="n">
        <v>825</v>
      </c>
      <c r="T89" s="146" t="n">
        <v>0</v>
      </c>
      <c r="U89" s="146" t="n">
        <v>5.1</v>
      </c>
      <c r="V89" s="148" t="n">
        <v>14</v>
      </c>
      <c r="W89" s="146" t="n">
        <v>41.8</v>
      </c>
      <c r="X89" s="147" t="n">
        <v>0.212</v>
      </c>
      <c r="Y89" s="147" t="n">
        <v>0.005</v>
      </c>
      <c r="Z89" s="147" t="n">
        <v>0.094</v>
      </c>
      <c r="AA89" s="146" t="n">
        <v>31.5</v>
      </c>
      <c r="AB89" s="148" t="n">
        <v>2047</v>
      </c>
      <c r="AC89" s="146" t="n">
        <v>22.4</v>
      </c>
      <c r="AD89" s="146" t="n">
        <v>38.3</v>
      </c>
      <c r="AE89" s="148" t="n">
        <v>5</v>
      </c>
      <c r="AF89" s="146" t="n">
        <v>15.1</v>
      </c>
      <c r="AG89" s="147" t="n">
        <v>0.693</v>
      </c>
      <c r="AH89" s="147" t="n">
        <v>0.046</v>
      </c>
      <c r="AI89" s="146" t="n">
        <v>0</v>
      </c>
      <c r="AJ89" s="148" t="n">
        <v>5</v>
      </c>
      <c r="AK89" s="146" t="n">
        <v>284.9</v>
      </c>
      <c r="AL89" s="147" t="n">
        <v>5.084</v>
      </c>
      <c r="AM89" s="147" t="n">
        <v>0.018</v>
      </c>
      <c r="AN89" s="146" t="n">
        <v>87.8</v>
      </c>
      <c r="AO89" s="78" t="n">
        <f aca="false">Table1[[#This Row],[Inside_._time]]/Table1[[#This Row],[Duration]]</f>
        <v>0.0503333333333333</v>
      </c>
      <c r="AP89" s="78" t="n">
        <f aca="false">Table1[[#This Row],[Outside_._time]]/Table1[[#This Row],[Duration]]</f>
        <v>0.949666666666666</v>
      </c>
      <c r="AQ89" s="78" t="n">
        <f aca="false">Table1[[#This Row],[Inside_._distance]]/Table1[[#This Row],[Distance]]</f>
        <v>0.119958455945993</v>
      </c>
      <c r="AR89" s="78" t="n">
        <f aca="false">Table1[[#This Row],[Outside_._distance]]/Table1[[#This Row],[Distance]]</f>
        <v>0.880041544054007</v>
      </c>
      <c r="AS89" s="149" t="e">
        <f aca="false">[1]!table2[[#this row],[object_a_._head_time]]+[1]!table2[[#this row],[object_b_._head_time]]</f>
        <v>#N/A</v>
      </c>
      <c r="AT89" s="149" t="e">
        <f aca="false">[1]!table2[[#this row],[object_a_._head_time]]+[1]!table2[[#this row],[object_b_._head_time]]</f>
        <v>#N/A</v>
      </c>
      <c r="AU89" s="149" t="e">
        <f aca="false">[1]!table2[[#this row],[object_b_._head_time]]-[1]!table2[[#this row],[object_a_._head_time]]</f>
        <v>#N/A</v>
      </c>
      <c r="AV89" s="150" t="e">
        <f aca="false">[1]!table2[[#this row],[d1: absolute discrimination measure (D1 = B2- A2)]]/[1]!table2[[#this row],[e2: total exploration time in second trial E2 ( E2 = A2 + B2)]]</f>
        <v>#N/A</v>
      </c>
      <c r="AW89" s="149" t="e">
        <f aca="false">(W89/AT89)*100</f>
        <v>#N/A</v>
      </c>
      <c r="AX89" s="149" t="e">
        <f aca="false">([1]!table2[[#this row],[object_a_._head_time]]/([1]!table2[[#this row],[object_a_._head_time]]+[1]!table2[[#this row],[object_b_._head_time]]))*100</f>
        <v>#N/A</v>
      </c>
      <c r="AY89" s="82" t="s">
        <v>64</v>
      </c>
      <c r="AZ89" s="82" t="s">
        <v>131</v>
      </c>
      <c r="BA89" s="82" t="s">
        <v>93</v>
      </c>
      <c r="BB89" s="83" t="n">
        <v>140</v>
      </c>
      <c r="BC89" s="84" t="n">
        <v>4.66666666666667</v>
      </c>
      <c r="BD89" s="85" t="s">
        <v>67</v>
      </c>
      <c r="BE89" s="82" t="n">
        <v>8</v>
      </c>
      <c r="BF89" s="86"/>
    </row>
    <row r="90" customFormat="false" ht="12" hidden="false" customHeight="true" outlineLevel="0" collapsed="false">
      <c r="A90" s="144" t="n">
        <v>22</v>
      </c>
      <c r="B90" s="145" t="s">
        <v>132</v>
      </c>
      <c r="C90" s="145" t="s">
        <v>224</v>
      </c>
      <c r="D90" s="145" t="s">
        <v>60</v>
      </c>
      <c r="E90" s="145" t="s">
        <v>377</v>
      </c>
      <c r="F90" s="145" t="s">
        <v>404</v>
      </c>
      <c r="G90" s="145" t="s">
        <v>405</v>
      </c>
      <c r="H90" s="146" t="n">
        <v>300</v>
      </c>
      <c r="I90" s="147" t="n">
        <v>5.538</v>
      </c>
      <c r="J90" s="147" t="n">
        <v>0.018</v>
      </c>
      <c r="K90" s="147" t="n">
        <v>0.268</v>
      </c>
      <c r="L90" s="146" t="n">
        <v>107</v>
      </c>
      <c r="M90" s="148" t="n">
        <v>14</v>
      </c>
      <c r="N90" s="146" t="n">
        <v>18.6</v>
      </c>
      <c r="O90" s="147" t="n">
        <v>0.935</v>
      </c>
      <c r="P90" s="147" t="n">
        <v>0.05</v>
      </c>
      <c r="Q90" s="147" t="n">
        <v>0.218</v>
      </c>
      <c r="R90" s="146" t="n">
        <v>1.7</v>
      </c>
      <c r="S90" s="148" t="n">
        <v>1356</v>
      </c>
      <c r="T90" s="146" t="n">
        <v>1.5</v>
      </c>
      <c r="U90" s="146" t="n">
        <v>3.2</v>
      </c>
      <c r="V90" s="148" t="n">
        <v>4</v>
      </c>
      <c r="W90" s="146" t="n">
        <v>38.4</v>
      </c>
      <c r="X90" s="147" t="n">
        <v>0.15</v>
      </c>
      <c r="Y90" s="147" t="n">
        <v>0.004</v>
      </c>
      <c r="Z90" s="147" t="n">
        <v>0.216</v>
      </c>
      <c r="AA90" s="146" t="n">
        <v>10.2</v>
      </c>
      <c r="AB90" s="148" t="n">
        <v>1686</v>
      </c>
      <c r="AC90" s="146" t="n">
        <v>24.6</v>
      </c>
      <c r="AD90" s="146" t="n">
        <v>0.7</v>
      </c>
      <c r="AE90" s="148" t="n">
        <v>8</v>
      </c>
      <c r="AF90" s="146" t="n">
        <v>18.8</v>
      </c>
      <c r="AG90" s="147" t="n">
        <v>1.44</v>
      </c>
      <c r="AH90" s="147" t="n">
        <v>0.076</v>
      </c>
      <c r="AI90" s="146" t="n">
        <v>1.5</v>
      </c>
      <c r="AJ90" s="148" t="n">
        <v>8</v>
      </c>
      <c r="AK90" s="146" t="n">
        <v>281.2</v>
      </c>
      <c r="AL90" s="147" t="n">
        <v>4.098</v>
      </c>
      <c r="AM90" s="147" t="n">
        <v>0.015</v>
      </c>
      <c r="AN90" s="146" t="n">
        <v>105.5</v>
      </c>
      <c r="AO90" s="78" t="n">
        <f aca="false">Table1[[#This Row],[Inside_._time]]/Table1[[#This Row],[Duration]]</f>
        <v>0.0626666666666667</v>
      </c>
      <c r="AP90" s="78" t="n">
        <f aca="false">Table1[[#This Row],[Outside_._time]]/Table1[[#This Row],[Duration]]</f>
        <v>0.937333333333333</v>
      </c>
      <c r="AQ90" s="78" t="n">
        <f aca="false">Table1[[#This Row],[Inside_._distance]]/Table1[[#This Row],[Distance]]</f>
        <v>0.260021668472373</v>
      </c>
      <c r="AR90" s="78" t="n">
        <f aca="false">Table1[[#This Row],[Outside_._distance]]/Table1[[#This Row],[Distance]]</f>
        <v>0.739978331527627</v>
      </c>
      <c r="AS90" s="149" t="e">
        <f aca="false">[1]!table2[[#this row],[object_a_._head_time]]+[1]!table2[[#this row],[object_b_._head_time]]</f>
        <v>#N/A</v>
      </c>
      <c r="AT90" s="149" t="e">
        <f aca="false">[1]!table2[[#this row],[object_a_._head_time]]+[1]!table2[[#this row],[object_b_._head_time]]</f>
        <v>#N/A</v>
      </c>
      <c r="AU90" s="149" t="e">
        <f aca="false">[1]!table2[[#this row],[object_b_._head_time]]-[1]!table2[[#this row],[object_a_._head_time]]</f>
        <v>#N/A</v>
      </c>
      <c r="AV90" s="150" t="e">
        <f aca="false">[1]!table2[[#this row],[d1: absolute discrimination measure (D1 = B2- A2)]]/[1]!table2[[#this row],[e2: total exploration time in second trial E2 ( E2 = A2 + B2)]]</f>
        <v>#N/A</v>
      </c>
      <c r="AW90" s="149" t="e">
        <f aca="false">(W90/AT90)*100</f>
        <v>#N/A</v>
      </c>
      <c r="AX90" s="149" t="e">
        <f aca="false">([1]!table2[[#this row],[object_a_._head_time]]/([1]!table2[[#this row],[object_a_._head_time]]+[1]!table2[[#this row],[object_b_._head_time]]))*100</f>
        <v>#N/A</v>
      </c>
      <c r="AY90" s="82" t="s">
        <v>64</v>
      </c>
      <c r="AZ90" s="82" t="s">
        <v>131</v>
      </c>
      <c r="BA90" s="82" t="s">
        <v>93</v>
      </c>
      <c r="BB90" s="83" t="n">
        <v>140</v>
      </c>
      <c r="BC90" s="84" t="n">
        <v>4.66666666666667</v>
      </c>
      <c r="BD90" s="85" t="s">
        <v>80</v>
      </c>
      <c r="BE90" s="82" t="n">
        <v>7</v>
      </c>
      <c r="BF90" s="86"/>
    </row>
    <row r="91" customFormat="false" ht="12" hidden="false" customHeight="true" outlineLevel="0" collapsed="false">
      <c r="A91" s="144" t="n">
        <v>21</v>
      </c>
      <c r="B91" s="145" t="s">
        <v>134</v>
      </c>
      <c r="C91" s="145" t="s">
        <v>224</v>
      </c>
      <c r="D91" s="145" t="s">
        <v>70</v>
      </c>
      <c r="E91" s="145" t="s">
        <v>377</v>
      </c>
      <c r="F91" s="145" t="s">
        <v>404</v>
      </c>
      <c r="G91" s="145" t="s">
        <v>406</v>
      </c>
      <c r="H91" s="146" t="n">
        <v>300</v>
      </c>
      <c r="I91" s="147" t="n">
        <v>6.752</v>
      </c>
      <c r="J91" s="147" t="n">
        <v>0.023</v>
      </c>
      <c r="K91" s="147" t="n">
        <v>0.277</v>
      </c>
      <c r="L91" s="146" t="n">
        <v>78</v>
      </c>
      <c r="M91" s="148" t="n">
        <v>15</v>
      </c>
      <c r="N91" s="146" t="n">
        <v>17.5</v>
      </c>
      <c r="O91" s="147" t="n">
        <v>0.754</v>
      </c>
      <c r="P91" s="147" t="n">
        <v>0.043</v>
      </c>
      <c r="Q91" s="147" t="n">
        <v>0.228</v>
      </c>
      <c r="R91" s="146" t="n">
        <v>6.9</v>
      </c>
      <c r="S91" s="148" t="n">
        <v>1177</v>
      </c>
      <c r="T91" s="146" t="n">
        <v>2.5</v>
      </c>
      <c r="U91" s="146" t="n">
        <v>3.4</v>
      </c>
      <c r="V91" s="148" t="n">
        <v>22</v>
      </c>
      <c r="W91" s="146" t="n">
        <v>22.3</v>
      </c>
      <c r="X91" s="147" t="n">
        <v>0.368</v>
      </c>
      <c r="Y91" s="147" t="n">
        <v>0.017</v>
      </c>
      <c r="Z91" s="147" t="n">
        <v>0.191</v>
      </c>
      <c r="AA91" s="146" t="n">
        <v>11.6</v>
      </c>
      <c r="AB91" s="148" t="n">
        <v>1232</v>
      </c>
      <c r="AC91" s="146" t="n">
        <v>0.7</v>
      </c>
      <c r="AD91" s="146" t="n">
        <v>19</v>
      </c>
      <c r="AE91" s="148" t="n">
        <v>13</v>
      </c>
      <c r="AF91" s="146" t="n">
        <v>46.2</v>
      </c>
      <c r="AG91" s="147" t="n">
        <v>2.137</v>
      </c>
      <c r="AH91" s="147" t="n">
        <v>0.046</v>
      </c>
      <c r="AI91" s="146" t="n">
        <v>0</v>
      </c>
      <c r="AJ91" s="148" t="n">
        <v>12</v>
      </c>
      <c r="AK91" s="146" t="n">
        <v>253.8</v>
      </c>
      <c r="AL91" s="147" t="n">
        <v>4.615</v>
      </c>
      <c r="AM91" s="147" t="n">
        <v>0.018</v>
      </c>
      <c r="AN91" s="146" t="n">
        <v>78</v>
      </c>
      <c r="AO91" s="78" t="n">
        <f aca="false">Table1[[#This Row],[Inside_._time]]/Table1[[#This Row],[Duration]]</f>
        <v>0.154</v>
      </c>
      <c r="AP91" s="78" t="n">
        <f aca="false">Table1[[#This Row],[Outside_._time]]/Table1[[#This Row],[Duration]]</f>
        <v>0.846</v>
      </c>
      <c r="AQ91" s="78" t="n">
        <f aca="false">Table1[[#This Row],[Inside_._distance]]/Table1[[#This Row],[Distance]]</f>
        <v>0.316498815165877</v>
      </c>
      <c r="AR91" s="78" t="n">
        <f aca="false">Table1[[#This Row],[Outside_._distance]]/Table1[[#This Row],[Distance]]</f>
        <v>0.683501184834123</v>
      </c>
      <c r="AS91" s="149" t="e">
        <f aca="false">[1]!table2[[#this row],[object_a_._head_time]]+[1]!table2[[#this row],[object_b_._head_time]]</f>
        <v>#N/A</v>
      </c>
      <c r="AT91" s="149" t="e">
        <f aca="false">[1]!table2[[#this row],[object_a_._head_time]]+[1]!table2[[#this row],[object_b_._head_time]]</f>
        <v>#N/A</v>
      </c>
      <c r="AU91" s="149" t="e">
        <f aca="false">[1]!table2[[#this row],[object_b_._head_time]]-[1]!table2[[#this row],[object_a_._head_time]]</f>
        <v>#N/A</v>
      </c>
      <c r="AV91" s="150" t="e">
        <f aca="false">[1]!table2[[#this row],[d1: absolute discrimination measure (D1 = B2- A2)]]/[1]!table2[[#this row],[e2: total exploration time in second trial E2 ( E2 = A2 + B2)]]</f>
        <v>#N/A</v>
      </c>
      <c r="AW91" s="149" t="e">
        <f aca="false">(W91/AT91)*100</f>
        <v>#N/A</v>
      </c>
      <c r="AX91" s="149" t="e">
        <f aca="false">([1]!table2[[#this row],[object_a_._head_time]]/([1]!table2[[#this row],[object_a_._head_time]]+[1]!table2[[#this row],[object_b_._head_time]]))*100</f>
        <v>#N/A</v>
      </c>
      <c r="AY91" s="82" t="s">
        <v>64</v>
      </c>
      <c r="AZ91" s="82" t="s">
        <v>131</v>
      </c>
      <c r="BA91" s="82" t="s">
        <v>93</v>
      </c>
      <c r="BB91" s="83" t="n">
        <v>140</v>
      </c>
      <c r="BC91" s="84" t="n">
        <v>4.66666666666667</v>
      </c>
      <c r="BD91" s="85" t="s">
        <v>67</v>
      </c>
      <c r="BE91" s="82" t="n">
        <v>8</v>
      </c>
      <c r="BF91" s="86"/>
    </row>
    <row r="92" customFormat="false" ht="12" hidden="false" customHeight="true" outlineLevel="0" collapsed="false">
      <c r="A92" s="144" t="n">
        <v>23</v>
      </c>
      <c r="B92" s="145" t="s">
        <v>137</v>
      </c>
      <c r="C92" s="145" t="s">
        <v>224</v>
      </c>
      <c r="D92" s="145" t="s">
        <v>73</v>
      </c>
      <c r="E92" s="145" t="s">
        <v>377</v>
      </c>
      <c r="F92" s="145" t="s">
        <v>404</v>
      </c>
      <c r="G92" s="145" t="s">
        <v>407</v>
      </c>
      <c r="H92" s="146" t="n">
        <v>300</v>
      </c>
      <c r="I92" s="147" t="n">
        <v>5.65</v>
      </c>
      <c r="J92" s="147" t="n">
        <v>0.019</v>
      </c>
      <c r="K92" s="147" t="n">
        <v>0.247</v>
      </c>
      <c r="L92" s="146" t="n">
        <v>49.6</v>
      </c>
      <c r="M92" s="148" t="n">
        <v>15</v>
      </c>
      <c r="N92" s="146" t="n">
        <v>19.6</v>
      </c>
      <c r="O92" s="147" t="n">
        <v>0.459</v>
      </c>
      <c r="P92" s="147" t="n">
        <v>0.023</v>
      </c>
      <c r="Q92" s="147" t="n">
        <v>0.226</v>
      </c>
      <c r="R92" s="146" t="n">
        <v>7.4</v>
      </c>
      <c r="S92" s="148" t="n">
        <v>898</v>
      </c>
      <c r="T92" s="146" t="n">
        <v>1.2</v>
      </c>
      <c r="U92" s="146" t="n">
        <v>11.1</v>
      </c>
      <c r="V92" s="148" t="n">
        <v>6</v>
      </c>
      <c r="W92" s="146" t="n">
        <v>17.9</v>
      </c>
      <c r="X92" s="147" t="n">
        <v>0.524</v>
      </c>
      <c r="Y92" s="147" t="n">
        <v>0.029</v>
      </c>
      <c r="Z92" s="147" t="n">
        <v>0.23</v>
      </c>
      <c r="AA92" s="146" t="n">
        <v>3.5</v>
      </c>
      <c r="AB92" s="148" t="n">
        <v>697</v>
      </c>
      <c r="AC92" s="146" t="n">
        <v>0</v>
      </c>
      <c r="AD92" s="146" t="n">
        <v>6.5</v>
      </c>
      <c r="AE92" s="148" t="n">
        <v>7</v>
      </c>
      <c r="AF92" s="146" t="n">
        <v>21.5</v>
      </c>
      <c r="AG92" s="147" t="n">
        <v>0.606</v>
      </c>
      <c r="AH92" s="147" t="n">
        <v>0.028</v>
      </c>
      <c r="AI92" s="146" t="n">
        <v>3.2</v>
      </c>
      <c r="AJ92" s="148" t="n">
        <v>7</v>
      </c>
      <c r="AK92" s="146" t="n">
        <v>278.5</v>
      </c>
      <c r="AL92" s="147" t="n">
        <v>5.044</v>
      </c>
      <c r="AM92" s="147" t="n">
        <v>0.018</v>
      </c>
      <c r="AN92" s="146" t="n">
        <v>46.4</v>
      </c>
      <c r="AO92" s="78" t="n">
        <f aca="false">Table1[[#This Row],[Inside_._time]]/Table1[[#This Row],[Duration]]</f>
        <v>0.0716666666666667</v>
      </c>
      <c r="AP92" s="78" t="n">
        <f aca="false">Table1[[#This Row],[Outside_._time]]/Table1[[#This Row],[Duration]]</f>
        <v>0.928333333333333</v>
      </c>
      <c r="AQ92" s="78" t="n">
        <f aca="false">Table1[[#This Row],[Inside_._distance]]/Table1[[#This Row],[Distance]]</f>
        <v>0.107256637168142</v>
      </c>
      <c r="AR92" s="78" t="n">
        <f aca="false">Table1[[#This Row],[Outside_._distance]]/Table1[[#This Row],[Distance]]</f>
        <v>0.892743362831858</v>
      </c>
      <c r="AS92" s="149" t="e">
        <f aca="false">[1]!table2[[#this row],[object_a_._head_time]]+[1]!table2[[#this row],[object_b_._head_time]]</f>
        <v>#N/A</v>
      </c>
      <c r="AT92" s="149" t="e">
        <f aca="false">[1]!table2[[#this row],[object_a_._head_time]]+[1]!table2[[#this row],[object_b_._head_time]]</f>
        <v>#N/A</v>
      </c>
      <c r="AU92" s="149" t="e">
        <f aca="false">[1]!table2[[#this row],[object_b_._head_time]]-[1]!table2[[#this row],[object_a_._head_time]]</f>
        <v>#N/A</v>
      </c>
      <c r="AV92" s="150" t="e">
        <f aca="false">[1]!table2[[#this row],[d1: absolute discrimination measure (D1 = B2- A2)]]/[1]!table2[[#this row],[e2: total exploration time in second trial E2 ( E2 = A2 + B2)]]</f>
        <v>#N/A</v>
      </c>
      <c r="AW92" s="149" t="e">
        <f aca="false">(W92/AT92)*100</f>
        <v>#N/A</v>
      </c>
      <c r="AX92" s="149" t="e">
        <f aca="false">([1]!table2[[#this row],[object_a_._head_time]]/([1]!table2[[#this row],[object_a_._head_time]]+[1]!table2[[#this row],[object_b_._head_time]]))*100</f>
        <v>#N/A</v>
      </c>
      <c r="AY92" s="82" t="s">
        <v>79</v>
      </c>
      <c r="AZ92" s="82" t="s">
        <v>131</v>
      </c>
      <c r="BA92" s="82" t="s">
        <v>93</v>
      </c>
      <c r="BB92" s="83" t="n">
        <v>140</v>
      </c>
      <c r="BC92" s="84" t="n">
        <v>4.66666666666667</v>
      </c>
      <c r="BD92" s="85" t="s">
        <v>67</v>
      </c>
      <c r="BE92" s="82" t="n">
        <v>8</v>
      </c>
      <c r="BF92" s="86"/>
    </row>
    <row r="93" customFormat="false" ht="12" hidden="false" customHeight="true" outlineLevel="0" collapsed="false">
      <c r="A93" s="144" t="n">
        <v>24</v>
      </c>
      <c r="B93" s="145" t="s">
        <v>139</v>
      </c>
      <c r="C93" s="145" t="s">
        <v>224</v>
      </c>
      <c r="D93" s="145" t="s">
        <v>77</v>
      </c>
      <c r="E93" s="145" t="s">
        <v>377</v>
      </c>
      <c r="F93" s="145" t="s">
        <v>404</v>
      </c>
      <c r="G93" s="145" t="s">
        <v>408</v>
      </c>
      <c r="H93" s="146" t="n">
        <v>300</v>
      </c>
      <c r="I93" s="147" t="n">
        <v>6.242</v>
      </c>
      <c r="J93" s="147" t="n">
        <v>0.021</v>
      </c>
      <c r="K93" s="147" t="n">
        <v>0.224</v>
      </c>
      <c r="L93" s="146" t="n">
        <v>77.6</v>
      </c>
      <c r="M93" s="148" t="n">
        <v>7</v>
      </c>
      <c r="N93" s="146" t="n">
        <v>6.7</v>
      </c>
      <c r="O93" s="147" t="n">
        <v>0.693</v>
      </c>
      <c r="P93" s="147" t="n">
        <v>0.104</v>
      </c>
      <c r="Q93" s="147" t="n">
        <v>0.224</v>
      </c>
      <c r="R93" s="146" t="n">
        <v>1</v>
      </c>
      <c r="S93" s="148" t="n">
        <v>349</v>
      </c>
      <c r="T93" s="146" t="n">
        <v>0</v>
      </c>
      <c r="U93" s="146" t="n">
        <v>2.2</v>
      </c>
      <c r="V93" s="148" t="n">
        <v>30</v>
      </c>
      <c r="W93" s="146" t="n">
        <v>38.6</v>
      </c>
      <c r="X93" s="147" t="n">
        <v>0.685</v>
      </c>
      <c r="Y93" s="147" t="n">
        <v>0.018</v>
      </c>
      <c r="Z93" s="147" t="n">
        <v>0.173</v>
      </c>
      <c r="AA93" s="146" t="n">
        <v>7.2</v>
      </c>
      <c r="AB93" s="148" t="n">
        <v>2060</v>
      </c>
      <c r="AC93" s="146" t="n">
        <v>5.6</v>
      </c>
      <c r="AD93" s="146" t="n">
        <v>4.5</v>
      </c>
      <c r="AE93" s="148" t="n">
        <v>5</v>
      </c>
      <c r="AF93" s="146" t="n">
        <v>8</v>
      </c>
      <c r="AG93" s="147" t="n">
        <v>0.786</v>
      </c>
      <c r="AH93" s="147" t="n">
        <v>0.098</v>
      </c>
      <c r="AI93" s="146" t="n">
        <v>0</v>
      </c>
      <c r="AJ93" s="148" t="n">
        <v>5</v>
      </c>
      <c r="AK93" s="146" t="n">
        <v>292</v>
      </c>
      <c r="AL93" s="147" t="n">
        <v>5.456</v>
      </c>
      <c r="AM93" s="147" t="n">
        <v>0.019</v>
      </c>
      <c r="AN93" s="146" t="n">
        <v>77.6</v>
      </c>
      <c r="AO93" s="78" t="n">
        <f aca="false">Table1[[#This Row],[Inside_._time]]/Table1[[#This Row],[Duration]]</f>
        <v>0.0266666666666667</v>
      </c>
      <c r="AP93" s="78" t="n">
        <f aca="false">Table1[[#This Row],[Outside_._time]]/Table1[[#This Row],[Duration]]</f>
        <v>0.973333333333333</v>
      </c>
      <c r="AQ93" s="78" t="n">
        <f aca="false">Table1[[#This Row],[Inside_._distance]]/Table1[[#This Row],[Distance]]</f>
        <v>0.12592117910926</v>
      </c>
      <c r="AR93" s="78" t="n">
        <f aca="false">Table1[[#This Row],[Outside_._distance]]/Table1[[#This Row],[Distance]]</f>
        <v>0.87407882089074</v>
      </c>
      <c r="AS93" s="149" t="e">
        <f aca="false">[1]!table2[[#this row],[object_a_._head_time]]+[1]!table2[[#this row],[object_b_._head_time]]</f>
        <v>#N/A</v>
      </c>
      <c r="AT93" s="149" t="e">
        <f aca="false">[1]!table2[[#this row],[object_a_._head_time]]+[1]!table2[[#this row],[object_b_._head_time]]</f>
        <v>#N/A</v>
      </c>
      <c r="AU93" s="149" t="e">
        <f aca="false">[1]!table2[[#this row],[object_b_._head_time]]-[1]!table2[[#this row],[object_a_._head_time]]</f>
        <v>#N/A</v>
      </c>
      <c r="AV93" s="150" t="e">
        <f aca="false">[1]!table2[[#this row],[d1: absolute discrimination measure (D1 = B2- A2)]]/[1]!table2[[#this row],[e2: total exploration time in second trial E2 ( E2 = A2 + B2)]]</f>
        <v>#N/A</v>
      </c>
      <c r="AW93" s="149" t="e">
        <f aca="false">(W93/AT93)*100</f>
        <v>#N/A</v>
      </c>
      <c r="AX93" s="149" t="e">
        <f aca="false">([1]!table2[[#this row],[object_a_._head_time]]/([1]!table2[[#this row],[object_a_._head_time]]+[1]!table2[[#this row],[object_b_._head_time]]))*100</f>
        <v>#N/A</v>
      </c>
      <c r="AY93" s="82" t="s">
        <v>79</v>
      </c>
      <c r="AZ93" s="82" t="s">
        <v>119</v>
      </c>
      <c r="BA93" s="82" t="s">
        <v>66</v>
      </c>
      <c r="BB93" s="83" t="n">
        <v>140</v>
      </c>
      <c r="BC93" s="84" t="n">
        <v>4.66666666666667</v>
      </c>
      <c r="BD93" s="85" t="s">
        <v>80</v>
      </c>
      <c r="BE93" s="82" t="n">
        <v>5</v>
      </c>
      <c r="BF93" s="86"/>
    </row>
    <row r="94" customFormat="false" ht="12" hidden="false" customHeight="true" outlineLevel="0" collapsed="false">
      <c r="A94" s="144" t="n">
        <v>26</v>
      </c>
      <c r="B94" s="145" t="s">
        <v>142</v>
      </c>
      <c r="C94" s="145" t="s">
        <v>224</v>
      </c>
      <c r="D94" s="145" t="s">
        <v>60</v>
      </c>
      <c r="E94" s="145" t="s">
        <v>377</v>
      </c>
      <c r="F94" s="145" t="s">
        <v>409</v>
      </c>
      <c r="G94" s="145" t="s">
        <v>410</v>
      </c>
      <c r="H94" s="146" t="n">
        <v>300</v>
      </c>
      <c r="I94" s="147" t="n">
        <v>4.567</v>
      </c>
      <c r="J94" s="147" t="n">
        <v>0.015</v>
      </c>
      <c r="K94" s="147" t="n">
        <v>0.313</v>
      </c>
      <c r="L94" s="146" t="n">
        <v>155.2</v>
      </c>
      <c r="M94" s="148" t="n">
        <v>5</v>
      </c>
      <c r="N94" s="146" t="n">
        <v>2.4</v>
      </c>
      <c r="O94" s="147" t="n">
        <v>0.441</v>
      </c>
      <c r="P94" s="147" t="n">
        <v>0.185</v>
      </c>
      <c r="Q94" s="147" t="n">
        <v>0.298</v>
      </c>
      <c r="R94" s="146" t="n">
        <v>0.1</v>
      </c>
      <c r="S94" s="148" t="n">
        <v>232</v>
      </c>
      <c r="T94" s="146" t="n">
        <v>0</v>
      </c>
      <c r="U94" s="146" t="n">
        <v>0.7</v>
      </c>
      <c r="V94" s="148" t="n">
        <v>5</v>
      </c>
      <c r="W94" s="146" t="n">
        <v>1.9</v>
      </c>
      <c r="X94" s="147" t="n">
        <v>0.414</v>
      </c>
      <c r="Y94" s="147" t="n">
        <v>0.214</v>
      </c>
      <c r="Z94" s="147" t="n">
        <v>0.214</v>
      </c>
      <c r="AA94" s="146" t="n">
        <v>0.3</v>
      </c>
      <c r="AB94" s="148" t="n">
        <v>100</v>
      </c>
      <c r="AC94" s="146" t="n">
        <v>0</v>
      </c>
      <c r="AD94" s="146" t="n">
        <v>0.9</v>
      </c>
      <c r="AE94" s="148" t="n">
        <v>6</v>
      </c>
      <c r="AF94" s="146" t="n">
        <v>6.6</v>
      </c>
      <c r="AG94" s="147" t="n">
        <v>0.789</v>
      </c>
      <c r="AH94" s="147" t="n">
        <v>0.119</v>
      </c>
      <c r="AI94" s="146" t="n">
        <v>0</v>
      </c>
      <c r="AJ94" s="148" t="n">
        <v>6</v>
      </c>
      <c r="AK94" s="146" t="n">
        <v>293.4</v>
      </c>
      <c r="AL94" s="147" t="n">
        <v>3.778</v>
      </c>
      <c r="AM94" s="147" t="n">
        <v>0.013</v>
      </c>
      <c r="AN94" s="146" t="n">
        <v>155.2</v>
      </c>
      <c r="AO94" s="78" t="n">
        <f aca="false">Table1[[#This Row],[Inside_._time]]/Table1[[#This Row],[Duration]]</f>
        <v>0.022</v>
      </c>
      <c r="AP94" s="78" t="n">
        <f aca="false">Table1[[#This Row],[Outside_._time]]/Table1[[#This Row],[Duration]]</f>
        <v>0.978</v>
      </c>
      <c r="AQ94" s="78" t="n">
        <f aca="false">Table1[[#This Row],[Inside_._distance]]/Table1[[#This Row],[Distance]]</f>
        <v>0.172761112327567</v>
      </c>
      <c r="AR94" s="78" t="n">
        <f aca="false">Table1[[#This Row],[Outside_._distance]]/Table1[[#This Row],[Distance]]</f>
        <v>0.827238887672433</v>
      </c>
      <c r="AS94" s="149" t="e">
        <f aca="false">[1]!table2[[#this row],[object_a_._head_time]]+[1]!table2[[#this row],[object_b_._head_time]]</f>
        <v>#N/A</v>
      </c>
      <c r="AT94" s="149" t="e">
        <f aca="false">[1]!table2[[#this row],[object_a_._head_time]]+[1]!table2[[#this row],[object_b_._head_time]]</f>
        <v>#N/A</v>
      </c>
      <c r="AU94" s="149" t="e">
        <f aca="false">[1]!table2[[#this row],[object_b_._head_time]]-[1]!table2[[#this row],[object_a_._head_time]]</f>
        <v>#N/A</v>
      </c>
      <c r="AV94" s="150" t="e">
        <f aca="false">[1]!table2[[#this row],[d1: absolute discrimination measure (D1 = B2- A2)]]/[1]!table2[[#this row],[e2: total exploration time in second trial E2 ( E2 = A2 + B2)]]</f>
        <v>#N/A</v>
      </c>
      <c r="AW94" s="149" t="e">
        <f aca="false">(W94/AT94)*100</f>
        <v>#N/A</v>
      </c>
      <c r="AX94" s="149" t="e">
        <f aca="false">([1]!table2[[#this row],[object_a_._head_time]]/([1]!table2[[#this row],[object_a_._head_time]]+[1]!table2[[#this row],[object_b_._head_time]]))*100</f>
        <v>#N/A</v>
      </c>
      <c r="AY94" s="82" t="s">
        <v>79</v>
      </c>
      <c r="AZ94" s="82" t="s">
        <v>131</v>
      </c>
      <c r="BA94" s="82" t="s">
        <v>93</v>
      </c>
      <c r="BB94" s="83" t="n">
        <v>140</v>
      </c>
      <c r="BC94" s="84" t="n">
        <v>4.66666666666667</v>
      </c>
      <c r="BD94" s="85" t="s">
        <v>80</v>
      </c>
      <c r="BE94" s="82" t="n">
        <v>7</v>
      </c>
      <c r="BF94" s="86"/>
    </row>
    <row r="95" customFormat="false" ht="12" hidden="false" customHeight="true" outlineLevel="0" collapsed="false">
      <c r="A95" s="144" t="n">
        <v>25</v>
      </c>
      <c r="B95" s="145" t="s">
        <v>144</v>
      </c>
      <c r="C95" s="145" t="s">
        <v>224</v>
      </c>
      <c r="D95" s="145" t="s">
        <v>70</v>
      </c>
      <c r="E95" s="145" t="s">
        <v>377</v>
      </c>
      <c r="F95" s="145" t="s">
        <v>409</v>
      </c>
      <c r="G95" s="145" t="s">
        <v>411</v>
      </c>
      <c r="H95" s="146" t="n">
        <v>300</v>
      </c>
      <c r="I95" s="147" t="n">
        <v>9.755</v>
      </c>
      <c r="J95" s="147" t="n">
        <v>0.033</v>
      </c>
      <c r="K95" s="147" t="n">
        <v>0.271</v>
      </c>
      <c r="L95" s="146" t="n">
        <v>46.8</v>
      </c>
      <c r="M95" s="148" t="n">
        <v>13</v>
      </c>
      <c r="N95" s="146" t="n">
        <v>17.1</v>
      </c>
      <c r="O95" s="147" t="n">
        <v>0.574</v>
      </c>
      <c r="P95" s="147" t="n">
        <v>0.034</v>
      </c>
      <c r="Q95" s="147" t="n">
        <v>0.236</v>
      </c>
      <c r="R95" s="146" t="n">
        <v>4.2</v>
      </c>
      <c r="S95" s="148" t="n">
        <v>1266</v>
      </c>
      <c r="T95" s="146" t="n">
        <v>0</v>
      </c>
      <c r="U95" s="146" t="n">
        <v>1.4</v>
      </c>
      <c r="V95" s="148" t="n">
        <v>18</v>
      </c>
      <c r="W95" s="146" t="n">
        <v>25.4</v>
      </c>
      <c r="X95" s="147" t="n">
        <v>0.556</v>
      </c>
      <c r="Y95" s="147" t="n">
        <v>0.022</v>
      </c>
      <c r="Z95" s="147" t="n">
        <v>0.255</v>
      </c>
      <c r="AA95" s="146" t="n">
        <v>0.8</v>
      </c>
      <c r="AB95" s="148" t="n">
        <v>1892</v>
      </c>
      <c r="AC95" s="146" t="n">
        <v>1.7</v>
      </c>
      <c r="AD95" s="146" t="n">
        <v>5.7</v>
      </c>
      <c r="AE95" s="148" t="n">
        <v>19</v>
      </c>
      <c r="AF95" s="146" t="n">
        <v>31.4</v>
      </c>
      <c r="AG95" s="147" t="n">
        <v>0.897</v>
      </c>
      <c r="AH95" s="147" t="n">
        <v>0.029</v>
      </c>
      <c r="AI95" s="146" t="n">
        <v>0.8</v>
      </c>
      <c r="AJ95" s="148" t="n">
        <v>19</v>
      </c>
      <c r="AK95" s="146" t="n">
        <v>268.6</v>
      </c>
      <c r="AL95" s="147" t="n">
        <v>8.858</v>
      </c>
      <c r="AM95" s="147" t="n">
        <v>0.033</v>
      </c>
      <c r="AN95" s="146" t="n">
        <v>46</v>
      </c>
      <c r="AO95" s="78" t="n">
        <f aca="false">Table1[[#This Row],[Inside_._time]]/Table1[[#This Row],[Duration]]</f>
        <v>0.104666666666667</v>
      </c>
      <c r="AP95" s="78" t="n">
        <f aca="false">Table1[[#This Row],[Outside_._time]]/Table1[[#This Row],[Duration]]</f>
        <v>0.895333333333333</v>
      </c>
      <c r="AQ95" s="78" t="n">
        <f aca="false">Table1[[#This Row],[Inside_._distance]]/Table1[[#This Row],[Distance]]</f>
        <v>0.0919528446950282</v>
      </c>
      <c r="AR95" s="78" t="n">
        <f aca="false">Table1[[#This Row],[Outside_._distance]]/Table1[[#This Row],[Distance]]</f>
        <v>0.908047155304972</v>
      </c>
      <c r="AS95" s="149" t="e">
        <f aca="false">[1]!table2[[#this row],[object_a_._head_time]]+[1]!table2[[#this row],[object_b_._head_time]]</f>
        <v>#N/A</v>
      </c>
      <c r="AT95" s="149" t="e">
        <f aca="false">[1]!table2[[#this row],[object_a_._head_time]]+[1]!table2[[#this row],[object_b_._head_time]]</f>
        <v>#N/A</v>
      </c>
      <c r="AU95" s="149" t="e">
        <f aca="false">[1]!table2[[#this row],[object_b_._head_time]]-[1]!table2[[#this row],[object_a_._head_time]]</f>
        <v>#N/A</v>
      </c>
      <c r="AV95" s="150" t="e">
        <f aca="false">[1]!table2[[#this row],[d1: absolute discrimination measure (D1 = B2- A2)]]/[1]!table2[[#this row],[e2: total exploration time in second trial E2 ( E2 = A2 + B2)]]</f>
        <v>#N/A</v>
      </c>
      <c r="AW95" s="149" t="e">
        <f aca="false">(W95/AT95)*100</f>
        <v>#N/A</v>
      </c>
      <c r="AX95" s="149" t="e">
        <f aca="false">([1]!table2[[#this row],[object_a_._head_time]]/([1]!table2[[#this row],[object_a_._head_time]]+[1]!table2[[#this row],[object_b_._head_time]]))*100</f>
        <v>#N/A</v>
      </c>
      <c r="AY95" s="82" t="s">
        <v>79</v>
      </c>
      <c r="AZ95" s="82" t="s">
        <v>105</v>
      </c>
      <c r="BA95" s="82" t="s">
        <v>66</v>
      </c>
      <c r="BB95" s="83" t="n">
        <v>140</v>
      </c>
      <c r="BC95" s="84" t="n">
        <v>4.66666666666667</v>
      </c>
      <c r="BD95" s="85" t="s">
        <v>67</v>
      </c>
      <c r="BE95" s="82" t="n">
        <v>6</v>
      </c>
      <c r="BF95" s="86"/>
    </row>
    <row r="96" customFormat="false" ht="12" hidden="false" customHeight="true" outlineLevel="0" collapsed="false">
      <c r="A96" s="144" t="n">
        <v>27</v>
      </c>
      <c r="B96" s="145" t="s">
        <v>149</v>
      </c>
      <c r="C96" s="145" t="s">
        <v>224</v>
      </c>
      <c r="D96" s="145" t="s">
        <v>73</v>
      </c>
      <c r="E96" s="145" t="s">
        <v>377</v>
      </c>
      <c r="F96" s="145" t="s">
        <v>409</v>
      </c>
      <c r="G96" s="145" t="s">
        <v>412</v>
      </c>
      <c r="H96" s="146" t="n">
        <v>300</v>
      </c>
      <c r="I96" s="147" t="n">
        <v>5.574</v>
      </c>
      <c r="J96" s="147" t="n">
        <v>0.019</v>
      </c>
      <c r="K96" s="147" t="n">
        <v>0.245</v>
      </c>
      <c r="L96" s="146" t="n">
        <v>43.8</v>
      </c>
      <c r="M96" s="148" t="n">
        <v>11</v>
      </c>
      <c r="N96" s="146" t="n">
        <v>6.5</v>
      </c>
      <c r="O96" s="147" t="n">
        <v>0.478</v>
      </c>
      <c r="P96" s="147" t="n">
        <v>0.073</v>
      </c>
      <c r="Q96" s="147" t="n">
        <v>0.172</v>
      </c>
      <c r="R96" s="146" t="n">
        <v>1.6</v>
      </c>
      <c r="S96" s="148" t="n">
        <v>819</v>
      </c>
      <c r="T96" s="146" t="n">
        <v>0</v>
      </c>
      <c r="U96" s="146" t="n">
        <v>1.6</v>
      </c>
      <c r="V96" s="148" t="n">
        <v>16</v>
      </c>
      <c r="W96" s="146" t="n">
        <v>71.1</v>
      </c>
      <c r="X96" s="147" t="n">
        <v>0.558</v>
      </c>
      <c r="Y96" s="147" t="n">
        <v>0.008</v>
      </c>
      <c r="Z96" s="147" t="n">
        <v>0.181</v>
      </c>
      <c r="AA96" s="146" t="n">
        <v>22.4</v>
      </c>
      <c r="AB96" s="148" t="n">
        <v>3537</v>
      </c>
      <c r="AC96" s="146" t="n">
        <v>17.4</v>
      </c>
      <c r="AD96" s="146" t="n">
        <v>6.9</v>
      </c>
      <c r="AE96" s="148" t="n">
        <v>9</v>
      </c>
      <c r="AF96" s="146" t="n">
        <v>84</v>
      </c>
      <c r="AG96" s="147" t="n">
        <v>1.107</v>
      </c>
      <c r="AH96" s="147" t="n">
        <v>0.013</v>
      </c>
      <c r="AI96" s="146" t="n">
        <v>12.6</v>
      </c>
      <c r="AJ96" s="148" t="n">
        <v>8</v>
      </c>
      <c r="AK96" s="146" t="n">
        <v>216</v>
      </c>
      <c r="AL96" s="147" t="n">
        <v>4.467</v>
      </c>
      <c r="AM96" s="147" t="n">
        <v>0.021</v>
      </c>
      <c r="AN96" s="146" t="n">
        <v>31.2</v>
      </c>
      <c r="AO96" s="78" t="n">
        <f aca="false">Table1[[#This Row],[Inside_._time]]/Table1[[#This Row],[Duration]]</f>
        <v>0.28</v>
      </c>
      <c r="AP96" s="78" t="n">
        <f aca="false">Table1[[#This Row],[Outside_._time]]/Table1[[#This Row],[Duration]]</f>
        <v>0.72</v>
      </c>
      <c r="AQ96" s="78" t="n">
        <f aca="false">Table1[[#This Row],[Inside_._distance]]/Table1[[#This Row],[Distance]]</f>
        <v>0.198600645855759</v>
      </c>
      <c r="AR96" s="78" t="n">
        <f aca="false">Table1[[#This Row],[Outside_._distance]]/Table1[[#This Row],[Distance]]</f>
        <v>0.801399354144241</v>
      </c>
      <c r="AS96" s="149" t="e">
        <f aca="false">[1]!table2[[#this row],[object_a_._head_time]]+[1]!table2[[#this row],[object_b_._head_time]]</f>
        <v>#N/A</v>
      </c>
      <c r="AT96" s="149" t="e">
        <f aca="false">[1]!table2[[#this row],[object_a_._head_time]]+[1]!table2[[#this row],[object_b_._head_time]]</f>
        <v>#N/A</v>
      </c>
      <c r="AU96" s="149" t="e">
        <f aca="false">[1]!table2[[#this row],[object_b_._head_time]]-[1]!table2[[#this row],[object_a_._head_time]]</f>
        <v>#N/A</v>
      </c>
      <c r="AV96" s="150" t="e">
        <f aca="false">[1]!table2[[#this row],[d1: absolute discrimination measure (D1 = B2- A2)]]/[1]!table2[[#this row],[e2: total exploration time in second trial E2 ( E2 = A2 + B2)]]</f>
        <v>#N/A</v>
      </c>
      <c r="AW96" s="149" t="e">
        <f aca="false">(W96/AT96)*100</f>
        <v>#N/A</v>
      </c>
      <c r="AX96" s="149" t="e">
        <f aca="false">([1]!table2[[#this row],[object_a_._head_time]]/([1]!table2[[#this row],[object_a_._head_time]]+[1]!table2[[#this row],[object_b_._head_time]]))*100</f>
        <v>#N/A</v>
      </c>
      <c r="AY96" s="82" t="s">
        <v>64</v>
      </c>
      <c r="AZ96" s="82" t="s">
        <v>123</v>
      </c>
      <c r="BA96" s="82" t="s">
        <v>66</v>
      </c>
      <c r="BB96" s="83" t="n">
        <v>141</v>
      </c>
      <c r="BC96" s="84" t="n">
        <v>4.7</v>
      </c>
      <c r="BD96" s="85" t="s">
        <v>80</v>
      </c>
      <c r="BE96" s="82" t="n">
        <v>1</v>
      </c>
      <c r="BF96" s="86" t="s">
        <v>94</v>
      </c>
    </row>
    <row r="97" customFormat="false" ht="12" hidden="false" customHeight="true" outlineLevel="0" collapsed="false">
      <c r="A97" s="144" t="n">
        <v>28</v>
      </c>
      <c r="B97" s="145" t="s">
        <v>154</v>
      </c>
      <c r="C97" s="145" t="s">
        <v>224</v>
      </c>
      <c r="D97" s="145" t="s">
        <v>77</v>
      </c>
      <c r="E97" s="145" t="s">
        <v>377</v>
      </c>
      <c r="F97" s="145" t="s">
        <v>413</v>
      </c>
      <c r="G97" s="145" t="s">
        <v>414</v>
      </c>
      <c r="H97" s="146" t="n">
        <v>300</v>
      </c>
      <c r="I97" s="147" t="n">
        <v>5.125</v>
      </c>
      <c r="J97" s="147" t="n">
        <v>0.017</v>
      </c>
      <c r="K97" s="147" t="n">
        <v>0.224</v>
      </c>
      <c r="L97" s="146" t="n">
        <v>94.4</v>
      </c>
      <c r="M97" s="148" t="n">
        <v>15</v>
      </c>
      <c r="N97" s="146" t="n">
        <v>8.9</v>
      </c>
      <c r="O97" s="147" t="n">
        <v>0.48</v>
      </c>
      <c r="P97" s="147" t="n">
        <v>0.054</v>
      </c>
      <c r="Q97" s="147" t="n">
        <v>0.188</v>
      </c>
      <c r="R97" s="146" t="n">
        <v>2.6</v>
      </c>
      <c r="S97" s="148" t="n">
        <v>717</v>
      </c>
      <c r="T97" s="146" t="n">
        <v>0</v>
      </c>
      <c r="U97" s="146" t="n">
        <v>3.7</v>
      </c>
      <c r="V97" s="148" t="n">
        <v>2</v>
      </c>
      <c r="W97" s="146" t="n">
        <v>0.7</v>
      </c>
      <c r="X97" s="147" t="n">
        <v>0.154</v>
      </c>
      <c r="Y97" s="147" t="n">
        <v>0.224</v>
      </c>
      <c r="Z97" s="147" t="n">
        <v>0.224</v>
      </c>
      <c r="AA97" s="146" t="n">
        <v>0</v>
      </c>
      <c r="AB97" s="148" t="n">
        <v>25</v>
      </c>
      <c r="AC97" s="146" t="n">
        <v>0</v>
      </c>
      <c r="AD97" s="146" t="n">
        <v>0.3</v>
      </c>
      <c r="AE97" s="148" t="n">
        <v>10</v>
      </c>
      <c r="AF97" s="146" t="n">
        <v>13.1</v>
      </c>
      <c r="AG97" s="147" t="n">
        <v>0.786</v>
      </c>
      <c r="AH97" s="147" t="n">
        <v>0.06</v>
      </c>
      <c r="AI97" s="146" t="n">
        <v>0</v>
      </c>
      <c r="AJ97" s="148" t="n">
        <v>10</v>
      </c>
      <c r="AK97" s="146" t="n">
        <v>286.9</v>
      </c>
      <c r="AL97" s="147" t="n">
        <v>4.339</v>
      </c>
      <c r="AM97" s="147" t="n">
        <v>0.015</v>
      </c>
      <c r="AN97" s="146" t="n">
        <v>94.4</v>
      </c>
      <c r="AO97" s="78" t="n">
        <f aca="false">Table1[[#This Row],[Inside_._time]]/Table1[[#This Row],[Duration]]</f>
        <v>0.0436666666666667</v>
      </c>
      <c r="AP97" s="78" t="n">
        <f aca="false">Table1[[#This Row],[Outside_._time]]/Table1[[#This Row],[Duration]]</f>
        <v>0.956333333333333</v>
      </c>
      <c r="AQ97" s="78" t="n">
        <f aca="false">Table1[[#This Row],[Inside_._distance]]/Table1[[#This Row],[Distance]]</f>
        <v>0.153365853658537</v>
      </c>
      <c r="AR97" s="78" t="n">
        <f aca="false">Table1[[#This Row],[Outside_._distance]]/Table1[[#This Row],[Distance]]</f>
        <v>0.846634146341463</v>
      </c>
      <c r="AS97" s="149" t="e">
        <f aca="false">[1]!table2[[#this row],[object_a_._head_time]]+[1]!table2[[#this row],[object_b_._head_time]]</f>
        <v>#N/A</v>
      </c>
      <c r="AT97" s="149" t="e">
        <f aca="false">[1]!table2[[#this row],[object_a_._head_time]]+[1]!table2[[#this row],[object_b_._head_time]]</f>
        <v>#N/A</v>
      </c>
      <c r="AU97" s="149" t="e">
        <f aca="false">[1]!table2[[#this row],[object_b_._head_time]]-[1]!table2[[#this row],[object_a_._head_time]]</f>
        <v>#N/A</v>
      </c>
      <c r="AV97" s="150" t="e">
        <f aca="false">[1]!table2[[#this row],[d1: absolute discrimination measure (D1 = B2- A2)]]/[1]!table2[[#this row],[e2: total exploration time in second trial E2 ( E2 = A2 + B2)]]</f>
        <v>#N/A</v>
      </c>
      <c r="AW97" s="149" t="e">
        <f aca="false">(W97/AT97)*100</f>
        <v>#N/A</v>
      </c>
      <c r="AX97" s="149" t="e">
        <f aca="false">([1]!table2[[#this row],[object_a_._head_time]]/([1]!table2[[#this row],[object_a_._head_time]]+[1]!table2[[#this row],[object_b_._head_time]]))*100</f>
        <v>#N/A</v>
      </c>
      <c r="AY97" s="82" t="s">
        <v>79</v>
      </c>
      <c r="AZ97" s="82" t="s">
        <v>123</v>
      </c>
      <c r="BA97" s="82" t="s">
        <v>93</v>
      </c>
      <c r="BB97" s="83" t="n">
        <v>121</v>
      </c>
      <c r="BC97" s="84" t="n">
        <v>4.03333333333333</v>
      </c>
      <c r="BD97" s="85" t="s">
        <v>80</v>
      </c>
      <c r="BE97" s="82" t="n">
        <v>3</v>
      </c>
      <c r="BF97" s="86"/>
    </row>
    <row r="98" customFormat="false" ht="12" hidden="false" customHeight="true" outlineLevel="0" collapsed="false">
      <c r="A98" s="144" t="n">
        <v>30</v>
      </c>
      <c r="B98" s="145" t="s">
        <v>157</v>
      </c>
      <c r="C98" s="145" t="s">
        <v>224</v>
      </c>
      <c r="D98" s="145" t="s">
        <v>60</v>
      </c>
      <c r="E98" s="145" t="s">
        <v>377</v>
      </c>
      <c r="F98" s="145" t="s">
        <v>415</v>
      </c>
      <c r="G98" s="145" t="s">
        <v>416</v>
      </c>
      <c r="H98" s="146" t="n">
        <v>300</v>
      </c>
      <c r="I98" s="147" t="n">
        <v>6.356</v>
      </c>
      <c r="J98" s="147" t="n">
        <v>0.021</v>
      </c>
      <c r="K98" s="147" t="n">
        <v>0.24</v>
      </c>
      <c r="L98" s="146" t="n">
        <v>74.9</v>
      </c>
      <c r="M98" s="148" t="n">
        <v>7</v>
      </c>
      <c r="N98" s="146" t="n">
        <v>28</v>
      </c>
      <c r="O98" s="147" t="n">
        <v>0.425</v>
      </c>
      <c r="P98" s="147" t="n">
        <v>0.015</v>
      </c>
      <c r="Q98" s="147" t="n">
        <v>0.147</v>
      </c>
      <c r="R98" s="146" t="n">
        <v>13.3</v>
      </c>
      <c r="S98" s="148" t="n">
        <v>1591</v>
      </c>
      <c r="T98" s="146" t="n">
        <v>5.8</v>
      </c>
      <c r="U98" s="146" t="n">
        <v>3.5</v>
      </c>
      <c r="V98" s="148" t="n">
        <v>5</v>
      </c>
      <c r="W98" s="146" t="n">
        <v>6.1</v>
      </c>
      <c r="X98" s="147" t="n">
        <v>0.177</v>
      </c>
      <c r="Y98" s="147" t="n">
        <v>0.029</v>
      </c>
      <c r="Z98" s="147" t="n">
        <v>0.14</v>
      </c>
      <c r="AA98" s="146" t="n">
        <v>0.8</v>
      </c>
      <c r="AB98" s="148" t="n">
        <v>656</v>
      </c>
      <c r="AC98" s="146" t="n">
        <v>0</v>
      </c>
      <c r="AD98" s="146" t="n">
        <v>0.3</v>
      </c>
      <c r="AE98" s="148" t="n">
        <v>6</v>
      </c>
      <c r="AF98" s="146" t="n">
        <v>52.2</v>
      </c>
      <c r="AG98" s="147" t="n">
        <v>0.799</v>
      </c>
      <c r="AH98" s="147" t="n">
        <v>0.015</v>
      </c>
      <c r="AI98" s="146" t="n">
        <v>6.5</v>
      </c>
      <c r="AJ98" s="148" t="n">
        <v>6</v>
      </c>
      <c r="AK98" s="146" t="n">
        <v>247.8</v>
      </c>
      <c r="AL98" s="147" t="n">
        <v>5.557</v>
      </c>
      <c r="AM98" s="147" t="n">
        <v>0.022</v>
      </c>
      <c r="AN98" s="146" t="n">
        <v>68.4</v>
      </c>
      <c r="AO98" s="78" t="n">
        <f aca="false">Table1[[#This Row],[Inside_._time]]/Table1[[#This Row],[Duration]]</f>
        <v>0.174</v>
      </c>
      <c r="AP98" s="78" t="n">
        <f aca="false">Table1[[#This Row],[Outside_._time]]/Table1[[#This Row],[Duration]]</f>
        <v>0.826</v>
      </c>
      <c r="AQ98" s="78" t="n">
        <f aca="false">Table1[[#This Row],[Inside_._distance]]/Table1[[#This Row],[Distance]]</f>
        <v>0.125707992448081</v>
      </c>
      <c r="AR98" s="78" t="n">
        <f aca="false">Table1[[#This Row],[Outside_._distance]]/Table1[[#This Row],[Distance]]</f>
        <v>0.874292007551919</v>
      </c>
      <c r="AS98" s="149" t="e">
        <f aca="false">[1]!table2[[#this row],[object_a_._head_time]]+[1]!table2[[#this row],[object_b_._head_time]]</f>
        <v>#N/A</v>
      </c>
      <c r="AT98" s="149" t="e">
        <f aca="false">[1]!table2[[#this row],[object_a_._head_time]]+[1]!table2[[#this row],[object_b_._head_time]]</f>
        <v>#N/A</v>
      </c>
      <c r="AU98" s="149" t="e">
        <f aca="false">[1]!table2[[#this row],[object_b_._head_time]]-[1]!table2[[#this row],[object_a_._head_time]]</f>
        <v>#N/A</v>
      </c>
      <c r="AV98" s="150" t="e">
        <f aca="false">[1]!table2[[#this row],[d1: absolute discrimination measure (D1 = B2- A2)]]/[1]!table2[[#this row],[e2: total exploration time in second trial E2 ( E2 = A2 + B2)]]</f>
        <v>#N/A</v>
      </c>
      <c r="AW98" s="149" t="e">
        <f aca="false">(W98/AT98)*100</f>
        <v>#N/A</v>
      </c>
      <c r="AX98" s="149" t="e">
        <f aca="false">([1]!table2[[#this row],[object_a_._head_time]]/([1]!table2[[#this row],[object_a_._head_time]]+[1]!table2[[#this row],[object_b_._head_time]]))*100</f>
        <v>#N/A</v>
      </c>
      <c r="AY98" s="82" t="s">
        <v>79</v>
      </c>
      <c r="AZ98" s="82" t="s">
        <v>123</v>
      </c>
      <c r="BA98" s="82" t="s">
        <v>93</v>
      </c>
      <c r="BB98" s="83" t="n">
        <v>121</v>
      </c>
      <c r="BC98" s="84" t="n">
        <v>4.03333333333333</v>
      </c>
      <c r="BD98" s="85" t="s">
        <v>67</v>
      </c>
      <c r="BE98" s="82" t="n">
        <v>4</v>
      </c>
      <c r="BF98" s="86"/>
    </row>
    <row r="99" customFormat="false" ht="12" hidden="false" customHeight="true" outlineLevel="0" collapsed="false">
      <c r="A99" s="144" t="n">
        <v>29</v>
      </c>
      <c r="B99" s="145" t="s">
        <v>159</v>
      </c>
      <c r="C99" s="145" t="s">
        <v>224</v>
      </c>
      <c r="D99" s="145" t="s">
        <v>70</v>
      </c>
      <c r="E99" s="145" t="s">
        <v>377</v>
      </c>
      <c r="F99" s="145" t="s">
        <v>417</v>
      </c>
      <c r="G99" s="145" t="s">
        <v>418</v>
      </c>
      <c r="H99" s="146" t="n">
        <v>300</v>
      </c>
      <c r="I99" s="147" t="n">
        <v>10.993</v>
      </c>
      <c r="J99" s="147" t="n">
        <v>0.037</v>
      </c>
      <c r="K99" s="147" t="n">
        <v>0.358</v>
      </c>
      <c r="L99" s="146" t="n">
        <v>51.3</v>
      </c>
      <c r="M99" s="148" t="n">
        <v>30</v>
      </c>
      <c r="N99" s="146" t="n">
        <v>35.8</v>
      </c>
      <c r="O99" s="147" t="n">
        <v>1.529</v>
      </c>
      <c r="P99" s="147" t="n">
        <v>0.043</v>
      </c>
      <c r="Q99" s="147" t="n">
        <v>0.309</v>
      </c>
      <c r="R99" s="146" t="n">
        <v>9.6</v>
      </c>
      <c r="S99" s="148" t="n">
        <v>1990</v>
      </c>
      <c r="T99" s="146" t="n">
        <v>8</v>
      </c>
      <c r="U99" s="146" t="n">
        <v>7.6</v>
      </c>
      <c r="V99" s="148" t="n">
        <v>24</v>
      </c>
      <c r="W99" s="146" t="n">
        <v>14.3</v>
      </c>
      <c r="X99" s="147" t="n">
        <v>0.991</v>
      </c>
      <c r="Y99" s="147" t="n">
        <v>0.069</v>
      </c>
      <c r="Z99" s="147" t="n">
        <v>0.358</v>
      </c>
      <c r="AA99" s="146" t="n">
        <v>5.6</v>
      </c>
      <c r="AB99" s="148" t="n">
        <v>1236</v>
      </c>
      <c r="AC99" s="146" t="n">
        <v>0</v>
      </c>
      <c r="AD99" s="146" t="n">
        <v>1.9</v>
      </c>
      <c r="AE99" s="148" t="n">
        <v>16</v>
      </c>
      <c r="AF99" s="146" t="n">
        <v>28.4</v>
      </c>
      <c r="AG99" s="147" t="n">
        <v>1.775</v>
      </c>
      <c r="AH99" s="147" t="n">
        <v>0.062</v>
      </c>
      <c r="AI99" s="146" t="n">
        <v>0</v>
      </c>
      <c r="AJ99" s="148" t="n">
        <v>16</v>
      </c>
      <c r="AK99" s="146" t="n">
        <v>271.6</v>
      </c>
      <c r="AL99" s="147" t="n">
        <v>9.218</v>
      </c>
      <c r="AM99" s="147" t="n">
        <v>0.034</v>
      </c>
      <c r="AN99" s="146" t="n">
        <v>51.2</v>
      </c>
      <c r="AO99" s="78" t="n">
        <f aca="false">Table1[[#This Row],[Inside_._time]]/Table1[[#This Row],[Duration]]</f>
        <v>0.0946666666666667</v>
      </c>
      <c r="AP99" s="78" t="n">
        <f aca="false">Table1[[#This Row],[Outside_._time]]/Table1[[#This Row],[Duration]]</f>
        <v>0.905333333333333</v>
      </c>
      <c r="AQ99" s="78" t="n">
        <f aca="false">Table1[[#This Row],[Inside_._distance]]/Table1[[#This Row],[Distance]]</f>
        <v>0.161466387701264</v>
      </c>
      <c r="AR99" s="78" t="n">
        <f aca="false">Table1[[#This Row],[Outside_._distance]]/Table1[[#This Row],[Distance]]</f>
        <v>0.838533612298736</v>
      </c>
      <c r="AS99" s="149" t="e">
        <f aca="false">[1]!table2[[#this row],[object_a_._head_time]]+[1]!table2[[#this row],[object_b_._head_time]]</f>
        <v>#N/A</v>
      </c>
      <c r="AT99" s="149" t="e">
        <f aca="false">[1]!table2[[#this row],[object_a_._head_time]]+[1]!table2[[#this row],[object_b_._head_time]]</f>
        <v>#N/A</v>
      </c>
      <c r="AU99" s="149" t="e">
        <f aca="false">[1]!table2[[#this row],[object_b_._head_time]]-[1]!table2[[#this row],[object_a_._head_time]]</f>
        <v>#N/A</v>
      </c>
      <c r="AV99" s="150" t="e">
        <f aca="false">[1]!table2[[#this row],[d1: absolute discrimination measure (D1 = B2- A2)]]/[1]!table2[[#this row],[e2: total exploration time in second trial E2 ( E2 = A2 + B2)]]</f>
        <v>#N/A</v>
      </c>
      <c r="AW99" s="149" t="e">
        <f aca="false">(W99/AT99)*100</f>
        <v>#N/A</v>
      </c>
      <c r="AX99" s="149" t="e">
        <f aca="false">([1]!table2[[#this row],[object_a_._head_time]]/([1]!table2[[#this row],[object_a_._head_time]]+[1]!table2[[#this row],[object_b_._head_time]]))*100</f>
        <v>#N/A</v>
      </c>
      <c r="AY99" s="82" t="s">
        <v>64</v>
      </c>
      <c r="AZ99" s="82" t="s">
        <v>123</v>
      </c>
      <c r="BA99" s="82" t="s">
        <v>66</v>
      </c>
      <c r="BB99" s="83" t="n">
        <v>119</v>
      </c>
      <c r="BC99" s="84" t="n">
        <v>3.96666666666667</v>
      </c>
      <c r="BD99" s="85" t="s">
        <v>67</v>
      </c>
      <c r="BE99" s="82" t="n">
        <v>2</v>
      </c>
      <c r="BF99" s="86"/>
    </row>
    <row r="100" customFormat="false" ht="12" hidden="false" customHeight="true" outlineLevel="0" collapsed="false">
      <c r="A100" s="144" t="n">
        <v>32</v>
      </c>
      <c r="B100" s="145" t="s">
        <v>162</v>
      </c>
      <c r="C100" s="145" t="s">
        <v>224</v>
      </c>
      <c r="D100" s="145" t="s">
        <v>73</v>
      </c>
      <c r="E100" s="145" t="s">
        <v>377</v>
      </c>
      <c r="F100" s="145" t="s">
        <v>415</v>
      </c>
      <c r="G100" s="145" t="s">
        <v>419</v>
      </c>
      <c r="H100" s="146" t="n">
        <v>300</v>
      </c>
      <c r="I100" s="147" t="n">
        <v>4.024</v>
      </c>
      <c r="J100" s="147" t="n">
        <v>0.013</v>
      </c>
      <c r="K100" s="147" t="n">
        <v>0.22</v>
      </c>
      <c r="L100" s="146" t="n">
        <v>141.6</v>
      </c>
      <c r="M100" s="148" t="n">
        <v>8</v>
      </c>
      <c r="N100" s="146" t="n">
        <v>23.4</v>
      </c>
      <c r="O100" s="147" t="n">
        <v>0.213</v>
      </c>
      <c r="P100" s="147" t="n">
        <v>0.009</v>
      </c>
      <c r="Q100" s="147" t="n">
        <v>0.214</v>
      </c>
      <c r="R100" s="146" t="n">
        <v>2.4</v>
      </c>
      <c r="S100" s="148" t="n">
        <v>991</v>
      </c>
      <c r="T100" s="146" t="n">
        <v>2.2</v>
      </c>
      <c r="U100" s="146" t="n">
        <v>6.6</v>
      </c>
      <c r="V100" s="148" t="n">
        <v>36</v>
      </c>
      <c r="W100" s="146" t="n">
        <v>121.7</v>
      </c>
      <c r="X100" s="147" t="n">
        <v>0.327</v>
      </c>
      <c r="Y100" s="147" t="n">
        <v>0.003</v>
      </c>
      <c r="Z100" s="147" t="n">
        <v>0.16</v>
      </c>
      <c r="AA100" s="146" t="n">
        <v>79.2</v>
      </c>
      <c r="AB100" s="148" t="n">
        <v>4539</v>
      </c>
      <c r="AC100" s="146" t="n">
        <v>85.9</v>
      </c>
      <c r="AD100" s="146" t="n">
        <v>111.9</v>
      </c>
      <c r="AE100" s="148" t="n">
        <v>2</v>
      </c>
      <c r="AF100" s="146" t="n">
        <v>6.7</v>
      </c>
      <c r="AG100" s="147" t="n">
        <v>0.203</v>
      </c>
      <c r="AH100" s="147" t="n">
        <v>0.03</v>
      </c>
      <c r="AI100" s="146" t="n">
        <v>1.2</v>
      </c>
      <c r="AJ100" s="148" t="n">
        <v>2</v>
      </c>
      <c r="AK100" s="146" t="n">
        <v>293.3</v>
      </c>
      <c r="AL100" s="147" t="n">
        <v>3.821</v>
      </c>
      <c r="AM100" s="147" t="n">
        <v>0.013</v>
      </c>
      <c r="AN100" s="146" t="n">
        <v>140.4</v>
      </c>
      <c r="AO100" s="78" t="n">
        <f aca="false">Table1[[#This Row],[Inside_._time]]/Table1[[#This Row],[Duration]]</f>
        <v>0.0223333333333333</v>
      </c>
      <c r="AP100" s="78" t="n">
        <f aca="false">Table1[[#This Row],[Outside_._time]]/Table1[[#This Row],[Duration]]</f>
        <v>0.977666666666667</v>
      </c>
      <c r="AQ100" s="78" t="n">
        <f aca="false">Table1[[#This Row],[Inside_._distance]]/Table1[[#This Row],[Distance]]</f>
        <v>0.0504473161033797</v>
      </c>
      <c r="AR100" s="78" t="n">
        <f aca="false">Table1[[#This Row],[Outside_._distance]]/Table1[[#This Row],[Distance]]</f>
        <v>0.94955268389662</v>
      </c>
      <c r="AS100" s="149" t="e">
        <f aca="false">[1]!table2[[#this row],[object_a_._head_time]]+[1]!table2[[#this row],[object_b_._head_time]]</f>
        <v>#N/A</v>
      </c>
      <c r="AT100" s="149" t="e">
        <f aca="false">[1]!table2[[#this row],[object_a_._head_time]]+[1]!table2[[#this row],[object_b_._head_time]]</f>
        <v>#N/A</v>
      </c>
      <c r="AU100" s="149" t="e">
        <f aca="false">[1]!table2[[#this row],[object_b_._head_time]]-[1]!table2[[#this row],[object_a_._head_time]]</f>
        <v>#N/A</v>
      </c>
      <c r="AV100" s="150" t="e">
        <f aca="false">[1]!table2[[#this row],[d1: absolute discrimination measure (D1 = B2- A2)]]/[1]!table2[[#this row],[e2: total exploration time in second trial E2 ( E2 = A2 + B2)]]</f>
        <v>#N/A</v>
      </c>
      <c r="AW100" s="149" t="e">
        <f aca="false">(W100/AT100)*100</f>
        <v>#N/A</v>
      </c>
      <c r="AX100" s="149" t="e">
        <f aca="false">([1]!table2[[#this row],[object_a_._head_time]]/([1]!table2[[#this row],[object_a_._head_time]]+[1]!table2[[#this row],[object_b_._head_time]]))*100</f>
        <v>#N/A</v>
      </c>
      <c r="AY100" s="82" t="s">
        <v>64</v>
      </c>
      <c r="AZ100" s="98" t="s">
        <v>119</v>
      </c>
      <c r="BA100" s="82" t="s">
        <v>66</v>
      </c>
      <c r="BB100" s="83" t="n">
        <v>119</v>
      </c>
      <c r="BC100" s="84" t="n">
        <v>3.96666666666667</v>
      </c>
      <c r="BD100" s="85" t="s">
        <v>67</v>
      </c>
      <c r="BE100" s="82" t="n">
        <v>6</v>
      </c>
      <c r="BF100" s="86"/>
    </row>
    <row r="101" customFormat="false" ht="12" hidden="false" customHeight="true" outlineLevel="0" collapsed="false">
      <c r="A101" s="144" t="n">
        <v>31</v>
      </c>
      <c r="B101" s="145" t="s">
        <v>164</v>
      </c>
      <c r="C101" s="145" t="s">
        <v>224</v>
      </c>
      <c r="D101" s="145" t="s">
        <v>77</v>
      </c>
      <c r="E101" s="145" t="s">
        <v>377</v>
      </c>
      <c r="F101" s="145" t="s">
        <v>415</v>
      </c>
      <c r="G101" s="145" t="s">
        <v>420</v>
      </c>
      <c r="H101" s="146" t="n">
        <v>300</v>
      </c>
      <c r="I101" s="147" t="n">
        <v>6.097</v>
      </c>
      <c r="J101" s="147" t="n">
        <v>0.02</v>
      </c>
      <c r="K101" s="147" t="n">
        <v>0.284</v>
      </c>
      <c r="L101" s="146" t="n">
        <v>128.8</v>
      </c>
      <c r="M101" s="148" t="n">
        <v>14</v>
      </c>
      <c r="N101" s="146" t="n">
        <v>19.8</v>
      </c>
      <c r="O101" s="147" t="n">
        <v>0.492</v>
      </c>
      <c r="P101" s="147" t="n">
        <v>0.025</v>
      </c>
      <c r="Q101" s="147" t="n">
        <v>0.19</v>
      </c>
      <c r="R101" s="146" t="n">
        <v>5.8</v>
      </c>
      <c r="S101" s="148" t="n">
        <v>1123</v>
      </c>
      <c r="T101" s="146" t="n">
        <v>9</v>
      </c>
      <c r="U101" s="146" t="n">
        <v>17.2</v>
      </c>
      <c r="V101" s="148" t="n">
        <v>4</v>
      </c>
      <c r="W101" s="146" t="n">
        <v>1.6</v>
      </c>
      <c r="X101" s="147" t="n">
        <v>0.238</v>
      </c>
      <c r="Y101" s="147" t="n">
        <v>0.15</v>
      </c>
      <c r="Z101" s="147" t="n">
        <v>0.209</v>
      </c>
      <c r="AA101" s="146" t="n">
        <v>0.1</v>
      </c>
      <c r="AB101" s="148" t="n">
        <v>90</v>
      </c>
      <c r="AC101" s="146" t="n">
        <v>0</v>
      </c>
      <c r="AD101" s="146" t="n">
        <v>0.3</v>
      </c>
      <c r="AE101" s="148" t="n">
        <v>4</v>
      </c>
      <c r="AF101" s="146" t="n">
        <v>40.6</v>
      </c>
      <c r="AG101" s="147" t="n">
        <v>0.522</v>
      </c>
      <c r="AH101" s="147" t="n">
        <v>0.013</v>
      </c>
      <c r="AI101" s="146" t="n">
        <v>11.1</v>
      </c>
      <c r="AJ101" s="148" t="n">
        <v>4</v>
      </c>
      <c r="AK101" s="146" t="n">
        <v>259.4</v>
      </c>
      <c r="AL101" s="147" t="n">
        <v>5.575</v>
      </c>
      <c r="AM101" s="147" t="n">
        <v>0.021</v>
      </c>
      <c r="AN101" s="146" t="n">
        <v>117.7</v>
      </c>
      <c r="AO101" s="78" t="n">
        <f aca="false">Table1[[#This Row],[Inside_._time]]/Table1[[#This Row],[Duration]]</f>
        <v>0.135333333333333</v>
      </c>
      <c r="AP101" s="78" t="n">
        <f aca="false">Table1[[#This Row],[Outside_._time]]/Table1[[#This Row],[Duration]]</f>
        <v>0.864666666666667</v>
      </c>
      <c r="AQ101" s="78" t="n">
        <f aca="false">Table1[[#This Row],[Inside_._distance]]/Table1[[#This Row],[Distance]]</f>
        <v>0.0856158766606528</v>
      </c>
      <c r="AR101" s="78" t="n">
        <f aca="false">Table1[[#This Row],[Outside_._distance]]/Table1[[#This Row],[Distance]]</f>
        <v>0.914384123339347</v>
      </c>
      <c r="AS101" s="149" t="e">
        <f aca="false">[1]!table2[[#this row],[object_a_._head_time]]+[1]!table2[[#this row],[object_b_._head_time]]</f>
        <v>#N/A</v>
      </c>
      <c r="AT101" s="149" t="e">
        <f aca="false">[1]!table2[[#this row],[object_a_._head_time]]+[1]!table2[[#this row],[object_b_._head_time]]</f>
        <v>#N/A</v>
      </c>
      <c r="AU101" s="149" t="e">
        <f aca="false">[1]!table2[[#this row],[object_b_._head_time]]-[1]!table2[[#this row],[object_a_._head_time]]</f>
        <v>#N/A</v>
      </c>
      <c r="AV101" s="150" t="e">
        <f aca="false">[1]!table2[[#this row],[d1: absolute discrimination measure (D1 = B2- A2)]]/[1]!table2[[#this row],[e2: total exploration time in second trial E2 ( E2 = A2 + B2)]]</f>
        <v>#N/A</v>
      </c>
      <c r="AW101" s="149" t="e">
        <f aca="false">(W101/AT101)*100</f>
        <v>#N/A</v>
      </c>
      <c r="AX101" s="149" t="e">
        <f aca="false">([1]!table2[[#this row],[object_a_._head_time]]/([1]!table2[[#this row],[object_a_._head_time]]+[1]!table2[[#this row],[object_b_._head_time]]))*100</f>
        <v>#N/A</v>
      </c>
      <c r="AY101" s="82" t="s">
        <v>64</v>
      </c>
      <c r="AZ101" s="82" t="s">
        <v>123</v>
      </c>
      <c r="BA101" s="82" t="s">
        <v>93</v>
      </c>
      <c r="BB101" s="83" t="n">
        <v>119</v>
      </c>
      <c r="BC101" s="84" t="n">
        <v>3.96666666666667</v>
      </c>
      <c r="BD101" s="85" t="s">
        <v>80</v>
      </c>
      <c r="BE101" s="82" t="n">
        <v>3</v>
      </c>
      <c r="BF101" s="86"/>
    </row>
    <row r="102" customFormat="false" ht="12" hidden="false" customHeight="true" outlineLevel="0" collapsed="false">
      <c r="A102" s="144" t="n">
        <v>34</v>
      </c>
      <c r="B102" s="145" t="s">
        <v>166</v>
      </c>
      <c r="C102" s="145" t="s">
        <v>224</v>
      </c>
      <c r="D102" s="145" t="s">
        <v>60</v>
      </c>
      <c r="E102" s="145" t="s">
        <v>377</v>
      </c>
      <c r="F102" s="145" t="s">
        <v>173</v>
      </c>
      <c r="G102" s="145" t="s">
        <v>421</v>
      </c>
      <c r="H102" s="146" t="n">
        <v>300</v>
      </c>
      <c r="I102" s="147" t="n">
        <v>7.113</v>
      </c>
      <c r="J102" s="147" t="n">
        <v>0.024</v>
      </c>
      <c r="K102" s="147" t="n">
        <v>0.231</v>
      </c>
      <c r="L102" s="146" t="n">
        <v>35.6</v>
      </c>
      <c r="M102" s="148" t="n">
        <v>18</v>
      </c>
      <c r="N102" s="146" t="n">
        <v>28.2</v>
      </c>
      <c r="O102" s="147" t="n">
        <v>0.463</v>
      </c>
      <c r="P102" s="147" t="n">
        <v>0.016</v>
      </c>
      <c r="Q102" s="147" t="n">
        <v>0.114</v>
      </c>
      <c r="R102" s="146" t="n">
        <v>4.1</v>
      </c>
      <c r="S102" s="148" t="n">
        <v>1730</v>
      </c>
      <c r="T102" s="146" t="n">
        <v>2.4</v>
      </c>
      <c r="U102" s="146" t="n">
        <v>11.2</v>
      </c>
      <c r="V102" s="148" t="n">
        <v>6</v>
      </c>
      <c r="W102" s="146" t="n">
        <v>2.6</v>
      </c>
      <c r="X102" s="147" t="n">
        <v>0.366</v>
      </c>
      <c r="Y102" s="147" t="n">
        <v>0.143</v>
      </c>
      <c r="Z102" s="147" t="n">
        <v>0.209</v>
      </c>
      <c r="AA102" s="146" t="n">
        <v>0.3</v>
      </c>
      <c r="AB102" s="148" t="n">
        <v>202</v>
      </c>
      <c r="AC102" s="146" t="n">
        <v>0</v>
      </c>
      <c r="AD102" s="146" t="n">
        <v>0.4</v>
      </c>
      <c r="AE102" s="148" t="n">
        <v>12</v>
      </c>
      <c r="AF102" s="146" t="n">
        <v>17.1</v>
      </c>
      <c r="AG102" s="147" t="n">
        <v>1.211</v>
      </c>
      <c r="AH102" s="147" t="n">
        <v>0.071</v>
      </c>
      <c r="AI102" s="146" t="n">
        <v>0</v>
      </c>
      <c r="AJ102" s="148" t="n">
        <v>12</v>
      </c>
      <c r="AK102" s="146" t="n">
        <v>282.9</v>
      </c>
      <c r="AL102" s="147" t="n">
        <v>5.903</v>
      </c>
      <c r="AM102" s="147" t="n">
        <v>0.021</v>
      </c>
      <c r="AN102" s="146" t="n">
        <v>35.6</v>
      </c>
      <c r="AO102" s="78" t="n">
        <f aca="false">Table1[[#This Row],[Inside_._time]]/Table1[[#This Row],[Duration]]</f>
        <v>0.057</v>
      </c>
      <c r="AP102" s="78" t="n">
        <f aca="false">Table1[[#This Row],[Outside_._time]]/Table1[[#This Row],[Duration]]</f>
        <v>0.943</v>
      </c>
      <c r="AQ102" s="78" t="n">
        <f aca="false">Table1[[#This Row],[Inside_._distance]]/Table1[[#This Row],[Distance]]</f>
        <v>0.170251651904963</v>
      </c>
      <c r="AR102" s="78" t="n">
        <f aca="false">Table1[[#This Row],[Outside_._distance]]/Table1[[#This Row],[Distance]]</f>
        <v>0.829888935751441</v>
      </c>
      <c r="AS102" s="149" t="e">
        <f aca="false">[1]!table2[[#this row],[object_a_._head_time]]+[1]!table2[[#this row],[object_b_._head_time]]</f>
        <v>#N/A</v>
      </c>
      <c r="AT102" s="149" t="e">
        <f aca="false">[1]!table2[[#this row],[object_a_._head_time]]+[1]!table2[[#this row],[object_b_._head_time]]</f>
        <v>#N/A</v>
      </c>
      <c r="AU102" s="149" t="e">
        <f aca="false">[1]!table2[[#this row],[object_b_._head_time]]-[1]!table2[[#this row],[object_a_._head_time]]</f>
        <v>#N/A</v>
      </c>
      <c r="AV102" s="150" t="e">
        <f aca="false">[1]!table2[[#this row],[d1: absolute discrimination measure (D1 = B2- A2)]]/[1]!table2[[#this row],[e2: total exploration time in second trial E2 ( E2 = A2 + B2)]]</f>
        <v>#N/A</v>
      </c>
      <c r="AW102" s="149" t="e">
        <f aca="false">(W102/AT102)*100</f>
        <v>#N/A</v>
      </c>
      <c r="AX102" s="149" t="e">
        <f aca="false">([1]!table2[[#this row],[object_a_._head_time]]/([1]!table2[[#this row],[object_a_._head_time]]+[1]!table2[[#this row],[object_b_._head_time]]))*100</f>
        <v>#N/A</v>
      </c>
      <c r="AY102" s="82" t="s">
        <v>79</v>
      </c>
      <c r="AZ102" s="82" t="s">
        <v>123</v>
      </c>
      <c r="BA102" s="82" t="s">
        <v>93</v>
      </c>
      <c r="BB102" s="83" t="n">
        <v>119</v>
      </c>
      <c r="BC102" s="84" t="n">
        <v>3.96666666666667</v>
      </c>
      <c r="BD102" s="85" t="s">
        <v>67</v>
      </c>
      <c r="BE102" s="82" t="n">
        <v>4</v>
      </c>
      <c r="BF102" s="86"/>
    </row>
    <row r="103" customFormat="false" ht="12" hidden="false" customHeight="true" outlineLevel="0" collapsed="false">
      <c r="A103" s="151" t="n">
        <v>33</v>
      </c>
      <c r="B103" s="152" t="s">
        <v>169</v>
      </c>
      <c r="C103" s="152" t="s">
        <v>224</v>
      </c>
      <c r="D103" s="152" t="s">
        <v>70</v>
      </c>
      <c r="E103" s="152" t="s">
        <v>377</v>
      </c>
      <c r="F103" s="152" t="s">
        <v>173</v>
      </c>
      <c r="G103" s="152" t="s">
        <v>422</v>
      </c>
      <c r="H103" s="153" t="n">
        <v>300</v>
      </c>
      <c r="I103" s="154" t="n">
        <v>1.843</v>
      </c>
      <c r="J103" s="154" t="n">
        <v>0.006</v>
      </c>
      <c r="K103" s="154" t="n">
        <v>0.206</v>
      </c>
      <c r="L103" s="153" t="n">
        <v>141.9</v>
      </c>
      <c r="M103" s="155" t="n">
        <v>2</v>
      </c>
      <c r="N103" s="153" t="n">
        <v>0.2</v>
      </c>
      <c r="O103" s="154" t="n">
        <v>0.036</v>
      </c>
      <c r="P103" s="154" t="n">
        <v>0.185</v>
      </c>
      <c r="Q103" s="154" t="n">
        <v>0.185</v>
      </c>
      <c r="R103" s="153" t="n">
        <v>0</v>
      </c>
      <c r="S103" s="155" t="n">
        <v>27</v>
      </c>
      <c r="T103" s="153" t="n">
        <v>0</v>
      </c>
      <c r="U103" s="153"/>
      <c r="V103" s="155" t="n">
        <v>28</v>
      </c>
      <c r="W103" s="153" t="n">
        <v>166.8</v>
      </c>
      <c r="X103" s="154" t="n">
        <v>0.537</v>
      </c>
      <c r="Y103" s="154" t="n">
        <v>0.003</v>
      </c>
      <c r="Z103" s="154" t="n">
        <v>0.136</v>
      </c>
      <c r="AA103" s="153" t="n">
        <v>31.8</v>
      </c>
      <c r="AB103" s="155" t="n">
        <v>4747</v>
      </c>
      <c r="AC103" s="153" t="n">
        <v>91.6</v>
      </c>
      <c r="AD103" s="153" t="n">
        <v>113.5</v>
      </c>
      <c r="AE103" s="155" t="n">
        <v>2</v>
      </c>
      <c r="AF103" s="153" t="n">
        <v>12.8</v>
      </c>
      <c r="AG103" s="154" t="n">
        <v>0.309</v>
      </c>
      <c r="AH103" s="154" t="n">
        <v>0.024</v>
      </c>
      <c r="AI103" s="153" t="n">
        <v>4.2</v>
      </c>
      <c r="AJ103" s="155" t="n">
        <v>2</v>
      </c>
      <c r="AK103" s="153" t="n">
        <v>287.2</v>
      </c>
      <c r="AL103" s="154" t="n">
        <v>1.534</v>
      </c>
      <c r="AM103" s="154" t="n">
        <v>0.005</v>
      </c>
      <c r="AN103" s="153" t="n">
        <v>137.7</v>
      </c>
      <c r="AO103" s="104" t="n">
        <f aca="false">Table1[[#This Row],[Inside_._time]]/Table1[[#This Row],[Duration]]</f>
        <v>0.0426666666666667</v>
      </c>
      <c r="AP103" s="104" t="n">
        <f aca="false">Table1[[#This Row],[Outside_._time]]/Table1[[#This Row],[Duration]]</f>
        <v>0.957333333333333</v>
      </c>
      <c r="AQ103" s="104" t="n">
        <f aca="false">Table1[[#This Row],[Inside_._distance]]/Table1[[#This Row],[Distance]]</f>
        <v>0.167661421595225</v>
      </c>
      <c r="AR103" s="104" t="n">
        <f aca="false">Table1[[#This Row],[Outside_._distance]]/Table1[[#This Row],[Distance]]</f>
        <v>0.832338578404775</v>
      </c>
      <c r="AS103" s="156" t="e">
        <f aca="false">[1]!table2[[#this row],[object_a_._head_time]]+[1]!table2[[#this row],[object_b_._head_time]]</f>
        <v>#N/A</v>
      </c>
      <c r="AT103" s="156" t="e">
        <f aca="false">[1]!table2[[#this row],[object_a_._head_time]]+[1]!table2[[#this row],[object_b_._head_time]]</f>
        <v>#N/A</v>
      </c>
      <c r="AU103" s="156" t="e">
        <f aca="false">[1]!table2[[#this row],[object_b_._head_time]]-[1]!table2[[#this row],[object_a_._head_time]]</f>
        <v>#N/A</v>
      </c>
      <c r="AV103" s="157" t="e">
        <f aca="false">[1]!table2[[#this row],[d1: absolute discrimination measure (D1 = B2- A2)]]/[1]!table2[[#this row],[e2: total exploration time in second trial E2 ( E2 = A2 + B2)]]</f>
        <v>#N/A</v>
      </c>
      <c r="AW103" s="156" t="e">
        <f aca="false">(W103/AT103)*100</f>
        <v>#N/A</v>
      </c>
      <c r="AX103" s="156" t="e">
        <f aca="false">([1]!table2[[#this row],[object_a_._head_time]]/([1]!table2[[#this row],[object_a_._head_time]]+[1]!table2[[#this row],[object_b_._head_time]]))*100</f>
        <v>#N/A</v>
      </c>
      <c r="AY103" s="108" t="s">
        <v>79</v>
      </c>
      <c r="AZ103" s="108" t="s">
        <v>123</v>
      </c>
      <c r="BA103" s="108" t="s">
        <v>66</v>
      </c>
      <c r="BB103" s="109" t="n">
        <v>119</v>
      </c>
      <c r="BC103" s="110" t="n">
        <v>3.96666666666667</v>
      </c>
      <c r="BD103" s="111" t="s">
        <v>67</v>
      </c>
      <c r="BE103" s="108" t="n">
        <v>2</v>
      </c>
      <c r="BF103" s="1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507</TotalTime>
  <Application>LibreOffice/7.2.0.4$Linux_X86_64 LibreOffice_project/20$Build-4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2020-12-16T11:18:08Z</dcterms:created>
  <dc:creator>Microsoft Office User</dc:creator>
  <dc:description/>
  <dc:language>nb-NO</dc:language>
  <cp:lastModifiedBy/>
  <dcterms:modified xsi:type="dcterms:W3CDTF">2021-08-25T00:57:13Z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