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imenb_uio_no/Documents/Atferdstester/ANY-maze/Excel data files from ANY-maze/Round 1/"/>
    </mc:Choice>
  </mc:AlternateContent>
  <xr:revisionPtr revIDLastSave="1417" documentId="114_{CB227F28-FCF3-2C46-91FA-C659362E63DE}" xr6:coauthVersionLast="46" xr6:coauthVersionMax="46" xr10:uidLastSave="{4E0EFB95-21A6-CB48-A195-7B369B6B6C63}"/>
  <bookViews>
    <workbookView minimized="1" xWindow="17720" yWindow="1420" windowWidth="28420" windowHeight="16380" activeTab="1" xr2:uid="{00000000-000D-0000-FFFF-FFFF00000000}"/>
  </bookViews>
  <sheets>
    <sheet name="NORT_02.06.2020" sheetId="1" r:id="rId1"/>
    <sheet name="NORT_ 24.08.2020 (after)" sheetId="2" r:id="rId2"/>
    <sheet name="Open field1" sheetId="5" r:id="rId3"/>
    <sheet name="NORT " sheetId="6" r:id="rId4"/>
    <sheet name="Object localization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X3" i="2" l="1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2" i="2"/>
  <c r="AS2" i="2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2" i="1"/>
  <c r="AT48" i="1"/>
  <c r="AW48" i="1" s="1"/>
  <c r="AS2" i="1"/>
  <c r="AR94" i="1"/>
  <c r="AQ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R122" i="2"/>
  <c r="AR123" i="2"/>
  <c r="AR124" i="2"/>
  <c r="AR125" i="2"/>
  <c r="AR126" i="2"/>
  <c r="AR127" i="2"/>
  <c r="AR128" i="2"/>
  <c r="AR129" i="2"/>
  <c r="AR130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C54" i="6" l="1"/>
  <c r="AC61" i="6"/>
  <c r="AC60" i="6"/>
  <c r="AC59" i="6"/>
  <c r="AC58" i="6"/>
  <c r="AC57" i="6"/>
  <c r="AC56" i="6"/>
  <c r="AC55" i="6"/>
  <c r="AA61" i="6"/>
  <c r="AA60" i="6"/>
  <c r="AA59" i="6"/>
  <c r="AA58" i="6"/>
  <c r="AA57" i="6"/>
  <c r="AA56" i="6"/>
  <c r="AA55" i="6"/>
  <c r="AA54" i="6"/>
  <c r="AH71" i="6"/>
  <c r="AH79" i="6"/>
  <c r="AH90" i="6"/>
  <c r="AH100" i="6"/>
  <c r="AH113" i="6"/>
  <c r="AH124" i="6"/>
  <c r="AH136" i="6"/>
  <c r="AH149" i="6"/>
  <c r="E54" i="6" l="1"/>
  <c r="AT72" i="6"/>
  <c r="AS72" i="6"/>
  <c r="AT71" i="6"/>
  <c r="AS71" i="6"/>
  <c r="AT70" i="6"/>
  <c r="AS70" i="6"/>
  <c r="AT69" i="6"/>
  <c r="AS69" i="6"/>
  <c r="AT68" i="6"/>
  <c r="AS68" i="6"/>
  <c r="AT67" i="6"/>
  <c r="AS67" i="6"/>
  <c r="AT66" i="6"/>
  <c r="AS66" i="6"/>
  <c r="AA148" i="6"/>
  <c r="E148" i="6"/>
  <c r="AA135" i="6"/>
  <c r="E135" i="6"/>
  <c r="AA123" i="6"/>
  <c r="E123" i="6"/>
  <c r="AA112" i="6"/>
  <c r="E112" i="6"/>
  <c r="AA99" i="6"/>
  <c r="E99" i="6"/>
  <c r="AA89" i="6"/>
  <c r="E89" i="6"/>
  <c r="AA78" i="6"/>
  <c r="E78" i="6"/>
  <c r="AS65" i="6"/>
  <c r="AT65" i="6"/>
  <c r="AA70" i="6"/>
  <c r="E70" i="6"/>
  <c r="AO10" i="5"/>
  <c r="AN10" i="5"/>
  <c r="AO9" i="5"/>
  <c r="AN9" i="5"/>
  <c r="AO8" i="5"/>
  <c r="AN8" i="5"/>
  <c r="AO7" i="5"/>
  <c r="AN7" i="5"/>
  <c r="AO6" i="5"/>
  <c r="AN6" i="5"/>
  <c r="AO5" i="5"/>
  <c r="AN5" i="5"/>
  <c r="AO4" i="5"/>
  <c r="AN4" i="5"/>
  <c r="AO3" i="5"/>
  <c r="AN3" i="5"/>
  <c r="D157" i="5"/>
  <c r="D146" i="5"/>
  <c r="D134" i="5"/>
  <c r="D124" i="5"/>
  <c r="D112" i="5"/>
  <c r="D103" i="5"/>
  <c r="D93" i="5"/>
  <c r="D81" i="5"/>
  <c r="D68" i="5"/>
  <c r="D60" i="5"/>
  <c r="D51" i="5"/>
  <c r="D42" i="5"/>
  <c r="D32" i="5"/>
  <c r="D25" i="5"/>
  <c r="D17" i="5"/>
  <c r="D8" i="5"/>
  <c r="AB54" i="6"/>
  <c r="Y54" i="6"/>
  <c r="AB61" i="6"/>
  <c r="Z61" i="6"/>
  <c r="Y61" i="6"/>
  <c r="AB60" i="6"/>
  <c r="Z60" i="6"/>
  <c r="Y60" i="6"/>
  <c r="AB59" i="6"/>
  <c r="Z59" i="6"/>
  <c r="Y59" i="6"/>
  <c r="AB58" i="6"/>
  <c r="Z58" i="6"/>
  <c r="Y58" i="6"/>
  <c r="AB57" i="6"/>
  <c r="Z57" i="6"/>
  <c r="Y57" i="6"/>
  <c r="AB56" i="6"/>
  <c r="Z56" i="6"/>
  <c r="Y56" i="6"/>
  <c r="AB55" i="6"/>
  <c r="Z55" i="6"/>
  <c r="Y55" i="6"/>
  <c r="Z54" i="6"/>
  <c r="F61" i="6"/>
  <c r="F60" i="6"/>
  <c r="F59" i="6"/>
  <c r="F58" i="6"/>
  <c r="F57" i="6"/>
  <c r="F56" i="6"/>
  <c r="F55" i="6"/>
  <c r="F54" i="6"/>
  <c r="E61" i="6"/>
  <c r="E60" i="6"/>
  <c r="E59" i="6"/>
  <c r="E58" i="6"/>
  <c r="E57" i="6"/>
  <c r="E55" i="6"/>
  <c r="D61" i="6"/>
  <c r="D60" i="6"/>
  <c r="D59" i="6"/>
  <c r="D58" i="6"/>
  <c r="D57" i="6"/>
  <c r="D54" i="6"/>
  <c r="C54" i="6"/>
  <c r="D55" i="6"/>
  <c r="C61" i="6"/>
  <c r="C60" i="6"/>
  <c r="C59" i="6"/>
  <c r="C58" i="6"/>
  <c r="C57" i="6"/>
  <c r="C56" i="6"/>
  <c r="C55" i="6"/>
  <c r="M70" i="6"/>
  <c r="AI78" i="6"/>
  <c r="AF78" i="6"/>
  <c r="AG78" i="6"/>
  <c r="AH78" i="6"/>
  <c r="AE78" i="6"/>
  <c r="J78" i="6"/>
  <c r="K78" i="6"/>
  <c r="L78" i="6"/>
  <c r="M78" i="6"/>
  <c r="I89" i="6"/>
  <c r="I78" i="6"/>
  <c r="AF112" i="6"/>
  <c r="AG112" i="6"/>
  <c r="AH112" i="6"/>
  <c r="AE112" i="6"/>
  <c r="J112" i="6"/>
  <c r="K112" i="6"/>
  <c r="L112" i="6"/>
  <c r="M112" i="6"/>
  <c r="I112" i="6"/>
  <c r="J123" i="6"/>
  <c r="I123" i="6"/>
  <c r="AI135" i="6"/>
  <c r="AF135" i="6"/>
  <c r="AG135" i="6"/>
  <c r="AH135" i="6"/>
  <c r="AE135" i="6"/>
  <c r="M135" i="6"/>
  <c r="J135" i="6"/>
  <c r="K135" i="6"/>
  <c r="L135" i="6"/>
  <c r="I135" i="6"/>
  <c r="AH148" i="6"/>
  <c r="AI148" i="6"/>
  <c r="AF148" i="6"/>
  <c r="AG148" i="6"/>
  <c r="AE148" i="6"/>
  <c r="J148" i="6"/>
  <c r="K148" i="6"/>
  <c r="L148" i="6"/>
  <c r="M148" i="6"/>
  <c r="I148" i="6"/>
  <c r="AI123" i="6"/>
  <c r="AH123" i="6"/>
  <c r="AG123" i="6"/>
  <c r="AF123" i="6"/>
  <c r="AE123" i="6"/>
  <c r="M123" i="6"/>
  <c r="L123" i="6"/>
  <c r="K123" i="6"/>
  <c r="AI112" i="6"/>
  <c r="AI99" i="6"/>
  <c r="AH99" i="6"/>
  <c r="AG99" i="6"/>
  <c r="AF99" i="6"/>
  <c r="AE99" i="6"/>
  <c r="M99" i="6"/>
  <c r="L99" i="6"/>
  <c r="K99" i="6"/>
  <c r="J99" i="6"/>
  <c r="I99" i="6"/>
  <c r="AI89" i="6"/>
  <c r="AH89" i="6"/>
  <c r="AG89" i="6"/>
  <c r="AF89" i="6"/>
  <c r="AE89" i="6"/>
  <c r="M89" i="6"/>
  <c r="L89" i="6"/>
  <c r="E56" i="6" s="1"/>
  <c r="K89" i="6"/>
  <c r="D56" i="6" s="1"/>
  <c r="J89" i="6"/>
  <c r="AF70" i="6"/>
  <c r="AG70" i="6"/>
  <c r="AH70" i="6"/>
  <c r="AI70" i="6"/>
  <c r="AE70" i="6"/>
  <c r="K70" i="6"/>
  <c r="L70" i="6"/>
  <c r="J70" i="6"/>
  <c r="I70" i="6"/>
  <c r="AI10" i="5"/>
  <c r="AI9" i="5"/>
  <c r="AI8" i="5"/>
  <c r="AI7" i="5"/>
  <c r="AI6" i="5"/>
  <c r="AI5" i="5"/>
  <c r="AI4" i="5"/>
  <c r="AI3" i="5"/>
  <c r="AH10" i="5"/>
  <c r="AH9" i="5"/>
  <c r="AH8" i="5"/>
  <c r="AH7" i="5"/>
  <c r="AH6" i="5"/>
  <c r="AH5" i="5"/>
  <c r="AH4" i="5"/>
  <c r="AH3" i="5"/>
  <c r="AE10" i="5"/>
  <c r="AE9" i="5"/>
  <c r="AE8" i="5"/>
  <c r="AE7" i="5"/>
  <c r="AE6" i="5"/>
  <c r="AE5" i="5"/>
  <c r="AE4" i="5"/>
  <c r="AE3" i="5"/>
  <c r="AD10" i="5"/>
  <c r="AD9" i="5"/>
  <c r="AD8" i="5"/>
  <c r="AD7" i="5"/>
  <c r="AD6" i="5"/>
  <c r="AD5" i="5"/>
  <c r="AD4" i="5"/>
  <c r="AD3" i="5"/>
  <c r="N157" i="5" l="1"/>
  <c r="I157" i="5"/>
  <c r="N146" i="5"/>
  <c r="I146" i="5"/>
  <c r="N134" i="5"/>
  <c r="I134" i="5"/>
  <c r="N124" i="5"/>
  <c r="I124" i="5"/>
  <c r="N112" i="5"/>
  <c r="I112" i="5"/>
  <c r="N103" i="5"/>
  <c r="I103" i="5"/>
  <c r="N93" i="5"/>
  <c r="I93" i="5"/>
  <c r="N81" i="5"/>
  <c r="I81" i="5"/>
  <c r="N68" i="5"/>
  <c r="I68" i="5"/>
  <c r="N60" i="5"/>
  <c r="I60" i="5"/>
  <c r="N42" i="5"/>
  <c r="I42" i="5"/>
  <c r="N25" i="5"/>
  <c r="I25" i="5"/>
  <c r="N32" i="5"/>
  <c r="I32" i="5"/>
  <c r="N51" i="5"/>
  <c r="I51" i="5"/>
  <c r="N17" i="5"/>
  <c r="I17" i="5"/>
  <c r="N8" i="5"/>
  <c r="I8" i="5"/>
  <c r="AU45" i="2" l="1"/>
  <c r="AU93" i="1"/>
  <c r="AT93" i="1"/>
  <c r="AW93" i="1" s="1"/>
  <c r="AT49" i="1"/>
  <c r="AW49" i="1" s="1"/>
  <c r="AT50" i="1"/>
  <c r="AW50" i="1" s="1"/>
  <c r="AT51" i="1"/>
  <c r="AW51" i="1" s="1"/>
  <c r="AT52" i="1"/>
  <c r="AW52" i="1" s="1"/>
  <c r="AT53" i="1"/>
  <c r="AW53" i="1" s="1"/>
  <c r="AT54" i="1"/>
  <c r="AW54" i="1" s="1"/>
  <c r="AT55" i="1"/>
  <c r="AW55" i="1" s="1"/>
  <c r="AT56" i="1"/>
  <c r="AW56" i="1" s="1"/>
  <c r="AT57" i="1"/>
  <c r="AW57" i="1" s="1"/>
  <c r="AT58" i="1"/>
  <c r="AW58" i="1" s="1"/>
  <c r="AT59" i="1"/>
  <c r="AW59" i="1" s="1"/>
  <c r="AT60" i="1"/>
  <c r="AW60" i="1" s="1"/>
  <c r="AT61" i="1"/>
  <c r="AW61" i="1" s="1"/>
  <c r="AT62" i="1"/>
  <c r="AW62" i="1" s="1"/>
  <c r="AT63" i="1"/>
  <c r="AW63" i="1" s="1"/>
  <c r="AT64" i="1"/>
  <c r="AW64" i="1" s="1"/>
  <c r="AT65" i="1"/>
  <c r="AW65" i="1" s="1"/>
  <c r="AT66" i="1"/>
  <c r="AW66" i="1" s="1"/>
  <c r="AT67" i="1"/>
  <c r="AW67" i="1" s="1"/>
  <c r="AT68" i="1"/>
  <c r="AW68" i="1" s="1"/>
  <c r="AT69" i="1"/>
  <c r="AW69" i="1" s="1"/>
  <c r="AT70" i="1"/>
  <c r="AW70" i="1" s="1"/>
  <c r="AT71" i="1"/>
  <c r="AW71" i="1" s="1"/>
  <c r="AT72" i="1"/>
  <c r="AW72" i="1" s="1"/>
  <c r="AT73" i="1"/>
  <c r="AW73" i="1" s="1"/>
  <c r="AT74" i="1"/>
  <c r="AW74" i="1" s="1"/>
  <c r="AT75" i="1"/>
  <c r="AW75" i="1" s="1"/>
  <c r="AT76" i="1"/>
  <c r="AW76" i="1" s="1"/>
  <c r="AT77" i="1"/>
  <c r="AW77" i="1" s="1"/>
  <c r="AT78" i="1"/>
  <c r="AW78" i="1" s="1"/>
  <c r="AT79" i="1"/>
  <c r="AW79" i="1" s="1"/>
  <c r="AT80" i="1"/>
  <c r="AW80" i="1" s="1"/>
  <c r="AT81" i="1"/>
  <c r="AW81" i="1" s="1"/>
  <c r="AT82" i="1"/>
  <c r="AW82" i="1" s="1"/>
  <c r="AT83" i="1"/>
  <c r="AW83" i="1" s="1"/>
  <c r="AT84" i="1"/>
  <c r="AW84" i="1" s="1"/>
  <c r="AT85" i="1"/>
  <c r="AW85" i="1" s="1"/>
  <c r="AT86" i="1"/>
  <c r="AW86" i="1" s="1"/>
  <c r="AT87" i="1"/>
  <c r="AW87" i="1" s="1"/>
  <c r="AT88" i="1"/>
  <c r="AW88" i="1" s="1"/>
  <c r="AT89" i="1"/>
  <c r="AW89" i="1" s="1"/>
  <c r="AT90" i="1"/>
  <c r="AW90" i="1" s="1"/>
  <c r="AT91" i="1"/>
  <c r="AW91" i="1" s="1"/>
  <c r="AT92" i="1"/>
  <c r="AW92" i="1" s="1"/>
  <c r="AU82" i="1"/>
  <c r="AU83" i="1"/>
  <c r="AU84" i="1"/>
  <c r="AU85" i="1"/>
  <c r="AU86" i="1"/>
  <c r="AU87" i="1"/>
  <c r="AU88" i="1"/>
  <c r="AU89" i="1"/>
  <c r="AU90" i="1"/>
  <c r="AU91" i="1"/>
  <c r="AU92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48" i="1"/>
  <c r="AV48" i="1" s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V65" i="1" l="1"/>
  <c r="AV75" i="1"/>
  <c r="AV84" i="1"/>
  <c r="AV67" i="1"/>
  <c r="AV51" i="1"/>
  <c r="AV58" i="1"/>
  <c r="AV81" i="1"/>
  <c r="AV57" i="1"/>
  <c r="AV93" i="1"/>
  <c r="AV85" i="1"/>
  <c r="AV74" i="1"/>
  <c r="AV66" i="1"/>
  <c r="AV50" i="1"/>
  <c r="AV73" i="1"/>
  <c r="AV90" i="1"/>
  <c r="AV82" i="1"/>
  <c r="AV69" i="1"/>
  <c r="AV53" i="1"/>
  <c r="AV49" i="1"/>
  <c r="AV92" i="1"/>
  <c r="AV91" i="1"/>
  <c r="AV83" i="1"/>
  <c r="AV89" i="1"/>
  <c r="AV59" i="1"/>
  <c r="AV60" i="1"/>
  <c r="AV77" i="1"/>
  <c r="AV61" i="1"/>
  <c r="AV76" i="1"/>
  <c r="AV68" i="1"/>
  <c r="AV52" i="1"/>
  <c r="AV71" i="1"/>
  <c r="AV78" i="1"/>
  <c r="AV70" i="1"/>
  <c r="AV62" i="1"/>
  <c r="AV54" i="1"/>
  <c r="AV55" i="1"/>
  <c r="AV63" i="1"/>
  <c r="AV79" i="1"/>
  <c r="AV88" i="1"/>
  <c r="AV87" i="1"/>
  <c r="AV86" i="1"/>
  <c r="AV80" i="1"/>
  <c r="AV72" i="1"/>
  <c r="AV64" i="1"/>
  <c r="AV56" i="1"/>
  <c r="AS44" i="2"/>
  <c r="AT45" i="2"/>
  <c r="AW45" i="2" s="1"/>
  <c r="AU82" i="2"/>
  <c r="AU83" i="2"/>
  <c r="AU84" i="2"/>
  <c r="AU85" i="2"/>
  <c r="AU86" i="2"/>
  <c r="AU87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T74" i="2"/>
  <c r="AW74" i="2" s="1"/>
  <c r="AT75" i="2"/>
  <c r="AW75" i="2" s="1"/>
  <c r="AT76" i="2"/>
  <c r="AW76" i="2" s="1"/>
  <c r="AT77" i="2"/>
  <c r="AW77" i="2" s="1"/>
  <c r="AT78" i="2"/>
  <c r="AW78" i="2" s="1"/>
  <c r="AT79" i="2"/>
  <c r="AW79" i="2" s="1"/>
  <c r="AT80" i="2"/>
  <c r="AW80" i="2" s="1"/>
  <c r="AT81" i="2"/>
  <c r="AW81" i="2" s="1"/>
  <c r="AT82" i="2"/>
  <c r="AW82" i="2" s="1"/>
  <c r="AT83" i="2"/>
  <c r="AW83" i="2" s="1"/>
  <c r="AT84" i="2"/>
  <c r="AW84" i="2" s="1"/>
  <c r="AT85" i="2"/>
  <c r="AW85" i="2" s="1"/>
  <c r="AT86" i="2"/>
  <c r="AW86" i="2" s="1"/>
  <c r="AT87" i="2"/>
  <c r="AW87" i="2" s="1"/>
  <c r="AT46" i="2"/>
  <c r="AW46" i="2" s="1"/>
  <c r="AT47" i="2"/>
  <c r="AW47" i="2" s="1"/>
  <c r="AT48" i="2"/>
  <c r="AW48" i="2" s="1"/>
  <c r="AT49" i="2"/>
  <c r="AW49" i="2" s="1"/>
  <c r="AT50" i="2"/>
  <c r="AW50" i="2" s="1"/>
  <c r="AT51" i="2"/>
  <c r="AW51" i="2" s="1"/>
  <c r="AT52" i="2"/>
  <c r="AW52" i="2" s="1"/>
  <c r="AT53" i="2"/>
  <c r="AW53" i="2" s="1"/>
  <c r="AT54" i="2"/>
  <c r="AW54" i="2" s="1"/>
  <c r="AT55" i="2"/>
  <c r="AW55" i="2" s="1"/>
  <c r="AT56" i="2"/>
  <c r="AW56" i="2" s="1"/>
  <c r="AT57" i="2"/>
  <c r="AW57" i="2" s="1"/>
  <c r="AT58" i="2"/>
  <c r="AW58" i="2" s="1"/>
  <c r="AT59" i="2"/>
  <c r="AW59" i="2" s="1"/>
  <c r="AT60" i="2"/>
  <c r="AW60" i="2" s="1"/>
  <c r="AT61" i="2"/>
  <c r="AW61" i="2" s="1"/>
  <c r="AT62" i="2"/>
  <c r="AW62" i="2" s="1"/>
  <c r="AT63" i="2"/>
  <c r="AW63" i="2" s="1"/>
  <c r="AT64" i="2"/>
  <c r="AW64" i="2" s="1"/>
  <c r="AT65" i="2"/>
  <c r="AW65" i="2" s="1"/>
  <c r="AT66" i="2"/>
  <c r="AW66" i="2" s="1"/>
  <c r="AT67" i="2"/>
  <c r="AW67" i="2" s="1"/>
  <c r="AT68" i="2"/>
  <c r="AW68" i="2" s="1"/>
  <c r="AT69" i="2"/>
  <c r="AW69" i="2" s="1"/>
  <c r="AT70" i="2"/>
  <c r="AW70" i="2" s="1"/>
  <c r="AT71" i="2"/>
  <c r="AW71" i="2" s="1"/>
  <c r="AT72" i="2"/>
  <c r="AW72" i="2" s="1"/>
  <c r="AT73" i="2"/>
  <c r="AW73" i="2" s="1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V45" i="2" l="1"/>
  <c r="AV86" i="2"/>
  <c r="AV87" i="2"/>
  <c r="AV80" i="2"/>
  <c r="AV70" i="2"/>
  <c r="AV62" i="2"/>
  <c r="AV54" i="2"/>
  <c r="AV46" i="2"/>
  <c r="AV51" i="2"/>
  <c r="AV82" i="2"/>
  <c r="AV75" i="2"/>
  <c r="AV67" i="2"/>
  <c r="AV59" i="2"/>
  <c r="AV72" i="2"/>
  <c r="AV64" i="2"/>
  <c r="AV56" i="2"/>
  <c r="AV79" i="2"/>
  <c r="AV71" i="2"/>
  <c r="AV63" i="2"/>
  <c r="AV55" i="2"/>
  <c r="AV47" i="2"/>
  <c r="AV78" i="2"/>
  <c r="AV48" i="2"/>
  <c r="AV77" i="2"/>
  <c r="AV69" i="2"/>
  <c r="AV61" i="2"/>
  <c r="AV53" i="2"/>
  <c r="AV76" i="2"/>
  <c r="AV68" i="2"/>
  <c r="AV60" i="2"/>
  <c r="AV52" i="2"/>
  <c r="AV85" i="2"/>
  <c r="AV74" i="2"/>
  <c r="AV66" i="2"/>
  <c r="AV58" i="2"/>
  <c r="AV50" i="2"/>
  <c r="AV84" i="2"/>
  <c r="AV81" i="2"/>
  <c r="AV73" i="2"/>
  <c r="AV65" i="2"/>
  <c r="AV57" i="2"/>
  <c r="AV49" i="2"/>
  <c r="AV83" i="2"/>
</calcChain>
</file>

<file path=xl/sharedStrings.xml><?xml version="1.0" encoding="utf-8"?>
<sst xmlns="http://schemas.openxmlformats.org/spreadsheetml/2006/main" count="5436" uniqueCount="545">
  <si>
    <t>Animal</t>
  </si>
  <si>
    <t>Stage</t>
  </si>
  <si>
    <t>Apparatus</t>
  </si>
  <si>
    <t>Date</t>
  </si>
  <si>
    <t>Time</t>
  </si>
  <si>
    <t>Video_file_name</t>
  </si>
  <si>
    <t>Duration</t>
  </si>
  <si>
    <t>Distance</t>
  </si>
  <si>
    <t>Mean_speed</t>
  </si>
  <si>
    <t>Max_speed</t>
  </si>
  <si>
    <t>Time_freezing</t>
  </si>
  <si>
    <t>Object_A_._head_entries</t>
  </si>
  <si>
    <t>Object_A_._head_time</t>
  </si>
  <si>
    <t>Object_A_._distance</t>
  </si>
  <si>
    <t>Object_A_._average_speed</t>
  </si>
  <si>
    <t>Object_A_._max_speed</t>
  </si>
  <si>
    <t>Object_A_._in_zone_oriented_to_centre</t>
  </si>
  <si>
    <t>Object_A_._Absolute_head_turn_angle</t>
  </si>
  <si>
    <t>Object_A_._time_freezing</t>
  </si>
  <si>
    <t>Object_A_._time_head_in_._centre_out</t>
  </si>
  <si>
    <t>Object_B_._head_entries</t>
  </si>
  <si>
    <t>Object_B_._head_time</t>
  </si>
  <si>
    <t>Object_B_._distance</t>
  </si>
  <si>
    <t>Object_B_._average_speed</t>
  </si>
  <si>
    <t>Object_B_._max_speed</t>
  </si>
  <si>
    <t>Object_B_._in_zone_oriented_to_centre</t>
  </si>
  <si>
    <t>Object_B_._Absolute_head_turn_angle</t>
  </si>
  <si>
    <t>Object_B_._time_freezing</t>
  </si>
  <si>
    <t>Object_B_._time_head_in_._centre_out</t>
  </si>
  <si>
    <t>Inside_._entries</t>
  </si>
  <si>
    <t>Inside_._time</t>
  </si>
  <si>
    <t>Inside_._distance</t>
  </si>
  <si>
    <t>Inside_._average_speed</t>
  </si>
  <si>
    <t>Inside_._time_freezing</t>
  </si>
  <si>
    <t>Outside_._entries</t>
  </si>
  <si>
    <t>Outside_._time</t>
  </si>
  <si>
    <t>Outside_._distance</t>
  </si>
  <si>
    <t>Outside_._average_speed</t>
  </si>
  <si>
    <t>Outside_._time_freezing</t>
  </si>
  <si>
    <t>1</t>
  </si>
  <si>
    <t>Habituation</t>
  </si>
  <si>
    <t>Open-Field-1</t>
  </si>
  <si>
    <t>02.06.2020</t>
  </si>
  <si>
    <t>13:17</t>
  </si>
  <si>
    <t>NORT1 videos\Test 2.szv</t>
  </si>
  <si>
    <t>2</t>
  </si>
  <si>
    <t>Open-Field-2</t>
  </si>
  <si>
    <t>NORT1 videos\Test 1.szv</t>
  </si>
  <si>
    <t>3</t>
  </si>
  <si>
    <t>Open-Field-3</t>
  </si>
  <si>
    <t>NORT1 videos\Test 4.szv</t>
  </si>
  <si>
    <t/>
  </si>
  <si>
    <t>4</t>
  </si>
  <si>
    <t>Open-Field-4</t>
  </si>
  <si>
    <t>NORT1 videos\Test 3.szv</t>
  </si>
  <si>
    <t>5</t>
  </si>
  <si>
    <t>13:37</t>
  </si>
  <si>
    <t>NORT1 videos\Test 5.szv</t>
  </si>
  <si>
    <t>6</t>
  </si>
  <si>
    <t>NORT1 videos\Test 6.szv</t>
  </si>
  <si>
    <t>7</t>
  </si>
  <si>
    <t>NORT1 videos\Test 7.szv</t>
  </si>
  <si>
    <t>8</t>
  </si>
  <si>
    <t>NORT1 videos\Test 8.szv</t>
  </si>
  <si>
    <t>9</t>
  </si>
  <si>
    <t>13:52</t>
  </si>
  <si>
    <t>NORT1 videos\Test 9.szv</t>
  </si>
  <si>
    <t>10</t>
  </si>
  <si>
    <t>NORT1 videos\Test 10.szv</t>
  </si>
  <si>
    <t>11</t>
  </si>
  <si>
    <t>NORT1 videos\Test 11.szv</t>
  </si>
  <si>
    <t>12</t>
  </si>
  <si>
    <t>NORT1 videos\Test 12.szv</t>
  </si>
  <si>
    <t>13</t>
  </si>
  <si>
    <t>16:05</t>
  </si>
  <si>
    <t>NORT1 videos\Test 14.szv</t>
  </si>
  <si>
    <t>14</t>
  </si>
  <si>
    <t>NORT1 videos\Test 13.szv</t>
  </si>
  <si>
    <t>15</t>
  </si>
  <si>
    <t>NORT1 videos\Test 15.szv</t>
  </si>
  <si>
    <t>16</t>
  </si>
  <si>
    <t>NORT1 videos\Test 16.szv</t>
  </si>
  <si>
    <t>17</t>
  </si>
  <si>
    <t>16:17</t>
  </si>
  <si>
    <t>NORT1 videos\Test 17.szv</t>
  </si>
  <si>
    <t>18</t>
  </si>
  <si>
    <t>NORT1 videos\Test 18.szv</t>
  </si>
  <si>
    <t>19</t>
  </si>
  <si>
    <t>NORT1 videos\Test 20.szv</t>
  </si>
  <si>
    <t>20</t>
  </si>
  <si>
    <t>NORT1 videos\Test 19.szv</t>
  </si>
  <si>
    <t>21</t>
  </si>
  <si>
    <t>16:30</t>
  </si>
  <si>
    <t>NORT1 videos\Test 23.szv</t>
  </si>
  <si>
    <t>22</t>
  </si>
  <si>
    <t>NORT1 videos\Test 24.szv</t>
  </si>
  <si>
    <t>23</t>
  </si>
  <si>
    <t>NORT1 videos\Test 22.szv</t>
  </si>
  <si>
    <t>24</t>
  </si>
  <si>
    <t>NORT1 videos\Test 21.szv</t>
  </si>
  <si>
    <t>25</t>
  </si>
  <si>
    <t>16:42</t>
  </si>
  <si>
    <t>NORT1 videos\Test 27.szv</t>
  </si>
  <si>
    <t>26</t>
  </si>
  <si>
    <t>NORT1 videos\Test 26.szv</t>
  </si>
  <si>
    <t>27</t>
  </si>
  <si>
    <t>NORT1 videos\Test 28.szv</t>
  </si>
  <si>
    <t>28</t>
  </si>
  <si>
    <t>NORT1 videos\Test 25.szv</t>
  </si>
  <si>
    <t>29</t>
  </si>
  <si>
    <t>16:53</t>
  </si>
  <si>
    <t>NORT1 videos\Test 29.szv</t>
  </si>
  <si>
    <t>30</t>
  </si>
  <si>
    <t>NORT1 videos\Test 30.szv</t>
  </si>
  <si>
    <t>31</t>
  </si>
  <si>
    <t>NORT1 videos\Test 31.szv</t>
  </si>
  <si>
    <t>32</t>
  </si>
  <si>
    <t>NORT1 videos\Test 32.szv</t>
  </si>
  <si>
    <t>33</t>
  </si>
  <si>
    <t>17:03</t>
  </si>
  <si>
    <t>NORT1 videos\Test 36.szv</t>
  </si>
  <si>
    <t>34</t>
  </si>
  <si>
    <t>NORT1 videos\Test 33.szv</t>
  </si>
  <si>
    <t>35</t>
  </si>
  <si>
    <t>NORT1 videos\Test 34.szv</t>
  </si>
  <si>
    <t>36</t>
  </si>
  <si>
    <t>NORT1 videos\Test 35.szv</t>
  </si>
  <si>
    <t>37</t>
  </si>
  <si>
    <t>17:13</t>
  </si>
  <si>
    <t>NORT1 videos\Test 37.szv</t>
  </si>
  <si>
    <t>38</t>
  </si>
  <si>
    <t>NORT1 videos\Test 39.szv</t>
  </si>
  <si>
    <t>39</t>
  </si>
  <si>
    <t>NORT1 videos\Test 38.szv</t>
  </si>
  <si>
    <t>40</t>
  </si>
  <si>
    <t>NORT1 videos\Test 40.szv</t>
  </si>
  <si>
    <t>41</t>
  </si>
  <si>
    <t>17:25</t>
  </si>
  <si>
    <t>NORT1 videos\Test 43.szv</t>
  </si>
  <si>
    <t>42</t>
  </si>
  <si>
    <t>NORT1 videos\Test 44.szv</t>
  </si>
  <si>
    <t>43</t>
  </si>
  <si>
    <t>NORT1 videos\Test 41.szv</t>
  </si>
  <si>
    <t>44</t>
  </si>
  <si>
    <t>NORT1 videos\Test 42.szv</t>
  </si>
  <si>
    <t>45</t>
  </si>
  <si>
    <t>17:35</t>
  </si>
  <si>
    <t>NORT1 videos\Test 45.szv</t>
  </si>
  <si>
    <t>46</t>
  </si>
  <si>
    <t>NORT1 videos\Test 46.szv</t>
  </si>
  <si>
    <t>Test (novel object) T2</t>
  </si>
  <si>
    <t>03.06.2020</t>
  </si>
  <si>
    <t>15:10</t>
  </si>
  <si>
    <t>NORT1 videos\Test 96.szv</t>
  </si>
  <si>
    <t>NORT1 videos\Test 93.szv</t>
  </si>
  <si>
    <t>NORT1 videos\Test 95.szv</t>
  </si>
  <si>
    <t>NORT1 videos\Test 94.szv</t>
  </si>
  <si>
    <t>15:27</t>
  </si>
  <si>
    <t>NORT1 videos\Test 99.szv</t>
  </si>
  <si>
    <t>15:24</t>
  </si>
  <si>
    <t>NORT1 videos\Test 97.szv</t>
  </si>
  <si>
    <t>NORT1 videos\Test 100.szv</t>
  </si>
  <si>
    <t>NORT1 videos\Test 101.szv</t>
  </si>
  <si>
    <t>15:45</t>
  </si>
  <si>
    <t>NORT1 videos\Test 102.szv</t>
  </si>
  <si>
    <t>NORT1 videos\Test 98.szv</t>
  </si>
  <si>
    <t>NORT1 videos\Test 103.szv</t>
  </si>
  <si>
    <t>NORT1 videos\Test 104.szv</t>
  </si>
  <si>
    <t>16:00</t>
  </si>
  <si>
    <t>NORT1 videos\Test 107.szv</t>
  </si>
  <si>
    <t>NORT1 videos\Test 106.szv</t>
  </si>
  <si>
    <t>NORT1 videos\Test 105.szv</t>
  </si>
  <si>
    <t>NORT1 videos\Test 108.szv</t>
  </si>
  <si>
    <t>16:18</t>
  </si>
  <si>
    <t>NORT1 videos\Test 109.szv</t>
  </si>
  <si>
    <t>NORT1 videos\Test 110.szv</t>
  </si>
  <si>
    <t>NORT1 videos\Test 111.szv</t>
  </si>
  <si>
    <t>NORT1 videos\Test 112.szv</t>
  </si>
  <si>
    <t>16:34</t>
  </si>
  <si>
    <t>NORT1 videos\Test 116.szv</t>
  </si>
  <si>
    <t>NORT1 videos\Test 114.szv</t>
  </si>
  <si>
    <t>NORT1 videos\Test 113.szv</t>
  </si>
  <si>
    <t>NORT1 videos\Test 115.szv</t>
  </si>
  <si>
    <t>16:51</t>
  </si>
  <si>
    <t>NORT1 videos\Test 119.szv</t>
  </si>
  <si>
    <t>NORT1 videos\Test 118.szv</t>
  </si>
  <si>
    <t>NORT1 videos\Test 117.szv</t>
  </si>
  <si>
    <t>NORT1 videos\Test 120.szv</t>
  </si>
  <si>
    <t>17:08</t>
  </si>
  <si>
    <t>NORT1 videos\Test 124.szv</t>
  </si>
  <si>
    <t>NORT1 videos\Test 121.szv</t>
  </si>
  <si>
    <t>NORT1 videos\Test 123.szv</t>
  </si>
  <si>
    <t>NORT1 videos\Test 122.szv</t>
  </si>
  <si>
    <t>17:24</t>
  </si>
  <si>
    <t>NORT1 videos\Test 125.szv</t>
  </si>
  <si>
    <t>NORT1 videos\Test 126.szv</t>
  </si>
  <si>
    <t>NORT1 videos\Test 127.szv</t>
  </si>
  <si>
    <t>NORT1 videos\Test 128.szv</t>
  </si>
  <si>
    <t>17:41</t>
  </si>
  <si>
    <t>NORT1 videos\Test 129.szv</t>
  </si>
  <si>
    <t>NORT1 videos\Test 130.szv</t>
  </si>
  <si>
    <t>NORT1 videos\Test 132.szv</t>
  </si>
  <si>
    <t>NORT1 videos\Test 131.szv</t>
  </si>
  <si>
    <t>17:57</t>
  </si>
  <si>
    <t>NORT1 videos\Test 133.szv</t>
  </si>
  <si>
    <t>NORT1 videos\Test 134.szv</t>
  </si>
  <si>
    <t>NORT1 videos\Test 136.szv</t>
  </si>
  <si>
    <t>NORT1 videos\Test 135.szv</t>
  </si>
  <si>
    <t>18:10</t>
  </si>
  <si>
    <t>NORT1 videos\Test 138.szv</t>
  </si>
  <si>
    <t>NORT1 videos\Test 137.szv</t>
  </si>
  <si>
    <t>Training (identical objects) T1</t>
  </si>
  <si>
    <t>10:34</t>
  </si>
  <si>
    <t>NORT1 videos\Test 47.szv</t>
  </si>
  <si>
    <t>NORT1 videos\Test 49.szv</t>
  </si>
  <si>
    <t>NORT1 videos\Test 48.szv</t>
  </si>
  <si>
    <t>NORT1 videos\Test 50.szv</t>
  </si>
  <si>
    <t>10:49</t>
  </si>
  <si>
    <t>NORT1 videos\Test 51.szv</t>
  </si>
  <si>
    <t>NORT1 videos\Test 52.szv</t>
  </si>
  <si>
    <t>NORT1 videos\Test 53.szv</t>
  </si>
  <si>
    <t>NORT1 videos\Test 54.szv</t>
  </si>
  <si>
    <t>11:05</t>
  </si>
  <si>
    <t>NORT1 videos\Test 55.szv</t>
  </si>
  <si>
    <t>NORT1 videos\Test 57.szv</t>
  </si>
  <si>
    <t>NORT1 videos\Test 56.szv</t>
  </si>
  <si>
    <t>NORT1 videos\Test 58.szv</t>
  </si>
  <si>
    <t>11:22</t>
  </si>
  <si>
    <t>NORT1 videos\Test 60.szv</t>
  </si>
  <si>
    <t>NORT1 videos\Test 61.szv</t>
  </si>
  <si>
    <t>NORT1 videos\Test 62.szv</t>
  </si>
  <si>
    <t>NORT1 videos\Test 59.szv</t>
  </si>
  <si>
    <t>11:39</t>
  </si>
  <si>
    <t>NORT1 videos\Test 63.szv</t>
  </si>
  <si>
    <t>NORT1 videos\Test 64.szv</t>
  </si>
  <si>
    <t>NORT1 videos\Test 65.szv</t>
  </si>
  <si>
    <t>NORT1 videos\Test 66.szv</t>
  </si>
  <si>
    <t>12:01</t>
  </si>
  <si>
    <t>NORT1 videos\Test 67.szv</t>
  </si>
  <si>
    <t>NORT1 videos\Test 68.szv</t>
  </si>
  <si>
    <t>NORT1 videos\Test 69.szv</t>
  </si>
  <si>
    <t>NORT1 videos\Test 70.szv</t>
  </si>
  <si>
    <t>12:17</t>
  </si>
  <si>
    <t>NORT1 videos\Test 71.szv</t>
  </si>
  <si>
    <t>NORT1 videos\Test 72.szv</t>
  </si>
  <si>
    <t>NORT1 videos\Test 73.szv</t>
  </si>
  <si>
    <t>NORT1 videos\Test 74.szv</t>
  </si>
  <si>
    <t>12:34</t>
  </si>
  <si>
    <t>NORT1 videos\Test 75.szv</t>
  </si>
  <si>
    <t>NORT1 videos\Test 76.szv</t>
  </si>
  <si>
    <t>NORT1 videos\Test 77.szv</t>
  </si>
  <si>
    <t>NORT1 videos\Test 78.szv</t>
  </si>
  <si>
    <t>12:52</t>
  </si>
  <si>
    <t>NORT1 videos\Test 79.szv</t>
  </si>
  <si>
    <t>NORT1 videos\Test 80.szv</t>
  </si>
  <si>
    <t>NORT1 videos\Test 82.szv</t>
  </si>
  <si>
    <t>NORT1 videos\Test 81.szv</t>
  </si>
  <si>
    <t>13:08</t>
  </si>
  <si>
    <t>NORT1 videos\Test 84.szv</t>
  </si>
  <si>
    <t>NORT1 videos\Test 83.szv</t>
  </si>
  <si>
    <t>NORT1 videos\Test 85.szv</t>
  </si>
  <si>
    <t>NORT1 videos\Test 86.szv</t>
  </si>
  <si>
    <t>13:26</t>
  </si>
  <si>
    <t>NORT1 videos\Test 87.szv</t>
  </si>
  <si>
    <t>NORT1 videos\Test 88.szv</t>
  </si>
  <si>
    <t>NORT1 videos\Test 89.szv</t>
  </si>
  <si>
    <t>NORT1 videos\Test 90.szv</t>
  </si>
  <si>
    <t>13:42</t>
  </si>
  <si>
    <t>NORT1 videos\Test 92.szv</t>
  </si>
  <si>
    <t>NORT1 videos\Test 91.szv</t>
  </si>
  <si>
    <t>24.08.2020</t>
  </si>
  <si>
    <t>13:24</t>
  </si>
  <si>
    <t>NORT_24 08 2020 (after) videos\Test 4.szv</t>
  </si>
  <si>
    <t>NORT_24 08 2020 (after) videos\Test 1.szv</t>
  </si>
  <si>
    <t>NORT_24 08 2020 (after) videos\Test 2.szv</t>
  </si>
  <si>
    <t>NORT_24 08 2020 (after) videos\Test 3.szv</t>
  </si>
  <si>
    <t>13:38</t>
  </si>
  <si>
    <t>NORT_24 08 2020 (after) videos\Test 7.szv</t>
  </si>
  <si>
    <t>NORT_24 08 2020 (after) videos\Test 5.szv</t>
  </si>
  <si>
    <t>NORT_24 08 2020 (after) videos\Test 6.szv</t>
  </si>
  <si>
    <t>NORT_24 08 2020 (after) videos\Test 8.szv</t>
  </si>
  <si>
    <t>13:49</t>
  </si>
  <si>
    <t>NORT_24 08 2020 (after) videos\Test 11.szv</t>
  </si>
  <si>
    <t>13:48</t>
  </si>
  <si>
    <t>NORT_24 08 2020 (after) videos\Test 9.szv</t>
  </si>
  <si>
    <t>NORT_24 08 2020 (after) videos\Test 10.szv</t>
  </si>
  <si>
    <t>NORT_24 08 2020 (after) videos\Test 12.szv</t>
  </si>
  <si>
    <t>14:00</t>
  </si>
  <si>
    <t>NORT_24 08 2020 (after) videos\Test 14.szv</t>
  </si>
  <si>
    <t>13:59</t>
  </si>
  <si>
    <t>NORT_24 08 2020 (after) videos\Test 13.szv</t>
  </si>
  <si>
    <t>14:01</t>
  </si>
  <si>
    <t>NORT_24 08 2020 (after) videos\Test 16.szv</t>
  </si>
  <si>
    <t>NORT_24 08 2020 (after) videos\Test 15.szv</t>
  </si>
  <si>
    <t>14:28</t>
  </si>
  <si>
    <t>NORT_24 08 2020 (after) videos\Test 18.szv</t>
  </si>
  <si>
    <t>14:27</t>
  </si>
  <si>
    <t>NORT_24 08 2020 (after) videos\Test 17.szv</t>
  </si>
  <si>
    <t>NORT_24 08 2020 (after) videos\Test 19.szv</t>
  </si>
  <si>
    <t>NORT_24 08 2020 (after) videos\Test 20.szv</t>
  </si>
  <si>
    <t>14:42</t>
  </si>
  <si>
    <t>NORT_24 08 2020 (after) videos\Test 24.szv</t>
  </si>
  <si>
    <t>NORT_24 08 2020 (after) videos\Test 21.szv</t>
  </si>
  <si>
    <t>NORT_24 08 2020 (after) videos\Test 23.szv</t>
  </si>
  <si>
    <t>NORT_24 08 2020 (after) videos\Test 22.szv</t>
  </si>
  <si>
    <t>14:54</t>
  </si>
  <si>
    <t>NORT_24 08 2020 (after) videos\Test 26.szv</t>
  </si>
  <si>
    <t>NORT_24 08 2020 (after) videos\Test 25.szv</t>
  </si>
  <si>
    <t>NORT_24 08 2020 (after) videos\Test 27.szv</t>
  </si>
  <si>
    <t>NORT_24 08 2020 (after) videos\Test 28.szv</t>
  </si>
  <si>
    <t>15:05</t>
  </si>
  <si>
    <t>NORT_24 08 2020 (after) videos\Test 29.szv</t>
  </si>
  <si>
    <t>NORT_24 08 2020 (after) videos\Test 30.szv</t>
  </si>
  <si>
    <t>NORT_24 08 2020 (after) videos\Test 31.szv</t>
  </si>
  <si>
    <t>15:06</t>
  </si>
  <si>
    <t>NORT_24 08 2020 (after) videos\Test 32.szv</t>
  </si>
  <si>
    <t>15:17</t>
  </si>
  <si>
    <t>NORT_24 08 2020 (after) videos\Test 36.szv</t>
  </si>
  <si>
    <t>NORT_24 08 2020 (after) videos\Test 35.szv</t>
  </si>
  <si>
    <t>NORT_24 08 2020 (after) videos\Test 33.szv</t>
  </si>
  <si>
    <t>NORT_24 08 2020 (after) videos\Test 34.szv</t>
  </si>
  <si>
    <t>15:29</t>
  </si>
  <si>
    <t>NORT_24 08 2020 (after) videos\Test 38.szv</t>
  </si>
  <si>
    <t>NORT_24 08 2020 (after) videos\Test 39.szv</t>
  </si>
  <si>
    <t>NORT_24 08 2020 (after) videos\Test 40.szv</t>
  </si>
  <si>
    <t>15:28</t>
  </si>
  <si>
    <t>NORT_24 08 2020 (after) videos\Test 37.szv</t>
  </si>
  <si>
    <t>15:42</t>
  </si>
  <si>
    <t>NORT_24 08 2020 (after) videos\Test 41.szv</t>
  </si>
  <si>
    <t>NORT_24 08 2020 (after) videos\Test 42.szv</t>
  </si>
  <si>
    <t>NORT_24 08 2020 (after) videos\Test 43.szv</t>
  </si>
  <si>
    <t>25.08.2020</t>
  </si>
  <si>
    <t>14:40</t>
  </si>
  <si>
    <t>NORT_24 08 2020 (after) videos\Test 90.szv</t>
  </si>
  <si>
    <t>14:39</t>
  </si>
  <si>
    <t>NORT_24 08 2020 (after) videos\Test 89.szv</t>
  </si>
  <si>
    <t>NORT_24 08 2020 (after) videos\Test 87.szv</t>
  </si>
  <si>
    <t>NORT_24 08 2020 (after) videos\Test 88.szv</t>
  </si>
  <si>
    <t>14:55</t>
  </si>
  <si>
    <t>NORT_24 08 2020 (after) videos\Test 94.szv</t>
  </si>
  <si>
    <t>NORT_24 08 2020 (after) videos\Test 93.szv</t>
  </si>
  <si>
    <t>NORT_24 08 2020 (after) videos\Test 91.szv</t>
  </si>
  <si>
    <t>NORT_24 08 2020 (after) videos\Test 92.szv</t>
  </si>
  <si>
    <t>15:08</t>
  </si>
  <si>
    <t>NORT_24 08 2020 (after) videos\Test 96.szv</t>
  </si>
  <si>
    <t>NORT_24 08 2020 (after) videos\Test 95.szv</t>
  </si>
  <si>
    <t>NORT_24 08 2020 (after) videos\Test 97.szv</t>
  </si>
  <si>
    <t>15:09</t>
  </si>
  <si>
    <t>NORT_24 08 2020 (after) videos\Test 98.szv</t>
  </si>
  <si>
    <t>15:23</t>
  </si>
  <si>
    <t>NORT_24 08 2020 (after) videos\Test 102.szv</t>
  </si>
  <si>
    <t>15:22</t>
  </si>
  <si>
    <t>NORT_24 08 2020 (after) videos\Test 101.szv</t>
  </si>
  <si>
    <t>NORT_24 08 2020 (after) videos\Test 99.szv</t>
  </si>
  <si>
    <t>NORT_24 08 2020 (after) videos\Test 100.szv</t>
  </si>
  <si>
    <t>15:35</t>
  </si>
  <si>
    <t>NORT_24 08 2020 (after) videos\Test 104.szv</t>
  </si>
  <si>
    <t>NORT_24 08 2020 (after) videos\Test 103.szv</t>
  </si>
  <si>
    <t>15:36</t>
  </si>
  <si>
    <t>NORT_24 08 2020 (after) videos\Test 105.szv</t>
  </si>
  <si>
    <t>NORT_24 08 2020 (after) videos\Test 106.szv</t>
  </si>
  <si>
    <t>15:48</t>
  </si>
  <si>
    <t>NORT_24 08 2020 (after) videos\Test 108.szv</t>
  </si>
  <si>
    <t>NORT_24 08 2020 (after) videos\Test 107.szv</t>
  </si>
  <si>
    <t>NORT_24 08 2020 (after) videos\Test 109.szv</t>
  </si>
  <si>
    <t>NORT_24 08 2020 (after) videos\Test 110.szv</t>
  </si>
  <si>
    <t>16:01</t>
  </si>
  <si>
    <t>NORT_24 08 2020 (after) videos\Test 112.szv</t>
  </si>
  <si>
    <t>NORT_24 08 2020 (after) videos\Test 111.szv</t>
  </si>
  <si>
    <t>NORT_24 08 2020 (after) videos\Test 113.szv</t>
  </si>
  <si>
    <t>NORT_24 08 2020 (after) videos\Test 114.szv</t>
  </si>
  <si>
    <t>16:14</t>
  </si>
  <si>
    <t>NORT_24 08 2020 (after) videos\Test 116.szv</t>
  </si>
  <si>
    <t>NORT_24 08 2020 (after) videos\Test 115.szv</t>
  </si>
  <si>
    <t>NORT_24 08 2020 (after) videos\Test 118.szv</t>
  </si>
  <si>
    <t>NORT_24 08 2020 (after) videos\Test 117.szv</t>
  </si>
  <si>
    <t>16:28</t>
  </si>
  <si>
    <t>NORT_24 08 2020 (after) videos\Test 120.szv</t>
  </si>
  <si>
    <t>NORT_24 08 2020 (after) videos\Test 119.szv</t>
  </si>
  <si>
    <t>16:29</t>
  </si>
  <si>
    <t>NORT_24 08 2020 (after) videos\Test 121.szv</t>
  </si>
  <si>
    <t>NORT_24 08 2020 (after) videos\Test 122.szv</t>
  </si>
  <si>
    <t>NORT_24 08 2020 (after) videos\Test 124.szv</t>
  </si>
  <si>
    <t>NORT_24 08 2020 (after) videos\Test 123.szv</t>
  </si>
  <si>
    <t>NORT_24 08 2020 (after) videos\Test 125.szv</t>
  </si>
  <si>
    <t>NORT_24 08 2020 (after) videos\Test 126.szv</t>
  </si>
  <si>
    <t>16:54</t>
  </si>
  <si>
    <t>NORT_24 08 2020 (after) videos\Test 128.szv</t>
  </si>
  <si>
    <t>NORT_24 08 2020 (after) videos\Test 127.szv</t>
  </si>
  <si>
    <t>16:55</t>
  </si>
  <si>
    <t>NORT_24 08 2020 (after) videos\Test 129.szv</t>
  </si>
  <si>
    <t>09:41</t>
  </si>
  <si>
    <t>NORT_24 08 2020 (after) videos\Test 44.szv</t>
  </si>
  <si>
    <t>09:40</t>
  </si>
  <si>
    <t>NORT_24 08 2020 (after) videos\Test 46.szv</t>
  </si>
  <si>
    <t>NORT_24 08 2020 (after) videos\Test 45.szv</t>
  </si>
  <si>
    <t>NORT_24 08 2020 (after) videos\Test 47.szv</t>
  </si>
  <si>
    <t>09:55</t>
  </si>
  <si>
    <t>NORT_24 08 2020 (after) videos\Test 50.szv</t>
  </si>
  <si>
    <t>NORT_24 08 2020 (after) videos\Test 48.szv</t>
  </si>
  <si>
    <t>NORT_24 08 2020 (after) videos\Test 49.szv</t>
  </si>
  <si>
    <t>09:56</t>
  </si>
  <si>
    <t>NORT_24 08 2020 (after) videos\Test 51.szv</t>
  </si>
  <si>
    <t>10:09</t>
  </si>
  <si>
    <t>NORT_24 08 2020 (after) videos\Test 54.szv</t>
  </si>
  <si>
    <t>10:08</t>
  </si>
  <si>
    <t>NORT_24 08 2020 (after) videos\Test 52.szv</t>
  </si>
  <si>
    <t>NORT_24 08 2020 (after) videos\Test 53.szv</t>
  </si>
  <si>
    <t>NORT_24 08 2020 (after) videos\Test 55.szv</t>
  </si>
  <si>
    <t>10:24</t>
  </si>
  <si>
    <t>NORT_24 08 2020 (after) videos\Test 59.szv</t>
  </si>
  <si>
    <t>10:23</t>
  </si>
  <si>
    <t>NORT_24 08 2020 (after) videos\Test 57.szv</t>
  </si>
  <si>
    <t>NORT_24 08 2020 (after) videos\Test 56.szv</t>
  </si>
  <si>
    <t>NORT_24 08 2020 (after) videos\Test 58.szv</t>
  </si>
  <si>
    <t>10:38</t>
  </si>
  <si>
    <t>NORT_24 08 2020 (after) videos\Test 63.szv</t>
  </si>
  <si>
    <t>NORT_24 08 2020 (after) videos\Test 62.szv</t>
  </si>
  <si>
    <t>NORT_24 08 2020 (after) videos\Test 61.szv</t>
  </si>
  <si>
    <t>10:37</t>
  </si>
  <si>
    <t>NORT_24 08 2020 (after) videos\Test 60.szv</t>
  </si>
  <si>
    <t>10:52</t>
  </si>
  <si>
    <t>NORT_24 08 2020 (after) videos\Test 65.szv</t>
  </si>
  <si>
    <t>NORT_24 08 2020 (after) videos\Test 64.szv</t>
  </si>
  <si>
    <t>NORT_24 08 2020 (after) videos\Test 66.szv</t>
  </si>
  <si>
    <t>NORT_24 08 2020 (after) videos\Test 67.szv</t>
  </si>
  <si>
    <t>11:06</t>
  </si>
  <si>
    <t>NORT_24 08 2020 (after) videos\Test 71.szv</t>
  </si>
  <si>
    <t>NORT_24 08 2020 (after) videos\Test 70.szv</t>
  </si>
  <si>
    <t>NORT_24 08 2020 (after) videos\Test 68.szv</t>
  </si>
  <si>
    <t>NORT_24 08 2020 (after) videos\Test 69.szv</t>
  </si>
  <si>
    <t>11:20</t>
  </si>
  <si>
    <t>NORT_24 08 2020 (after) videos\Test 75.szv</t>
  </si>
  <si>
    <t>NORT_24 08 2020 (after) videos\Test 74.szv</t>
  </si>
  <si>
    <t>11:19</t>
  </si>
  <si>
    <t>NORT_24 08 2020 (after) videos\Test 72.szv</t>
  </si>
  <si>
    <t>NORT_24 08 2020 (after) videos\Test 73.szv</t>
  </si>
  <si>
    <t>11:35</t>
  </si>
  <si>
    <t>NORT_24 08 2020 (after) videos\Test 79.szv</t>
  </si>
  <si>
    <t>NORT_24 08 2020 (after) videos\Test 76.szv</t>
  </si>
  <si>
    <t>11:34</t>
  </si>
  <si>
    <t>NORT_24 08 2020 (after) videos\Test 77.szv</t>
  </si>
  <si>
    <t>NORT_24 08 2020 (after) videos\Test 78.szv</t>
  </si>
  <si>
    <t>11:53</t>
  </si>
  <si>
    <t>NORT_24 08 2020 (after) videos\Test 81.szv</t>
  </si>
  <si>
    <t>NORT_24 08 2020 (after) videos\Test 80.szv</t>
  </si>
  <si>
    <t>NORT_24 08 2020 (after) videos\Test 82.szv</t>
  </si>
  <si>
    <t>NORT_24 08 2020 (after) videos\Test 83.szv</t>
  </si>
  <si>
    <t>12:08</t>
  </si>
  <si>
    <t>NORT_24 08 2020 (after) videos\Test 85.szv</t>
  </si>
  <si>
    <t>NORT_24 08 2020 (after) videos\Test 84.szv</t>
  </si>
  <si>
    <t>NORT_24 08 2020 (after) videos\Test 86.szv</t>
  </si>
  <si>
    <t>Object bias score = (time exploring the object A/total time exploring both objects A1 and B1)*100</t>
  </si>
  <si>
    <t>E1: total exploration time in first trial (E1 = A1 + B1)</t>
  </si>
  <si>
    <t>E2: total exploration time in second trial E2 ( E2 = A2 + B2)</t>
  </si>
  <si>
    <t>D1: Absolute discrimination measure (D1 = B2- A2)</t>
  </si>
  <si>
    <t>D3: Novelty preference (D3 = B2/E2*100)</t>
  </si>
  <si>
    <t>D2: Discrimination index (D2 = D1/E2)</t>
  </si>
  <si>
    <t>kicks</t>
  </si>
  <si>
    <t>bump on stomach (L)</t>
  </si>
  <si>
    <t>very active</t>
  </si>
  <si>
    <t>jumping all the time</t>
  </si>
  <si>
    <t>active</t>
  </si>
  <si>
    <t>was numerated as 3, then changed to 5</t>
  </si>
  <si>
    <t>shoked during restrain</t>
  </si>
  <si>
    <t>looks like 3</t>
  </si>
  <si>
    <t>stressed</t>
  </si>
  <si>
    <t>stereotypic running</t>
  </si>
  <si>
    <t>bullied</t>
  </si>
  <si>
    <t>barbed stomach</t>
  </si>
  <si>
    <t>kicks, bullied, stressed</t>
  </si>
  <si>
    <t>epileptic seizures, had a treadmill</t>
  </si>
  <si>
    <t xml:space="preserve"> -/-</t>
  </si>
  <si>
    <t>wt</t>
  </si>
  <si>
    <t>lactate</t>
  </si>
  <si>
    <t>tg</t>
  </si>
  <si>
    <t xml:space="preserve"> +/+</t>
  </si>
  <si>
    <t>PBS</t>
  </si>
  <si>
    <t>HCAR1</t>
  </si>
  <si>
    <t>5XFAD</t>
  </si>
  <si>
    <t>Age (days)</t>
  </si>
  <si>
    <t>Age (months)</t>
  </si>
  <si>
    <t>Treatment</t>
  </si>
  <si>
    <t>Group</t>
  </si>
  <si>
    <t>All comments</t>
  </si>
  <si>
    <t>Sex</t>
  </si>
  <si>
    <t>Male</t>
  </si>
  <si>
    <t>Female</t>
  </si>
  <si>
    <t>Group 1</t>
  </si>
  <si>
    <t>Group 2</t>
  </si>
  <si>
    <t>Group 3</t>
  </si>
  <si>
    <t>Grou 4</t>
  </si>
  <si>
    <t>Group 5</t>
  </si>
  <si>
    <t>Group 6</t>
  </si>
  <si>
    <t>Group 7</t>
  </si>
  <si>
    <t xml:space="preserve">Group 8 </t>
  </si>
  <si>
    <t xml:space="preserve">Group </t>
  </si>
  <si>
    <t>Before</t>
  </si>
  <si>
    <t>After</t>
  </si>
  <si>
    <t>Tg KO+LAC</t>
  </si>
  <si>
    <t>Tg KO</t>
  </si>
  <si>
    <t>Wt KO+LAC</t>
  </si>
  <si>
    <t>Wt KO</t>
  </si>
  <si>
    <t>Tg+LAC</t>
  </si>
  <si>
    <t>Tg</t>
  </si>
  <si>
    <t>WT+LAC</t>
  </si>
  <si>
    <t>Wt</t>
  </si>
  <si>
    <t>Average</t>
  </si>
  <si>
    <t>std</t>
  </si>
  <si>
    <t>Periphery</t>
  </si>
  <si>
    <t>Center</t>
  </si>
  <si>
    <t>BEFORE</t>
  </si>
  <si>
    <t>AFTER</t>
  </si>
  <si>
    <t>Column1</t>
  </si>
  <si>
    <t>Animal2</t>
  </si>
  <si>
    <t>Apparatus3</t>
  </si>
  <si>
    <t>Date4</t>
  </si>
  <si>
    <t>Time5</t>
  </si>
  <si>
    <t>Distance6</t>
  </si>
  <si>
    <t>Mean_speed7</t>
  </si>
  <si>
    <t>Max_speed8</t>
  </si>
  <si>
    <t>Time_freezing9</t>
  </si>
  <si>
    <t>E2: total exploration time in second trial E2 ( E2 = A2 + B2)10</t>
  </si>
  <si>
    <t>D1: Absolute discrimination measure (D1 = B2- A2)11</t>
  </si>
  <si>
    <t>D2: Discrimination index (D2 = D1/E2)12</t>
  </si>
  <si>
    <t>D3: Novelty preference (D3 = B2/E2*100)13</t>
  </si>
  <si>
    <t>Object bias score = (time exploring the object A/total time exploring both objects A1 and B1)*10014</t>
  </si>
  <si>
    <t>Age (days)15</t>
  </si>
  <si>
    <t>Age (months)16</t>
  </si>
  <si>
    <t>Group 4</t>
  </si>
  <si>
    <t>Group 8</t>
  </si>
  <si>
    <t>D1: Absolute discrimination measure</t>
  </si>
  <si>
    <t xml:space="preserve">D2: Discrimination index </t>
  </si>
  <si>
    <t xml:space="preserve">D3: Novelty preference </t>
  </si>
  <si>
    <t xml:space="preserve">Object bias score </t>
  </si>
  <si>
    <t>T2</t>
  </si>
  <si>
    <t>SEM</t>
  </si>
  <si>
    <t>SEM (novelty preference)</t>
  </si>
  <si>
    <t>A is up, B is down</t>
  </si>
  <si>
    <t>A is down, B is up</t>
  </si>
  <si>
    <t>Relative time Inside</t>
  </si>
  <si>
    <t>Relative time Outside</t>
  </si>
  <si>
    <t>Relative distance Inside</t>
  </si>
  <si>
    <t>Relative distance Outside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</si>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</sst>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5" x14ac:knownFonts="1">
    <font>
      <sz val="10"/>
      <name val="Arial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4472C4"/>
      </patternFill>
    </fill>
    <fill>
      <patternFill patternType="solid">
        <fgColor theme="5" tint="0.79998168889431442"/>
        <bgColor rgb="FFD9E1F2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EA9DB"/>
      </left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8EA9DB"/>
      </right>
      <top style="thin">
        <color rgb="FF4472C4"/>
      </top>
      <bottom style="thin">
        <color rgb="FF4472C4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4472C4"/>
      </bottom>
      <diagonal/>
    </border>
    <border>
      <left/>
      <right/>
      <top style="thin">
        <color rgb="FF8EA9DB"/>
      </top>
      <bottom style="thin">
        <color rgb="FF4472C4"/>
      </bottom>
      <diagonal/>
    </border>
    <border>
      <left/>
      <right style="thin">
        <color rgb="FF8EA9DB"/>
      </right>
      <top style="thin">
        <color rgb="FF8EA9DB"/>
      </top>
      <bottom style="thin">
        <color rgb="FF4472C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 tint="0.39997558519241921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4"/>
      </bottom>
      <diagonal/>
    </border>
    <border>
      <left/>
      <right style="medium">
        <color indexed="64"/>
      </right>
      <top style="medium">
        <color indexed="64"/>
      </top>
      <bottom style="thin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33" fillId="0" borderId="0" applyFont="0" applyFill="0" applyBorder="0" applyAlignment="0" applyProtection="0"/>
  </cellStyleXfs>
  <cellXfs count="345">
    <xf numFmtId="0" fontId="0" fillId="0" borderId="0" xfId="0"/>
    <xf numFmtId="0" fontId="20" fillId="0" borderId="0" xfId="0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20" fillId="0" borderId="0" xfId="0" applyFont="1" applyAlignment="1" applyProtection="1">
      <alignment horizontal="center" vertical="center"/>
    </xf>
    <xf numFmtId="164" fontId="20" fillId="0" borderId="0" xfId="0" applyNumberFormat="1" applyFont="1" applyAlignment="1" applyProtection="1">
      <alignment horizontal="center" vertical="center"/>
    </xf>
    <xf numFmtId="1" fontId="20" fillId="0" borderId="0" xfId="0" applyNumberFormat="1" applyFont="1" applyAlignment="1" applyProtection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164" fontId="20" fillId="34" borderId="10" xfId="0" applyNumberFormat="1" applyFont="1" applyFill="1" applyBorder="1" applyAlignment="1">
      <alignment horizontal="center" vertical="center"/>
    </xf>
    <xf numFmtId="165" fontId="20" fillId="34" borderId="10" xfId="0" applyNumberFormat="1" applyFont="1" applyFill="1" applyBorder="1" applyAlignment="1">
      <alignment horizontal="center" vertical="center"/>
    </xf>
    <xf numFmtId="1" fontId="20" fillId="34" borderId="10" xfId="0" applyNumberFormat="1" applyFont="1" applyFill="1" applyBorder="1" applyAlignment="1">
      <alignment horizontal="center" vertical="center"/>
    </xf>
    <xf numFmtId="1" fontId="20" fillId="34" borderId="10" xfId="0" applyNumberFormat="1" applyFont="1" applyFill="1" applyBorder="1" applyAlignment="1" applyProtection="1">
      <alignment horizontal="center" vertical="center"/>
    </xf>
    <xf numFmtId="164" fontId="20" fillId="34" borderId="10" xfId="0" applyNumberFormat="1" applyFont="1" applyFill="1" applyBorder="1" applyAlignment="1" applyProtection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164" fontId="20" fillId="35" borderId="10" xfId="0" applyNumberFormat="1" applyFont="1" applyFill="1" applyBorder="1" applyAlignment="1">
      <alignment horizontal="center" vertical="center"/>
    </xf>
    <xf numFmtId="165" fontId="20" fillId="35" borderId="10" xfId="0" applyNumberFormat="1" applyFont="1" applyFill="1" applyBorder="1" applyAlignment="1">
      <alignment horizontal="center" vertical="center"/>
    </xf>
    <xf numFmtId="1" fontId="20" fillId="35" borderId="10" xfId="0" applyNumberFormat="1" applyFont="1" applyFill="1" applyBorder="1" applyAlignment="1">
      <alignment horizontal="center" vertical="center"/>
    </xf>
    <xf numFmtId="1" fontId="20" fillId="35" borderId="10" xfId="0" applyNumberFormat="1" applyFont="1" applyFill="1" applyBorder="1" applyAlignment="1" applyProtection="1">
      <alignment horizontal="center" vertical="center"/>
    </xf>
    <xf numFmtId="164" fontId="20" fillId="35" borderId="10" xfId="0" applyNumberFormat="1" applyFont="1" applyFill="1" applyBorder="1" applyAlignment="1" applyProtection="1">
      <alignment horizontal="center" vertical="center"/>
    </xf>
    <xf numFmtId="1" fontId="21" fillId="34" borderId="10" xfId="0" applyNumberFormat="1" applyFont="1" applyFill="1" applyBorder="1" applyAlignment="1" applyProtection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164" fontId="21" fillId="34" borderId="10" xfId="0" applyNumberFormat="1" applyFont="1" applyFill="1" applyBorder="1" applyAlignment="1">
      <alignment horizontal="center" vertical="center"/>
    </xf>
    <xf numFmtId="1" fontId="21" fillId="35" borderId="10" xfId="0" applyNumberFormat="1" applyFont="1" applyFill="1" applyBorder="1" applyAlignment="1" applyProtection="1">
      <alignment horizontal="center" vertical="center"/>
    </xf>
    <xf numFmtId="164" fontId="21" fillId="35" borderId="10" xfId="0" applyNumberFormat="1" applyFont="1" applyFill="1" applyBorder="1" applyAlignment="1" applyProtection="1">
      <alignment horizontal="center" vertical="center"/>
    </xf>
    <xf numFmtId="0" fontId="21" fillId="35" borderId="10" xfId="0" applyFont="1" applyFill="1" applyBorder="1" applyAlignment="1">
      <alignment horizontal="center" vertical="center"/>
    </xf>
    <xf numFmtId="164" fontId="21" fillId="35" borderId="10" xfId="0" applyNumberFormat="1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6" fillId="0" borderId="0" xfId="0" applyFont="1"/>
    <xf numFmtId="0" fontId="25" fillId="36" borderId="13" xfId="0" applyFont="1" applyFill="1" applyBorder="1" applyAlignment="1">
      <alignment horizontal="center"/>
    </xf>
    <xf numFmtId="0" fontId="25" fillId="36" borderId="14" xfId="0" applyFont="1" applyFill="1" applyBorder="1" applyAlignment="1">
      <alignment horizontal="center"/>
    </xf>
    <xf numFmtId="165" fontId="25" fillId="36" borderId="14" xfId="0" applyNumberFormat="1" applyFont="1" applyFill="1" applyBorder="1" applyAlignment="1">
      <alignment horizontal="center"/>
    </xf>
    <xf numFmtId="164" fontId="25" fillId="36" borderId="14" xfId="0" applyNumberFormat="1" applyFont="1" applyFill="1" applyBorder="1" applyAlignment="1">
      <alignment horizontal="center"/>
    </xf>
    <xf numFmtId="1" fontId="25" fillId="36" borderId="14" xfId="0" applyNumberFormat="1" applyFont="1" applyFill="1" applyBorder="1" applyAlignment="1">
      <alignment horizontal="center"/>
    </xf>
    <xf numFmtId="0" fontId="25" fillId="36" borderId="14" xfId="0" applyFont="1" applyFill="1" applyBorder="1" applyAlignment="1">
      <alignment horizontal="center" vertical="center"/>
    </xf>
    <xf numFmtId="0" fontId="25" fillId="36" borderId="15" xfId="0" applyFont="1" applyFill="1" applyBorder="1" applyAlignment="1">
      <alignment horizontal="center" vertical="center"/>
    </xf>
    <xf numFmtId="0" fontId="18" fillId="37" borderId="16" xfId="0" applyFont="1" applyFill="1" applyBorder="1" applyAlignment="1">
      <alignment horizontal="center"/>
    </xf>
    <xf numFmtId="0" fontId="18" fillId="37" borderId="17" xfId="0" applyFont="1" applyFill="1" applyBorder="1" applyAlignment="1">
      <alignment horizontal="center"/>
    </xf>
    <xf numFmtId="165" fontId="18" fillId="37" borderId="17" xfId="0" applyNumberFormat="1" applyFont="1" applyFill="1" applyBorder="1" applyAlignment="1">
      <alignment horizontal="center"/>
    </xf>
    <xf numFmtId="164" fontId="18" fillId="37" borderId="17" xfId="0" applyNumberFormat="1" applyFont="1" applyFill="1" applyBorder="1" applyAlignment="1">
      <alignment horizontal="center"/>
    </xf>
    <xf numFmtId="1" fontId="18" fillId="37" borderId="17" xfId="0" applyNumberFormat="1" applyFont="1" applyFill="1" applyBorder="1" applyAlignment="1">
      <alignment horizontal="center"/>
    </xf>
    <xf numFmtId="0" fontId="18" fillId="37" borderId="17" xfId="0" applyFont="1" applyFill="1" applyBorder="1" applyAlignment="1">
      <alignment horizontal="center" vertical="center"/>
    </xf>
    <xf numFmtId="1" fontId="18" fillId="37" borderId="18" xfId="0" applyNumberFormat="1" applyFont="1" applyFill="1" applyBorder="1" applyAlignment="1">
      <alignment horizontal="center"/>
    </xf>
    <xf numFmtId="0" fontId="25" fillId="36" borderId="13" xfId="0" applyFont="1" applyFill="1" applyBorder="1" applyAlignment="1">
      <alignment horizontal="center" vertical="center"/>
    </xf>
    <xf numFmtId="165" fontId="25" fillId="36" borderId="14" xfId="0" applyNumberFormat="1" applyFont="1" applyFill="1" applyBorder="1" applyAlignment="1">
      <alignment horizontal="center" vertical="center"/>
    </xf>
    <xf numFmtId="164" fontId="25" fillId="36" borderId="14" xfId="0" applyNumberFormat="1" applyFont="1" applyFill="1" applyBorder="1" applyAlignment="1">
      <alignment horizontal="center" vertical="center"/>
    </xf>
    <xf numFmtId="1" fontId="25" fillId="36" borderId="14" xfId="0" applyNumberFormat="1" applyFont="1" applyFill="1" applyBorder="1" applyAlignment="1">
      <alignment horizontal="center" vertical="center"/>
    </xf>
    <xf numFmtId="0" fontId="25" fillId="37" borderId="16" xfId="0" applyFont="1" applyFill="1" applyBorder="1" applyAlignment="1">
      <alignment horizontal="center" vertical="center"/>
    </xf>
    <xf numFmtId="165" fontId="18" fillId="37" borderId="17" xfId="0" applyNumberFormat="1" applyFont="1" applyFill="1" applyBorder="1" applyAlignment="1">
      <alignment horizontal="center" vertical="center"/>
    </xf>
    <xf numFmtId="164" fontId="18" fillId="37" borderId="17" xfId="0" applyNumberFormat="1" applyFont="1" applyFill="1" applyBorder="1" applyAlignment="1">
      <alignment horizontal="center" vertical="center"/>
    </xf>
    <xf numFmtId="1" fontId="18" fillId="37" borderId="17" xfId="0" applyNumberFormat="1" applyFont="1" applyFill="1" applyBorder="1" applyAlignment="1">
      <alignment horizontal="center" vertical="center"/>
    </xf>
    <xf numFmtId="0" fontId="18" fillId="37" borderId="18" xfId="0" applyFont="1" applyFill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65" fontId="18" fillId="0" borderId="17" xfId="0" applyNumberFormat="1" applyFont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1" fontId="18" fillId="0" borderId="17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" fontId="18" fillId="0" borderId="17" xfId="0" applyNumberFormat="1" applyFont="1" applyBorder="1" applyAlignment="1">
      <alignment horizontal="center"/>
    </xf>
    <xf numFmtId="1" fontId="18" fillId="0" borderId="18" xfId="0" applyNumberFormat="1" applyFont="1" applyBorder="1" applyAlignment="1">
      <alignment horizontal="center"/>
    </xf>
    <xf numFmtId="0" fontId="25" fillId="38" borderId="16" xfId="0" applyFont="1" applyFill="1" applyBorder="1" applyAlignment="1">
      <alignment horizontal="center" vertical="center"/>
    </xf>
    <xf numFmtId="0" fontId="18" fillId="38" borderId="17" xfId="0" applyFont="1" applyFill="1" applyBorder="1" applyAlignment="1">
      <alignment horizontal="center" vertical="center"/>
    </xf>
    <xf numFmtId="165" fontId="18" fillId="38" borderId="17" xfId="0" applyNumberFormat="1" applyFont="1" applyFill="1" applyBorder="1" applyAlignment="1">
      <alignment horizontal="center" vertical="center"/>
    </xf>
    <xf numFmtId="164" fontId="18" fillId="38" borderId="17" xfId="0" applyNumberFormat="1" applyFont="1" applyFill="1" applyBorder="1" applyAlignment="1">
      <alignment horizontal="center" vertical="center"/>
    </xf>
    <xf numFmtId="1" fontId="18" fillId="38" borderId="17" xfId="0" applyNumberFormat="1" applyFont="1" applyFill="1" applyBorder="1" applyAlignment="1">
      <alignment horizontal="center" vertical="center"/>
    </xf>
    <xf numFmtId="0" fontId="18" fillId="38" borderId="18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165" fontId="18" fillId="0" borderId="20" xfId="0" applyNumberFormat="1" applyFont="1" applyBorder="1" applyAlignment="1">
      <alignment horizontal="center"/>
    </xf>
    <xf numFmtId="164" fontId="18" fillId="0" borderId="20" xfId="0" applyNumberFormat="1" applyFont="1" applyBorder="1" applyAlignment="1">
      <alignment horizontal="center"/>
    </xf>
    <xf numFmtId="1" fontId="18" fillId="0" borderId="20" xfId="0" applyNumberFormat="1" applyFont="1" applyBorder="1" applyAlignment="1">
      <alignment horizontal="center"/>
    </xf>
    <xf numFmtId="0" fontId="18" fillId="0" borderId="20" xfId="0" applyFont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/>
    </xf>
    <xf numFmtId="0" fontId="25" fillId="37" borderId="19" xfId="0" applyFont="1" applyFill="1" applyBorder="1" applyAlignment="1">
      <alignment horizontal="center" vertical="center"/>
    </xf>
    <xf numFmtId="0" fontId="18" fillId="37" borderId="20" xfId="0" applyFont="1" applyFill="1" applyBorder="1" applyAlignment="1">
      <alignment horizontal="center" vertical="center"/>
    </xf>
    <xf numFmtId="165" fontId="18" fillId="37" borderId="20" xfId="0" applyNumberFormat="1" applyFont="1" applyFill="1" applyBorder="1" applyAlignment="1">
      <alignment horizontal="center" vertical="center"/>
    </xf>
    <xf numFmtId="164" fontId="18" fillId="37" borderId="20" xfId="0" applyNumberFormat="1" applyFont="1" applyFill="1" applyBorder="1" applyAlignment="1">
      <alignment horizontal="center" vertical="center"/>
    </xf>
    <xf numFmtId="1" fontId="18" fillId="37" borderId="20" xfId="0" applyNumberFormat="1" applyFont="1" applyFill="1" applyBorder="1" applyAlignment="1">
      <alignment horizontal="center" vertical="center"/>
    </xf>
    <xf numFmtId="0" fontId="18" fillId="37" borderId="21" xfId="0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64" fontId="20" fillId="0" borderId="23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" fontId="24" fillId="0" borderId="23" xfId="0" applyNumberFormat="1" applyFont="1" applyBorder="1" applyAlignment="1">
      <alignment horizontal="center" vertical="center"/>
    </xf>
    <xf numFmtId="1" fontId="27" fillId="0" borderId="23" xfId="0" applyNumberFormat="1" applyFont="1" applyBorder="1" applyAlignment="1">
      <alignment horizontal="center" vertical="center"/>
    </xf>
    <xf numFmtId="0" fontId="0" fillId="39" borderId="0" xfId="0" applyFill="1"/>
    <xf numFmtId="164" fontId="25" fillId="40" borderId="14" xfId="0" applyNumberFormat="1" applyFont="1" applyFill="1" applyBorder="1" applyAlignment="1">
      <alignment horizontal="center"/>
    </xf>
    <xf numFmtId="164" fontId="18" fillId="41" borderId="17" xfId="0" applyNumberFormat="1" applyFont="1" applyFill="1" applyBorder="1" applyAlignment="1">
      <alignment horizontal="center"/>
    </xf>
    <xf numFmtId="1" fontId="20" fillId="39" borderId="23" xfId="0" applyNumberFormat="1" applyFont="1" applyFill="1" applyBorder="1" applyAlignment="1">
      <alignment horizontal="center" vertical="center"/>
    </xf>
    <xf numFmtId="1" fontId="20" fillId="39" borderId="0" xfId="0" applyNumberFormat="1" applyFont="1" applyFill="1" applyAlignment="1">
      <alignment horizontal="center" vertical="center"/>
    </xf>
    <xf numFmtId="0" fontId="26" fillId="39" borderId="0" xfId="0" applyFont="1" applyFill="1"/>
    <xf numFmtId="164" fontId="25" fillId="40" borderId="14" xfId="0" applyNumberFormat="1" applyFont="1" applyFill="1" applyBorder="1" applyAlignment="1">
      <alignment horizontal="center" vertical="center"/>
    </xf>
    <xf numFmtId="164" fontId="18" fillId="41" borderId="17" xfId="0" applyNumberFormat="1" applyFont="1" applyFill="1" applyBorder="1" applyAlignment="1">
      <alignment horizontal="center" vertical="center"/>
    </xf>
    <xf numFmtId="164" fontId="18" fillId="39" borderId="17" xfId="0" applyNumberFormat="1" applyFont="1" applyFill="1" applyBorder="1" applyAlignment="1">
      <alignment horizontal="center" vertical="center"/>
    </xf>
    <xf numFmtId="164" fontId="18" fillId="39" borderId="17" xfId="0" applyNumberFormat="1" applyFont="1" applyFill="1" applyBorder="1" applyAlignment="1">
      <alignment horizontal="center"/>
    </xf>
    <xf numFmtId="164" fontId="18" fillId="42" borderId="17" xfId="0" applyNumberFormat="1" applyFont="1" applyFill="1" applyBorder="1" applyAlignment="1">
      <alignment horizontal="center" vertical="center"/>
    </xf>
    <xf numFmtId="164" fontId="18" fillId="39" borderId="20" xfId="0" applyNumberFormat="1" applyFont="1" applyFill="1" applyBorder="1" applyAlignment="1">
      <alignment horizontal="center"/>
    </xf>
    <xf numFmtId="164" fontId="18" fillId="41" borderId="20" xfId="0" applyNumberFormat="1" applyFont="1" applyFill="1" applyBorder="1" applyAlignment="1">
      <alignment horizontal="center" vertical="center"/>
    </xf>
    <xf numFmtId="164" fontId="20" fillId="39" borderId="0" xfId="0" applyNumberFormat="1" applyFont="1" applyFill="1" applyAlignment="1">
      <alignment horizontal="center" vertical="center"/>
    </xf>
    <xf numFmtId="0" fontId="26" fillId="0" borderId="24" xfId="0" applyFont="1" applyBorder="1"/>
    <xf numFmtId="0" fontId="26" fillId="0" borderId="25" xfId="0" applyFont="1" applyBorder="1"/>
    <xf numFmtId="0" fontId="0" fillId="0" borderId="26" xfId="0" applyBorder="1"/>
    <xf numFmtId="1" fontId="24" fillId="0" borderId="27" xfId="0" applyNumberFormat="1" applyFont="1" applyBorder="1" applyAlignment="1">
      <alignment horizontal="center" vertical="center"/>
    </xf>
    <xf numFmtId="1" fontId="24" fillId="0" borderId="0" xfId="0" applyNumberFormat="1" applyFont="1" applyBorder="1" applyAlignment="1">
      <alignment horizontal="center" vertical="center"/>
    </xf>
    <xf numFmtId="1" fontId="24" fillId="0" borderId="28" xfId="0" applyNumberFormat="1" applyFont="1" applyBorder="1" applyAlignment="1">
      <alignment horizontal="center" vertical="center"/>
    </xf>
    <xf numFmtId="0" fontId="26" fillId="0" borderId="27" xfId="0" applyFont="1" applyBorder="1"/>
    <xf numFmtId="1" fontId="0" fillId="0" borderId="0" xfId="0" applyNumberFormat="1" applyBorder="1"/>
    <xf numFmtId="0" fontId="26" fillId="0" borderId="29" xfId="0" applyFont="1" applyBorder="1"/>
    <xf numFmtId="10" fontId="0" fillId="0" borderId="0" xfId="0" applyNumberFormat="1" applyBorder="1"/>
    <xf numFmtId="10" fontId="0" fillId="0" borderId="30" xfId="0" applyNumberFormat="1" applyBorder="1"/>
    <xf numFmtId="10" fontId="0" fillId="0" borderId="28" xfId="0" applyNumberFormat="1" applyBorder="1"/>
    <xf numFmtId="10" fontId="0" fillId="0" borderId="31" xfId="0" applyNumberFormat="1" applyBorder="1"/>
    <xf numFmtId="0" fontId="24" fillId="0" borderId="32" xfId="0" applyNumberFormat="1" applyFont="1" applyBorder="1" applyAlignment="1">
      <alignment horizontal="center"/>
    </xf>
    <xf numFmtId="0" fontId="24" fillId="0" borderId="32" xfId="0" applyFont="1" applyBorder="1" applyAlignment="1">
      <alignment horizontal="center"/>
    </xf>
    <xf numFmtId="164" fontId="24" fillId="0" borderId="32" xfId="0" applyNumberFormat="1" applyFont="1" applyBorder="1" applyAlignment="1">
      <alignment horizontal="center"/>
    </xf>
    <xf numFmtId="165" fontId="24" fillId="0" borderId="32" xfId="0" applyNumberFormat="1" applyFont="1" applyBorder="1" applyAlignment="1">
      <alignment horizontal="center"/>
    </xf>
    <xf numFmtId="1" fontId="24" fillId="0" borderId="32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0" fillId="35" borderId="10" xfId="0" applyNumberFormat="1" applyFont="1" applyFill="1" applyBorder="1" applyAlignment="1">
      <alignment horizontal="center"/>
    </xf>
    <xf numFmtId="0" fontId="20" fillId="35" borderId="10" xfId="0" applyFont="1" applyFill="1" applyBorder="1" applyAlignment="1">
      <alignment horizontal="center"/>
    </xf>
    <xf numFmtId="164" fontId="20" fillId="35" borderId="10" xfId="0" applyNumberFormat="1" applyFont="1" applyFill="1" applyBorder="1" applyAlignment="1">
      <alignment horizontal="center"/>
    </xf>
    <xf numFmtId="165" fontId="20" fillId="35" borderId="10" xfId="0" applyNumberFormat="1" applyFont="1" applyFill="1" applyBorder="1" applyAlignment="1">
      <alignment horizontal="center"/>
    </xf>
    <xf numFmtId="1" fontId="20" fillId="35" borderId="10" xfId="0" applyNumberFormat="1" applyFont="1" applyFill="1" applyBorder="1" applyAlignment="1">
      <alignment horizontal="center"/>
    </xf>
    <xf numFmtId="1" fontId="20" fillId="35" borderId="11" xfId="0" applyNumberFormat="1" applyFont="1" applyFill="1" applyBorder="1" applyAlignment="1">
      <alignment horizontal="center"/>
    </xf>
    <xf numFmtId="0" fontId="21" fillId="35" borderId="10" xfId="0" applyNumberFormat="1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/>
    </xf>
    <xf numFmtId="164" fontId="21" fillId="35" borderId="10" xfId="0" applyNumberFormat="1" applyFont="1" applyFill="1" applyBorder="1" applyAlignment="1">
      <alignment horizontal="center"/>
    </xf>
    <xf numFmtId="165" fontId="21" fillId="35" borderId="10" xfId="0" applyNumberFormat="1" applyFont="1" applyFill="1" applyBorder="1" applyAlignment="1">
      <alignment horizontal="center"/>
    </xf>
    <xf numFmtId="1" fontId="21" fillId="35" borderId="10" xfId="0" applyNumberFormat="1" applyFont="1" applyFill="1" applyBorder="1" applyAlignment="1">
      <alignment horizontal="center" vertical="center"/>
    </xf>
    <xf numFmtId="1" fontId="23" fillId="35" borderId="10" xfId="0" applyNumberFormat="1" applyFont="1" applyFill="1" applyBorder="1" applyAlignment="1">
      <alignment horizontal="center"/>
    </xf>
    <xf numFmtId="1" fontId="23" fillId="35" borderId="11" xfId="0" applyNumberFormat="1" applyFont="1" applyFill="1" applyBorder="1" applyAlignment="1">
      <alignment horizontal="center"/>
    </xf>
    <xf numFmtId="0" fontId="23" fillId="35" borderId="10" xfId="0" applyFont="1" applyFill="1" applyBorder="1" applyAlignment="1">
      <alignment horizontal="center"/>
    </xf>
    <xf numFmtId="164" fontId="23" fillId="35" borderId="10" xfId="0" applyNumberFormat="1" applyFont="1" applyFill="1" applyBorder="1" applyAlignment="1">
      <alignment horizontal="center"/>
    </xf>
    <xf numFmtId="1" fontId="21" fillId="34" borderId="10" xfId="0" applyNumberFormat="1" applyFont="1" applyFill="1" applyBorder="1" applyAlignment="1">
      <alignment horizontal="center" vertical="center"/>
    </xf>
    <xf numFmtId="164" fontId="24" fillId="0" borderId="32" xfId="0" applyNumberFormat="1" applyFont="1" applyBorder="1" applyAlignment="1">
      <alignment horizontal="center" vertical="center"/>
    </xf>
    <xf numFmtId="165" fontId="24" fillId="0" borderId="32" xfId="0" applyNumberFormat="1" applyFont="1" applyBorder="1" applyAlignment="1">
      <alignment horizontal="center" vertical="center"/>
    </xf>
    <xf numFmtId="0" fontId="24" fillId="35" borderId="10" xfId="0" applyFont="1" applyFill="1" applyBorder="1" applyAlignment="1">
      <alignment horizontal="center" vertical="center"/>
    </xf>
    <xf numFmtId="0" fontId="28" fillId="44" borderId="34" xfId="0" applyFont="1" applyFill="1" applyBorder="1"/>
    <xf numFmtId="0" fontId="19" fillId="43" borderId="34" xfId="0" applyFont="1" applyFill="1" applyBorder="1"/>
    <xf numFmtId="0" fontId="19" fillId="0" borderId="34" xfId="0" applyFont="1" applyBorder="1"/>
    <xf numFmtId="0" fontId="24" fillId="44" borderId="33" xfId="0" applyNumberFormat="1" applyFont="1" applyFill="1" applyBorder="1" applyAlignment="1">
      <alignment horizontal="center"/>
    </xf>
    <xf numFmtId="0" fontId="24" fillId="44" borderId="32" xfId="0" applyFont="1" applyFill="1" applyBorder="1" applyAlignment="1">
      <alignment horizontal="center"/>
    </xf>
    <xf numFmtId="165" fontId="24" fillId="44" borderId="32" xfId="0" applyNumberFormat="1" applyFont="1" applyFill="1" applyBorder="1" applyAlignment="1">
      <alignment horizontal="center"/>
    </xf>
    <xf numFmtId="164" fontId="24" fillId="44" borderId="32" xfId="0" applyNumberFormat="1" applyFont="1" applyFill="1" applyBorder="1" applyAlignment="1">
      <alignment horizontal="center"/>
    </xf>
    <xf numFmtId="1" fontId="24" fillId="44" borderId="32" xfId="0" applyNumberFormat="1" applyFont="1" applyFill="1" applyBorder="1" applyAlignment="1">
      <alignment horizontal="center" vertical="center"/>
    </xf>
    <xf numFmtId="0" fontId="24" fillId="44" borderId="32" xfId="0" applyFont="1" applyFill="1" applyBorder="1" applyAlignment="1">
      <alignment horizontal="center" vertical="center"/>
    </xf>
    <xf numFmtId="165" fontId="24" fillId="44" borderId="32" xfId="0" applyNumberFormat="1" applyFont="1" applyFill="1" applyBorder="1" applyAlignment="1">
      <alignment horizontal="center" vertical="center"/>
    </xf>
    <xf numFmtId="164" fontId="24" fillId="44" borderId="32" xfId="0" applyNumberFormat="1" applyFont="1" applyFill="1" applyBorder="1" applyAlignment="1">
      <alignment horizontal="center" vertical="center"/>
    </xf>
    <xf numFmtId="164" fontId="24" fillId="44" borderId="35" xfId="0" applyNumberFormat="1" applyFont="1" applyFill="1" applyBorder="1" applyAlignment="1">
      <alignment horizontal="center" vertical="center"/>
    </xf>
    <xf numFmtId="0" fontId="20" fillId="35" borderId="0" xfId="0" applyNumberFormat="1" applyFont="1" applyFill="1" applyBorder="1" applyAlignment="1">
      <alignment horizontal="center"/>
    </xf>
    <xf numFmtId="0" fontId="26" fillId="0" borderId="0" xfId="0" applyFont="1" applyBorder="1"/>
    <xf numFmtId="0" fontId="29" fillId="36" borderId="17" xfId="0" applyFont="1" applyFill="1" applyBorder="1"/>
    <xf numFmtId="164" fontId="25" fillId="36" borderId="15" xfId="0" applyNumberFormat="1" applyFont="1" applyFill="1" applyBorder="1" applyAlignment="1">
      <alignment horizontal="center" vertical="center"/>
    </xf>
    <xf numFmtId="0" fontId="18" fillId="45" borderId="10" xfId="0" applyFont="1" applyFill="1" applyBorder="1" applyAlignment="1">
      <alignment horizontal="center"/>
    </xf>
    <xf numFmtId="0" fontId="18" fillId="45" borderId="10" xfId="0" applyNumberFormat="1" applyFont="1" applyFill="1" applyBorder="1" applyAlignment="1">
      <alignment horizontal="center"/>
    </xf>
    <xf numFmtId="165" fontId="18" fillId="45" borderId="10" xfId="0" applyNumberFormat="1" applyFont="1" applyFill="1" applyBorder="1" applyAlignment="1">
      <alignment horizontal="center"/>
    </xf>
    <xf numFmtId="164" fontId="18" fillId="45" borderId="10" xfId="0" applyNumberFormat="1" applyFont="1" applyFill="1" applyBorder="1" applyAlignment="1">
      <alignment horizontal="center"/>
    </xf>
    <xf numFmtId="1" fontId="18" fillId="45" borderId="10" xfId="0" applyNumberFormat="1" applyFont="1" applyFill="1" applyBorder="1" applyAlignment="1">
      <alignment horizontal="center" vertical="center"/>
    </xf>
    <xf numFmtId="164" fontId="18" fillId="45" borderId="10" xfId="0" applyNumberFormat="1" applyFont="1" applyFill="1" applyBorder="1" applyAlignment="1">
      <alignment horizontal="center" vertical="center"/>
    </xf>
    <xf numFmtId="1" fontId="18" fillId="46" borderId="10" xfId="0" applyNumberFormat="1" applyFont="1" applyFill="1" applyBorder="1" applyAlignment="1">
      <alignment horizontal="center" vertical="center"/>
    </xf>
    <xf numFmtId="0" fontId="18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/>
    </xf>
    <xf numFmtId="1" fontId="18" fillId="45" borderId="11" xfId="0" applyNumberFormat="1" applyFont="1" applyFill="1" applyBorder="1" applyAlignment="1">
      <alignment horizontal="center"/>
    </xf>
    <xf numFmtId="0" fontId="30" fillId="37" borderId="17" xfId="0" applyFont="1" applyFill="1" applyBorder="1"/>
    <xf numFmtId="0" fontId="25" fillId="45" borderId="10" xfId="0" applyFont="1" applyFill="1" applyBorder="1" applyAlignment="1">
      <alignment horizontal="center" vertical="center"/>
    </xf>
    <xf numFmtId="0" fontId="18" fillId="45" borderId="10" xfId="0" applyNumberFormat="1" applyFont="1" applyFill="1" applyBorder="1" applyAlignment="1">
      <alignment horizontal="center" vertical="center"/>
    </xf>
    <xf numFmtId="165" fontId="18" fillId="45" borderId="10" xfId="0" applyNumberFormat="1" applyFont="1" applyFill="1" applyBorder="1" applyAlignment="1">
      <alignment horizontal="center" vertical="center"/>
    </xf>
    <xf numFmtId="0" fontId="30" fillId="0" borderId="17" xfId="0" applyFont="1" applyBorder="1"/>
    <xf numFmtId="0" fontId="18" fillId="45" borderId="0" xfId="0" applyFont="1" applyFill="1" applyBorder="1" applyAlignment="1">
      <alignment horizontal="center"/>
    </xf>
    <xf numFmtId="0" fontId="18" fillId="45" borderId="0" xfId="0" applyNumberFormat="1" applyFont="1" applyFill="1" applyBorder="1" applyAlignment="1">
      <alignment horizontal="center"/>
    </xf>
    <xf numFmtId="165" fontId="18" fillId="45" borderId="0" xfId="0" applyNumberFormat="1" applyFont="1" applyFill="1" applyBorder="1" applyAlignment="1">
      <alignment horizontal="center"/>
    </xf>
    <xf numFmtId="164" fontId="18" fillId="45" borderId="0" xfId="0" applyNumberFormat="1" applyFont="1" applyFill="1" applyBorder="1" applyAlignment="1">
      <alignment horizontal="center"/>
    </xf>
    <xf numFmtId="1" fontId="18" fillId="45" borderId="0" xfId="0" applyNumberFormat="1" applyFont="1" applyFill="1" applyBorder="1" applyAlignment="1">
      <alignment horizontal="center" vertical="center"/>
    </xf>
    <xf numFmtId="164" fontId="18" fillId="45" borderId="0" xfId="0" applyNumberFormat="1" applyFont="1" applyFill="1" applyBorder="1" applyAlignment="1">
      <alignment horizontal="center" vertical="center"/>
    </xf>
    <xf numFmtId="1" fontId="18" fillId="46" borderId="0" xfId="0" applyNumberFormat="1" applyFont="1" applyFill="1" applyBorder="1" applyAlignment="1">
      <alignment horizontal="center" vertical="center"/>
    </xf>
    <xf numFmtId="1" fontId="18" fillId="45" borderId="0" xfId="0" applyNumberFormat="1" applyFont="1" applyFill="1" applyBorder="1" applyAlignment="1">
      <alignment horizontal="center"/>
    </xf>
    <xf numFmtId="0" fontId="30" fillId="37" borderId="0" xfId="0" applyFont="1" applyFill="1" applyBorder="1"/>
    <xf numFmtId="0" fontId="25" fillId="45" borderId="0" xfId="0" applyFont="1" applyFill="1" applyBorder="1" applyAlignment="1">
      <alignment horizontal="center" vertical="center"/>
    </xf>
    <xf numFmtId="0" fontId="18" fillId="45" borderId="0" xfId="0" applyFont="1" applyFill="1" applyBorder="1" applyAlignment="1">
      <alignment horizontal="center" vertical="center"/>
    </xf>
    <xf numFmtId="0" fontId="18" fillId="45" borderId="0" xfId="0" applyNumberFormat="1" applyFont="1" applyFill="1" applyBorder="1" applyAlignment="1">
      <alignment horizontal="center" vertical="center"/>
    </xf>
    <xf numFmtId="165" fontId="18" fillId="45" borderId="0" xfId="0" applyNumberFormat="1" applyFont="1" applyFill="1" applyBorder="1" applyAlignment="1">
      <alignment horizontal="center" vertical="center"/>
    </xf>
    <xf numFmtId="0" fontId="20" fillId="35" borderId="0" xfId="0" applyFont="1" applyFill="1" applyBorder="1" applyAlignment="1">
      <alignment horizontal="center"/>
    </xf>
    <xf numFmtId="165" fontId="20" fillId="35" borderId="0" xfId="0" applyNumberFormat="1" applyFont="1" applyFill="1" applyBorder="1" applyAlignment="1">
      <alignment horizontal="center"/>
    </xf>
    <xf numFmtId="164" fontId="20" fillId="35" borderId="0" xfId="0" applyNumberFormat="1" applyFont="1" applyFill="1" applyBorder="1" applyAlignment="1">
      <alignment horizontal="center"/>
    </xf>
    <xf numFmtId="1" fontId="20" fillId="35" borderId="0" xfId="0" applyNumberFormat="1" applyFont="1" applyFill="1" applyBorder="1" applyAlignment="1">
      <alignment horizontal="center" vertical="center"/>
    </xf>
    <xf numFmtId="164" fontId="20" fillId="35" borderId="0" xfId="0" applyNumberFormat="1" applyFont="1" applyFill="1" applyBorder="1" applyAlignment="1">
      <alignment horizontal="center" vertical="center"/>
    </xf>
    <xf numFmtId="1" fontId="20" fillId="34" borderId="0" xfId="0" applyNumberFormat="1" applyFont="1" applyFill="1" applyBorder="1" applyAlignment="1">
      <alignment horizontal="center" vertical="center"/>
    </xf>
    <xf numFmtId="1" fontId="20" fillId="35" borderId="0" xfId="0" applyNumberFormat="1" applyFont="1" applyFill="1" applyBorder="1" applyAlignment="1">
      <alignment horizontal="center"/>
    </xf>
    <xf numFmtId="0" fontId="19" fillId="43" borderId="0" xfId="0" applyFont="1" applyFill="1" applyBorder="1"/>
    <xf numFmtId="0" fontId="24" fillId="35" borderId="0" xfId="0" applyFont="1" applyFill="1" applyBorder="1" applyAlignment="1">
      <alignment horizontal="center" vertical="center"/>
    </xf>
    <xf numFmtId="0" fontId="20" fillId="35" borderId="0" xfId="0" applyFont="1" applyFill="1" applyBorder="1" applyAlignment="1">
      <alignment horizontal="center" vertical="center"/>
    </xf>
    <xf numFmtId="165" fontId="20" fillId="35" borderId="0" xfId="0" applyNumberFormat="1" applyFont="1" applyFill="1" applyBorder="1" applyAlignment="1">
      <alignment horizontal="center" vertical="center"/>
    </xf>
    <xf numFmtId="0" fontId="20" fillId="35" borderId="36" xfId="0" applyNumberFormat="1" applyFont="1" applyFill="1" applyBorder="1" applyAlignment="1">
      <alignment horizontal="center"/>
    </xf>
    <xf numFmtId="0" fontId="20" fillId="35" borderId="36" xfId="0" applyFont="1" applyFill="1" applyBorder="1" applyAlignment="1">
      <alignment horizontal="center"/>
    </xf>
    <xf numFmtId="165" fontId="20" fillId="35" borderId="36" xfId="0" applyNumberFormat="1" applyFont="1" applyFill="1" applyBorder="1" applyAlignment="1">
      <alignment horizontal="center"/>
    </xf>
    <xf numFmtId="164" fontId="20" fillId="35" borderId="36" xfId="0" applyNumberFormat="1" applyFont="1" applyFill="1" applyBorder="1" applyAlignment="1">
      <alignment horizontal="center"/>
    </xf>
    <xf numFmtId="1" fontId="20" fillId="35" borderId="36" xfId="0" applyNumberFormat="1" applyFont="1" applyFill="1" applyBorder="1" applyAlignment="1">
      <alignment horizontal="center" vertical="center"/>
    </xf>
    <xf numFmtId="164" fontId="20" fillId="35" borderId="36" xfId="0" applyNumberFormat="1" applyFont="1" applyFill="1" applyBorder="1" applyAlignment="1">
      <alignment horizontal="center" vertical="center"/>
    </xf>
    <xf numFmtId="1" fontId="20" fillId="34" borderId="36" xfId="0" applyNumberFormat="1" applyFont="1" applyFill="1" applyBorder="1" applyAlignment="1">
      <alignment horizontal="center" vertical="center"/>
    </xf>
    <xf numFmtId="1" fontId="20" fillId="35" borderId="36" xfId="0" applyNumberFormat="1" applyFont="1" applyFill="1" applyBorder="1" applyAlignment="1">
      <alignment horizontal="center"/>
    </xf>
    <xf numFmtId="1" fontId="20" fillId="35" borderId="24" xfId="0" applyNumberFormat="1" applyFont="1" applyFill="1" applyBorder="1" applyAlignment="1">
      <alignment horizontal="center"/>
    </xf>
    <xf numFmtId="0" fontId="19" fillId="43" borderId="37" xfId="0" applyFont="1" applyFill="1" applyBorder="1"/>
    <xf numFmtId="0" fontId="24" fillId="35" borderId="36" xfId="0" applyFont="1" applyFill="1" applyBorder="1" applyAlignment="1">
      <alignment horizontal="center" vertical="center"/>
    </xf>
    <xf numFmtId="0" fontId="20" fillId="35" borderId="36" xfId="0" applyFont="1" applyFill="1" applyBorder="1" applyAlignment="1">
      <alignment horizontal="center" vertical="center"/>
    </xf>
    <xf numFmtId="165" fontId="20" fillId="35" borderId="36" xfId="0" applyNumberFormat="1" applyFont="1" applyFill="1" applyBorder="1" applyAlignment="1">
      <alignment horizontal="center" vertical="center"/>
    </xf>
    <xf numFmtId="0" fontId="24" fillId="47" borderId="22" xfId="0" applyNumberFormat="1" applyFont="1" applyFill="1" applyBorder="1" applyAlignment="1">
      <alignment horizontal="center"/>
    </xf>
    <xf numFmtId="0" fontId="24" fillId="47" borderId="23" xfId="0" applyFont="1" applyFill="1" applyBorder="1" applyAlignment="1">
      <alignment horizontal="center"/>
    </xf>
    <xf numFmtId="165" fontId="24" fillId="47" borderId="23" xfId="0" applyNumberFormat="1" applyFont="1" applyFill="1" applyBorder="1" applyAlignment="1">
      <alignment horizontal="center"/>
    </xf>
    <xf numFmtId="164" fontId="24" fillId="47" borderId="23" xfId="0" applyNumberFormat="1" applyFont="1" applyFill="1" applyBorder="1" applyAlignment="1">
      <alignment horizontal="center"/>
    </xf>
    <xf numFmtId="1" fontId="24" fillId="47" borderId="23" xfId="0" applyNumberFormat="1" applyFont="1" applyFill="1" applyBorder="1" applyAlignment="1">
      <alignment horizontal="center" vertical="center"/>
    </xf>
    <xf numFmtId="1" fontId="24" fillId="47" borderId="23" xfId="0" applyNumberFormat="1" applyFont="1" applyFill="1" applyBorder="1" applyAlignment="1">
      <alignment horizontal="center"/>
    </xf>
    <xf numFmtId="0" fontId="31" fillId="48" borderId="23" xfId="0" applyFont="1" applyFill="1" applyBorder="1"/>
    <xf numFmtId="0" fontId="24" fillId="47" borderId="23" xfId="0" applyFont="1" applyFill="1" applyBorder="1" applyAlignment="1">
      <alignment horizontal="center" vertical="center"/>
    </xf>
    <xf numFmtId="165" fontId="24" fillId="47" borderId="23" xfId="0" applyNumberFormat="1" applyFont="1" applyFill="1" applyBorder="1" applyAlignment="1">
      <alignment horizontal="center" vertical="center"/>
    </xf>
    <xf numFmtId="164" fontId="24" fillId="47" borderId="23" xfId="0" applyNumberFormat="1" applyFont="1" applyFill="1" applyBorder="1" applyAlignment="1">
      <alignment horizontal="center" vertical="center"/>
    </xf>
    <xf numFmtId="0" fontId="32" fillId="47" borderId="23" xfId="0" applyFont="1" applyFill="1" applyBorder="1"/>
    <xf numFmtId="1" fontId="24" fillId="0" borderId="38" xfId="0" applyNumberFormat="1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6" fillId="0" borderId="41" xfId="0" applyFont="1" applyBorder="1"/>
    <xf numFmtId="164" fontId="0" fillId="0" borderId="0" xfId="0" applyNumberFormat="1" applyBorder="1"/>
    <xf numFmtId="1" fontId="0" fillId="0" borderId="42" xfId="0" applyNumberFormat="1" applyBorder="1"/>
    <xf numFmtId="0" fontId="26" fillId="0" borderId="43" xfId="0" applyFont="1" applyBorder="1"/>
    <xf numFmtId="1" fontId="0" fillId="0" borderId="44" xfId="0" applyNumberFormat="1" applyBorder="1"/>
    <xf numFmtId="164" fontId="0" fillId="0" borderId="44" xfId="0" applyNumberFormat="1" applyBorder="1"/>
    <xf numFmtId="1" fontId="0" fillId="0" borderId="45" xfId="0" applyNumberFormat="1" applyBorder="1"/>
    <xf numFmtId="2" fontId="0" fillId="0" borderId="0" xfId="0" applyNumberFormat="1" applyBorder="1"/>
    <xf numFmtId="2" fontId="0" fillId="0" borderId="30" xfId="0" applyNumberFormat="1" applyBorder="1"/>
    <xf numFmtId="165" fontId="20" fillId="0" borderId="23" xfId="0" applyNumberFormat="1" applyFont="1" applyBorder="1" applyAlignment="1">
      <alignment horizontal="center" vertical="center"/>
    </xf>
    <xf numFmtId="2" fontId="0" fillId="0" borderId="28" xfId="0" applyNumberFormat="1" applyBorder="1"/>
    <xf numFmtId="2" fontId="0" fillId="0" borderId="31" xfId="0" applyNumberFormat="1" applyBorder="1"/>
    <xf numFmtId="2" fontId="0" fillId="0" borderId="0" xfId="0" applyNumberFormat="1"/>
    <xf numFmtId="0" fontId="24" fillId="0" borderId="0" xfId="0" applyFont="1" applyFill="1" applyBorder="1" applyAlignment="1">
      <alignment horizontal="center" vertical="center"/>
    </xf>
    <xf numFmtId="9" fontId="0" fillId="0" borderId="0" xfId="42" applyFont="1" applyBorder="1"/>
    <xf numFmtId="9" fontId="0" fillId="0" borderId="44" xfId="42" applyFont="1" applyBorder="1"/>
    <xf numFmtId="9" fontId="0" fillId="0" borderId="0" xfId="42" applyFont="1"/>
    <xf numFmtId="0" fontId="20" fillId="34" borderId="10" xfId="0" applyNumberFormat="1" applyFont="1" applyFill="1" applyBorder="1" applyAlignment="1">
      <alignment horizontal="center"/>
    </xf>
    <xf numFmtId="0" fontId="21" fillId="34" borderId="10" xfId="0" applyNumberFormat="1" applyFont="1" applyFill="1" applyBorder="1" applyAlignment="1">
      <alignment horizontal="center"/>
    </xf>
    <xf numFmtId="0" fontId="24" fillId="34" borderId="10" xfId="0" applyFont="1" applyFill="1" applyBorder="1" applyAlignment="1">
      <alignment horizontal="center" vertical="center"/>
    </xf>
    <xf numFmtId="0" fontId="26" fillId="0" borderId="46" xfId="0" applyFont="1" applyBorder="1"/>
    <xf numFmtId="0" fontId="26" fillId="0" borderId="22" xfId="0" applyFont="1" applyBorder="1"/>
    <xf numFmtId="0" fontId="0" fillId="0" borderId="47" xfId="0" applyBorder="1"/>
    <xf numFmtId="0" fontId="26" fillId="0" borderId="48" xfId="0" applyFont="1" applyBorder="1"/>
    <xf numFmtId="0" fontId="26" fillId="0" borderId="49" xfId="0" applyFont="1" applyBorder="1"/>
    <xf numFmtId="0" fontId="20" fillId="34" borderId="50" xfId="0" applyNumberFormat="1" applyFont="1" applyFill="1" applyBorder="1" applyAlignment="1">
      <alignment horizontal="center"/>
    </xf>
    <xf numFmtId="0" fontId="24" fillId="34" borderId="51" xfId="0" applyFont="1" applyFill="1" applyBorder="1" applyAlignment="1">
      <alignment horizontal="center" vertical="center"/>
    </xf>
    <xf numFmtId="0" fontId="21" fillId="34" borderId="50" xfId="0" applyNumberFormat="1" applyFont="1" applyFill="1" applyBorder="1" applyAlignment="1">
      <alignment horizontal="center"/>
    </xf>
    <xf numFmtId="0" fontId="24" fillId="35" borderId="51" xfId="0" applyFont="1" applyFill="1" applyBorder="1" applyAlignment="1">
      <alignment horizontal="center" vertical="center"/>
    </xf>
    <xf numFmtId="0" fontId="20" fillId="35" borderId="50" xfId="0" applyNumberFormat="1" applyFont="1" applyFill="1" applyBorder="1" applyAlignment="1">
      <alignment horizontal="center"/>
    </xf>
    <xf numFmtId="0" fontId="21" fillId="35" borderId="50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42" xfId="0" applyBorder="1"/>
    <xf numFmtId="0" fontId="20" fillId="35" borderId="52" xfId="0" applyNumberFormat="1" applyFont="1" applyFill="1" applyBorder="1" applyAlignment="1">
      <alignment horizontal="center"/>
    </xf>
    <xf numFmtId="0" fontId="20" fillId="35" borderId="53" xfId="0" applyNumberFormat="1" applyFont="1" applyFill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20" fillId="35" borderId="10" xfId="0" applyFont="1" applyFill="1" applyBorder="1" applyAlignment="1" applyProtection="1">
      <alignment horizontal="center" vertical="center"/>
    </xf>
    <xf numFmtId="165" fontId="20" fillId="35" borderId="10" xfId="0" applyNumberFormat="1" applyFont="1" applyFill="1" applyBorder="1" applyAlignment="1" applyProtection="1">
      <alignment horizontal="center" vertical="center"/>
    </xf>
    <xf numFmtId="0" fontId="20" fillId="34" borderId="10" xfId="0" applyFont="1" applyFill="1" applyBorder="1" applyAlignment="1" applyProtection="1">
      <alignment horizontal="center" vertical="center"/>
    </xf>
    <xf numFmtId="165" fontId="20" fillId="34" borderId="10" xfId="0" applyNumberFormat="1" applyFont="1" applyFill="1" applyBorder="1" applyAlignment="1" applyProtection="1">
      <alignment horizontal="center" vertical="center"/>
    </xf>
    <xf numFmtId="0" fontId="21" fillId="34" borderId="10" xfId="0" applyFont="1" applyFill="1" applyBorder="1" applyAlignment="1" applyProtection="1">
      <alignment horizontal="center" vertical="center"/>
    </xf>
    <xf numFmtId="0" fontId="21" fillId="35" borderId="10" xfId="0" applyFont="1" applyFill="1" applyBorder="1" applyAlignment="1" applyProtection="1">
      <alignment horizontal="center" vertical="center"/>
    </xf>
    <xf numFmtId="164" fontId="21" fillId="34" borderId="10" xfId="0" applyNumberFormat="1" applyFont="1" applyFill="1" applyBorder="1" applyAlignment="1" applyProtection="1">
      <alignment horizontal="center" vertical="center"/>
    </xf>
    <xf numFmtId="165" fontId="20" fillId="0" borderId="0" xfId="0" applyNumberFormat="1" applyFont="1" applyAlignment="1" applyProtection="1">
      <alignment horizontal="center" vertical="center"/>
    </xf>
    <xf numFmtId="0" fontId="34" fillId="0" borderId="0" xfId="0" applyFont="1" applyFill="1" applyBorder="1"/>
    <xf numFmtId="0" fontId="34" fillId="0" borderId="0" xfId="0" applyFont="1"/>
    <xf numFmtId="0" fontId="34" fillId="34" borderId="12" xfId="0" applyFont="1" applyFill="1" applyBorder="1"/>
    <xf numFmtId="0" fontId="34" fillId="34" borderId="10" xfId="0" applyFont="1" applyFill="1" applyBorder="1"/>
    <xf numFmtId="0" fontId="34" fillId="35" borderId="12" xfId="0" applyFont="1" applyFill="1" applyBorder="1"/>
    <xf numFmtId="0" fontId="34" fillId="35" borderId="10" xfId="0" applyFont="1" applyFill="1" applyBorder="1"/>
    <xf numFmtId="0" fontId="34" fillId="33" borderId="0" xfId="0" applyFont="1" applyFill="1"/>
    <xf numFmtId="0" fontId="20" fillId="0" borderId="0" xfId="0" applyFont="1"/>
    <xf numFmtId="0" fontId="20" fillId="0" borderId="0" xfId="0" applyNumberFormat="1" applyFont="1" applyAlignment="1" applyProtection="1">
      <alignment horizontal="center" vertical="center"/>
    </xf>
    <xf numFmtId="0" fontId="34" fillId="0" borderId="0" xfId="0" applyFont="1" applyFill="1" applyBorder="1" applyAlignment="1" applyProtection="1">
      <alignment vertical="center"/>
    </xf>
    <xf numFmtId="0" fontId="34" fillId="0" borderId="0" xfId="0" applyFont="1" applyAlignment="1" applyProtection="1">
      <alignment vertical="center"/>
    </xf>
    <xf numFmtId="0" fontId="20" fillId="34" borderId="10" xfId="0" applyNumberFormat="1" applyFont="1" applyFill="1" applyBorder="1" applyAlignment="1" applyProtection="1">
      <alignment horizontal="center" vertical="center"/>
    </xf>
    <xf numFmtId="1" fontId="34" fillId="34" borderId="10" xfId="0" applyNumberFormat="1" applyFont="1" applyFill="1" applyBorder="1" applyAlignment="1" applyProtection="1">
      <alignment horizontal="center" vertical="center"/>
    </xf>
    <xf numFmtId="164" fontId="34" fillId="34" borderId="10" xfId="0" applyNumberFormat="1" applyFont="1" applyFill="1" applyBorder="1" applyAlignment="1" applyProtection="1">
      <alignment horizontal="center" vertical="center"/>
    </xf>
    <xf numFmtId="1" fontId="20" fillId="34" borderId="11" xfId="0" applyNumberFormat="1" applyFont="1" applyFill="1" applyBorder="1" applyAlignment="1" applyProtection="1">
      <alignment horizontal="center" vertical="center"/>
    </xf>
    <xf numFmtId="0" fontId="34" fillId="34" borderId="12" xfId="0" applyFont="1" applyFill="1" applyBorder="1" applyAlignment="1" applyProtection="1">
      <alignment vertical="center"/>
    </xf>
    <xf numFmtId="0" fontId="34" fillId="34" borderId="10" xfId="0" applyFont="1" applyFill="1" applyBorder="1" applyAlignment="1" applyProtection="1">
      <alignment vertical="center"/>
    </xf>
    <xf numFmtId="0" fontId="21" fillId="34" borderId="10" xfId="0" applyNumberFormat="1" applyFont="1" applyFill="1" applyBorder="1" applyAlignment="1" applyProtection="1">
      <alignment horizontal="center" vertical="center"/>
    </xf>
    <xf numFmtId="165" fontId="21" fillId="34" borderId="10" xfId="0" applyNumberFormat="1" applyFont="1" applyFill="1" applyBorder="1" applyAlignment="1" applyProtection="1">
      <alignment horizontal="center" vertical="center"/>
    </xf>
    <xf numFmtId="1" fontId="21" fillId="34" borderId="11" xfId="0" applyNumberFormat="1" applyFont="1" applyFill="1" applyBorder="1" applyAlignment="1" applyProtection="1">
      <alignment horizontal="center" vertical="center"/>
    </xf>
    <xf numFmtId="0" fontId="21" fillId="0" borderId="0" xfId="0" applyFont="1" applyFill="1" applyBorder="1" applyAlignment="1" applyProtection="1">
      <alignment vertical="center"/>
    </xf>
    <xf numFmtId="0" fontId="21" fillId="34" borderId="12" xfId="0" applyFont="1" applyFill="1" applyBorder="1" applyAlignment="1" applyProtection="1">
      <alignment vertical="center"/>
    </xf>
    <xf numFmtId="0" fontId="21" fillId="34" borderId="10" xfId="0" applyFont="1" applyFill="1" applyBorder="1" applyAlignment="1" applyProtection="1">
      <alignment vertical="center"/>
    </xf>
    <xf numFmtId="0" fontId="20" fillId="35" borderId="10" xfId="0" applyNumberFormat="1" applyFont="1" applyFill="1" applyBorder="1" applyAlignment="1" applyProtection="1">
      <alignment horizontal="center" vertical="center"/>
    </xf>
    <xf numFmtId="1" fontId="34" fillId="35" borderId="10" xfId="0" applyNumberFormat="1" applyFont="1" applyFill="1" applyBorder="1" applyAlignment="1" applyProtection="1">
      <alignment horizontal="center" vertical="center"/>
    </xf>
    <xf numFmtId="1" fontId="20" fillId="35" borderId="11" xfId="0" applyNumberFormat="1" applyFont="1" applyFill="1" applyBorder="1" applyAlignment="1" applyProtection="1">
      <alignment horizontal="center" vertical="center"/>
    </xf>
    <xf numFmtId="0" fontId="34" fillId="35" borderId="12" xfId="0" applyFont="1" applyFill="1" applyBorder="1" applyAlignment="1" applyProtection="1">
      <alignment vertical="center"/>
    </xf>
    <xf numFmtId="0" fontId="34" fillId="35" borderId="10" xfId="0" applyFont="1" applyFill="1" applyBorder="1" applyAlignment="1" applyProtection="1">
      <alignment vertical="center"/>
    </xf>
    <xf numFmtId="0" fontId="21" fillId="35" borderId="10" xfId="0" applyNumberFormat="1" applyFont="1" applyFill="1" applyBorder="1" applyAlignment="1" applyProtection="1">
      <alignment horizontal="center" vertical="center"/>
    </xf>
    <xf numFmtId="165" fontId="21" fillId="35" borderId="10" xfId="0" applyNumberFormat="1" applyFont="1" applyFill="1" applyBorder="1" applyAlignment="1" applyProtection="1">
      <alignment horizontal="center" vertical="center"/>
    </xf>
    <xf numFmtId="1" fontId="21" fillId="35" borderId="11" xfId="0" applyNumberFormat="1" applyFont="1" applyFill="1" applyBorder="1" applyAlignment="1" applyProtection="1">
      <alignment horizontal="center" vertical="center"/>
    </xf>
    <xf numFmtId="0" fontId="21" fillId="35" borderId="12" xfId="0" applyFont="1" applyFill="1" applyBorder="1" applyAlignment="1" applyProtection="1">
      <alignment vertical="center"/>
    </xf>
    <xf numFmtId="0" fontId="21" fillId="35" borderId="10" xfId="0" applyFont="1" applyFill="1" applyBorder="1" applyAlignment="1" applyProtection="1">
      <alignment vertical="center"/>
    </xf>
    <xf numFmtId="1" fontId="34" fillId="0" borderId="0" xfId="0" applyNumberFormat="1" applyFont="1" applyAlignment="1" applyProtection="1">
      <alignment horizontal="center" vertical="center"/>
    </xf>
    <xf numFmtId="164" fontId="34" fillId="0" borderId="0" xfId="0" applyNumberFormat="1" applyFont="1" applyAlignment="1" applyProtection="1">
      <alignment horizontal="center" vertical="center"/>
    </xf>
    <xf numFmtId="0" fontId="21" fillId="0" borderId="0" xfId="0" applyFont="1" applyAlignment="1" applyProtection="1">
      <alignment vertical="center"/>
    </xf>
    <xf numFmtId="0" fontId="20" fillId="0" borderId="0" xfId="0" applyFont="1" applyAlignment="1">
      <alignment vertical="center"/>
    </xf>
    <xf numFmtId="9" fontId="20" fillId="0" borderId="0" xfId="42" applyFont="1" applyAlignment="1">
      <alignment horizontal="center" vertical="center"/>
    </xf>
    <xf numFmtId="9" fontId="20" fillId="34" borderId="10" xfId="42" applyFont="1" applyFill="1" applyBorder="1" applyAlignment="1" applyProtection="1">
      <alignment horizontal="center" vertical="center"/>
    </xf>
    <xf numFmtId="9" fontId="20" fillId="35" borderId="10" xfId="42" applyFont="1" applyFill="1" applyBorder="1" applyAlignment="1" applyProtection="1">
      <alignment horizontal="center" vertical="center"/>
    </xf>
    <xf numFmtId="9" fontId="20" fillId="0" borderId="0" xfId="42" applyFont="1" applyAlignment="1" applyProtection="1">
      <alignment horizontal="center" vertical="center"/>
    </xf>
    <xf numFmtId="9" fontId="21" fillId="34" borderId="10" xfId="42" applyFont="1" applyFill="1" applyBorder="1" applyAlignment="1" applyProtection="1">
      <alignment horizontal="center" vertical="center"/>
    </xf>
    <xf numFmtId="9" fontId="21" fillId="35" borderId="10" xfId="42" applyFont="1" applyFill="1" applyBorder="1" applyAlignment="1" applyProtection="1">
      <alignment horizontal="center" vertical="center"/>
    </xf>
    <xf numFmtId="0" fontId="20" fillId="0" borderId="10" xfId="0" applyNumberFormat="1" applyFont="1" applyBorder="1" applyAlignment="1" applyProtection="1">
      <alignment horizontal="center" vertical="center"/>
    </xf>
    <xf numFmtId="0" fontId="20" fillId="0" borderId="10" xfId="0" applyFont="1" applyBorder="1" applyAlignment="1" applyProtection="1">
      <alignment horizontal="center" vertical="center"/>
    </xf>
    <xf numFmtId="164" fontId="20" fillId="0" borderId="10" xfId="0" applyNumberFormat="1" applyFont="1" applyBorder="1" applyAlignment="1" applyProtection="1">
      <alignment horizontal="center" vertical="center"/>
    </xf>
    <xf numFmtId="165" fontId="20" fillId="0" borderId="10" xfId="0" applyNumberFormat="1" applyFont="1" applyBorder="1" applyAlignment="1" applyProtection="1">
      <alignment horizontal="center" vertical="center"/>
    </xf>
    <xf numFmtId="1" fontId="20" fillId="0" borderId="10" xfId="0" applyNumberFormat="1" applyFont="1" applyBorder="1" applyAlignment="1" applyProtection="1">
      <alignment horizontal="center" vertical="center"/>
    </xf>
    <xf numFmtId="9" fontId="20" fillId="0" borderId="10" xfId="42" applyFont="1" applyBorder="1" applyAlignment="1" applyProtection="1">
      <alignment horizontal="center" vertical="center"/>
    </xf>
    <xf numFmtId="1" fontId="34" fillId="0" borderId="10" xfId="0" applyNumberFormat="1" applyFont="1" applyBorder="1" applyAlignment="1" applyProtection="1">
      <alignment horizontal="center" vertical="center"/>
    </xf>
    <xf numFmtId="164" fontId="34" fillId="0" borderId="10" xfId="0" applyNumberFormat="1" applyFont="1" applyBorder="1" applyAlignment="1" applyProtection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NumberFormat="1" applyFont="1" applyBorder="1" applyAlignment="1" applyProtection="1">
      <alignment horizontal="center" vertical="center"/>
    </xf>
    <xf numFmtId="0" fontId="21" fillId="0" borderId="10" xfId="0" applyFont="1" applyBorder="1" applyAlignment="1" applyProtection="1">
      <alignment horizontal="center" vertical="center"/>
    </xf>
    <xf numFmtId="164" fontId="21" fillId="0" borderId="10" xfId="0" applyNumberFormat="1" applyFont="1" applyBorder="1" applyAlignment="1" applyProtection="1">
      <alignment horizontal="center" vertical="center"/>
    </xf>
    <xf numFmtId="165" fontId="21" fillId="0" borderId="10" xfId="0" applyNumberFormat="1" applyFont="1" applyBorder="1" applyAlignment="1" applyProtection="1">
      <alignment horizontal="center" vertical="center"/>
    </xf>
    <xf numFmtId="1" fontId="21" fillId="0" borderId="10" xfId="0" applyNumberFormat="1" applyFont="1" applyBorder="1" applyAlignment="1" applyProtection="1">
      <alignment horizontal="center" vertical="center"/>
    </xf>
    <xf numFmtId="9" fontId="21" fillId="0" borderId="10" xfId="42" applyFont="1" applyBorder="1" applyAlignment="1" applyProtection="1">
      <alignment horizontal="center" vertical="center"/>
    </xf>
    <xf numFmtId="0" fontId="21" fillId="0" borderId="10" xfId="0" applyFont="1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 vertical="center"/>
    </xf>
    <xf numFmtId="164" fontId="20" fillId="0" borderId="10" xfId="0" applyNumberFormat="1" applyFont="1" applyBorder="1" applyAlignment="1">
      <alignment horizontal="center" vertical="center"/>
    </xf>
    <xf numFmtId="165" fontId="20" fillId="0" borderId="10" xfId="0" applyNumberFormat="1" applyFont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164" fontId="20" fillId="33" borderId="10" xfId="0" applyNumberFormat="1" applyFont="1" applyFill="1" applyBorder="1" applyAlignment="1">
      <alignment horizontal="center" vertical="center"/>
    </xf>
    <xf numFmtId="165" fontId="20" fillId="33" borderId="10" xfId="0" applyNumberFormat="1" applyFont="1" applyFill="1" applyBorder="1" applyAlignment="1">
      <alignment horizontal="center" vertical="center"/>
    </xf>
    <xf numFmtId="1" fontId="20" fillId="33" borderId="10" xfId="0" applyNumberFormat="1" applyFont="1" applyFill="1" applyBorder="1" applyAlignment="1">
      <alignment horizontal="center" vertical="center"/>
    </xf>
    <xf numFmtId="9" fontId="20" fillId="33" borderId="10" xfId="42" applyFont="1" applyFill="1" applyBorder="1" applyAlignment="1" applyProtection="1">
      <alignment horizontal="center" vertical="center"/>
    </xf>
    <xf numFmtId="1" fontId="20" fillId="33" borderId="10" xfId="0" applyNumberFormat="1" applyFont="1" applyFill="1" applyBorder="1" applyAlignment="1" applyProtection="1">
      <alignment horizontal="center" vertical="center"/>
    </xf>
    <xf numFmtId="164" fontId="20" fillId="33" borderId="10" xfId="0" applyNumberFormat="1" applyFont="1" applyFill="1" applyBorder="1" applyAlignment="1" applyProtection="1">
      <alignment horizontal="center" vertical="center"/>
    </xf>
    <xf numFmtId="1" fontId="20" fillId="0" borderId="11" xfId="0" applyNumberFormat="1" applyFont="1" applyBorder="1" applyAlignment="1" applyProtection="1">
      <alignment horizontal="center" vertical="center"/>
    </xf>
    <xf numFmtId="1" fontId="21" fillId="0" borderId="11" xfId="0" applyNumberFormat="1" applyFont="1" applyBorder="1" applyAlignment="1" applyProtection="1">
      <alignment horizontal="center" vertical="center"/>
    </xf>
    <xf numFmtId="164" fontId="20" fillId="0" borderId="0" xfId="0" applyNumberFormat="1" applyFont="1" applyFill="1" applyAlignment="1">
      <alignment horizontal="center" vertical="center"/>
    </xf>
    <xf numFmtId="165" fontId="20" fillId="0" borderId="0" xfId="0" applyNumberFormat="1" applyFont="1" applyFill="1" applyAlignment="1">
      <alignment horizontal="center" vertical="center"/>
    </xf>
    <xf numFmtId="1" fontId="20" fillId="0" borderId="0" xfId="0" applyNumberFormat="1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'Open field1'!$AD$1:$AD$2</c:f>
              <c:strCache>
                <c:ptCount val="2"/>
                <c:pt idx="1">
                  <c:v>Periphery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'Open field1'!$AC$3:$AC$10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'Open field1'!$AD$3:$AD$10</c:f>
              <c:numCache>
                <c:formatCode>0.00%</c:formatCode>
                <c:ptCount val="8"/>
                <c:pt idx="0">
                  <c:v>0.86286666666666667</c:v>
                </c:pt>
                <c:pt idx="1">
                  <c:v>0.73711111111111116</c:v>
                </c:pt>
                <c:pt idx="2">
                  <c:v>0.89693333333333325</c:v>
                </c:pt>
                <c:pt idx="3">
                  <c:v>0.76624999999999988</c:v>
                </c:pt>
                <c:pt idx="4">
                  <c:v>0.89908333333333323</c:v>
                </c:pt>
                <c:pt idx="5">
                  <c:v>0.81766666666666665</c:v>
                </c:pt>
                <c:pt idx="6">
                  <c:v>0.84550000000000003</c:v>
                </c:pt>
                <c:pt idx="7">
                  <c:v>0.86495238095238092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A-2240-818E-8A52523AC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56192"/>
        <c:axId val="40339488"/>
      </c:barChart>
      <c:catAx>
        <c:axId val="4035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40339488"/>
        <c:crosses val="autoZero"/>
        <c:auto val="1"/>
        <c:lblAlgn val="ctr"/>
        <c:lblOffset val="100"/>
        <c:noMultiLvlLbl val="0"/>
      </c:catAx>
      <c:valAx>
        <c:axId val="4033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4035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After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'Open field1'!$AH$1:$AH$2</c:f>
              <c:strCache>
                <c:ptCount val="2"/>
                <c:pt idx="1">
                  <c:v>Periphery</c:v>
                </c:pt>
              </c:strCache>
            </c:strRef>
          </c:tx>
          <c:invertIfNegative val="0"/>
          <c:cat>
            <c:strRef>
              <c:f>'Open field1'!$AG$3:$AG$10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'Open field1'!$AH$3:$AH$10</c:f>
              <c:numCache>
                <c:formatCode>0.00%</c:formatCode>
                <c:ptCount val="8"/>
                <c:pt idx="0">
                  <c:v>0.94746666666666646</c:v>
                </c:pt>
                <c:pt idx="1">
                  <c:v>0.75477777777777766</c:v>
                </c:pt>
                <c:pt idx="2">
                  <c:v>0.94079999999999986</c:v>
                </c:pt>
                <c:pt idx="3">
                  <c:v>0.73783333333333334</c:v>
                </c:pt>
                <c:pt idx="4">
                  <c:v>0.89783333333333337</c:v>
                </c:pt>
                <c:pt idx="5">
                  <c:v>0.69966666666666666</c:v>
                </c:pt>
                <c:pt idx="6">
                  <c:v>0.86133333333333328</c:v>
                </c:pt>
                <c:pt idx="7">
                  <c:v>0.92500000000000004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27-734E-97E9-3A4AA0508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56192"/>
        <c:axId val="40339488"/>
      </c:barChart>
      <c:catAx>
        <c:axId val="4035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40339488"/>
        <c:crosses val="autoZero"/>
        <c:auto val="1"/>
        <c:lblAlgn val="ctr"/>
        <c:lblOffset val="100"/>
        <c:noMultiLvlLbl val="0"/>
      </c:catAx>
      <c:valAx>
        <c:axId val="4033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4035619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'Open field1'!$AE$1:$AE$2</c:f>
              <c:strCache>
                <c:ptCount val="2"/>
                <c:pt idx="1">
                  <c:v>Center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'Open field1'!$AC$3:$AC$10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'Open field1'!$AE$3:$AE$10</c:f>
              <c:numCache>
                <c:formatCode>0.00%</c:formatCode>
                <c:ptCount val="8"/>
                <c:pt idx="0">
                  <c:v>0.13713333333333333</c:v>
                </c:pt>
                <c:pt idx="1">
                  <c:v>0.26288888888888889</c:v>
                </c:pt>
                <c:pt idx="2">
                  <c:v>0.10306666666666668</c:v>
                </c:pt>
                <c:pt idx="3">
                  <c:v>0.23375000000000001</c:v>
                </c:pt>
                <c:pt idx="4">
                  <c:v>0.10091666666666667</c:v>
                </c:pt>
                <c:pt idx="5">
                  <c:v>0.18233333333333335</c:v>
                </c:pt>
                <c:pt idx="6">
                  <c:v>0.15449999999999997</c:v>
                </c:pt>
                <c:pt idx="7">
                  <c:v>0.13504761904761906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4-9347-9A47-B95F73788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56192"/>
        <c:axId val="40339488"/>
      </c:barChart>
      <c:catAx>
        <c:axId val="4035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40339488"/>
        <c:crosses val="autoZero"/>
        <c:auto val="1"/>
        <c:lblAlgn val="ctr"/>
        <c:lblOffset val="100"/>
        <c:noMultiLvlLbl val="0"/>
      </c:catAx>
      <c:valAx>
        <c:axId val="4033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4035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After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'Open field1'!$AI$1:$AI$2</c:f>
              <c:strCache>
                <c:ptCount val="2"/>
                <c:pt idx="1">
                  <c:v>Center</c:v>
                </c:pt>
              </c:strCache>
            </c:strRef>
          </c:tx>
          <c:invertIfNegative val="0"/>
          <c:cat>
            <c:strRef>
              <c:f>'Open field1'!$AG$3:$AG$10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'Open field1'!$AI$3:$AI$10</c:f>
              <c:numCache>
                <c:formatCode>0.00%</c:formatCode>
                <c:ptCount val="8"/>
                <c:pt idx="0">
                  <c:v>5.2533333333333342E-2</c:v>
                </c:pt>
                <c:pt idx="1">
                  <c:v>0.2452222222222222</c:v>
                </c:pt>
                <c:pt idx="2">
                  <c:v>5.9199999999999996E-2</c:v>
                </c:pt>
                <c:pt idx="3">
                  <c:v>0.26216666666666666</c:v>
                </c:pt>
                <c:pt idx="4">
                  <c:v>0.10216666666666667</c:v>
                </c:pt>
                <c:pt idx="5">
                  <c:v>0.30033333333333334</c:v>
                </c:pt>
                <c:pt idx="6">
                  <c:v>0.13866666666666666</c:v>
                </c:pt>
                <c:pt idx="7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8-B041-9AB0-8CCDBE4BD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56192"/>
        <c:axId val="40339488"/>
      </c:barChart>
      <c:catAx>
        <c:axId val="4035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40339488"/>
        <c:crosses val="autoZero"/>
        <c:auto val="1"/>
        <c:lblAlgn val="ctr"/>
        <c:lblOffset val="100"/>
        <c:noMultiLvlLbl val="0"/>
      </c:catAx>
      <c:valAx>
        <c:axId val="4033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4035619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'Open field1'!$AM$3</c:f>
              <c:strCache>
                <c:ptCount val="1"/>
                <c:pt idx="0">
                  <c:v>Tg KO+LAC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field1'!$AN$3:$AO$3</c:f>
              <c:numCache>
                <c:formatCode>0.00</c:formatCode>
                <c:ptCount val="2"/>
                <c:pt idx="0">
                  <c:v>15.182999999999998</c:v>
                </c:pt>
                <c:pt idx="1">
                  <c:v>8.0693999999999999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8-0C4D-BDCD-C9AF202B6204}"/>
            </c:ext>
          </c:extLst>
        </c:ser>
        <c:ser>
          <c:idx val="1"/>
          <c:order val="1"/>
          <c:tx>
            <c:strRef>
              <c:f>'Open field1'!$AM$4</c:f>
              <c:strCache>
                <c:ptCount val="1"/>
                <c:pt idx="0">
                  <c:v>Tg KO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field1'!$AN$4:$AO$4</c:f>
              <c:numCache>
                <c:formatCode>0.00</c:formatCode>
                <c:ptCount val="2"/>
                <c:pt idx="0">
                  <c:v>18.833333333333332</c:v>
                </c:pt>
                <c:pt idx="1">
                  <c:v>14.822333333333333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28-0C4D-BDCD-C9AF202B6204}"/>
            </c:ext>
          </c:extLst>
        </c:ser>
        <c:ser>
          <c:idx val="2"/>
          <c:order val="2"/>
          <c:tx>
            <c:strRef>
              <c:f>'Open field1'!$AM$5</c:f>
              <c:strCache>
                <c:ptCount val="1"/>
                <c:pt idx="0">
                  <c:v>Wt KO+LAC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field1'!$AN$5:$AO$5</c:f>
              <c:numCache>
                <c:formatCode>0.00</c:formatCode>
                <c:ptCount val="2"/>
                <c:pt idx="0">
                  <c:v>11.118</c:v>
                </c:pt>
                <c:pt idx="1">
                  <c:v>5.5340000000000007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28-0C4D-BDCD-C9AF202B6204}"/>
            </c:ext>
          </c:extLst>
        </c:ser>
        <c:ser>
          <c:idx val="3"/>
          <c:order val="3"/>
          <c:tx>
            <c:strRef>
              <c:f>'Open field1'!$AM$6</c:f>
              <c:strCache>
                <c:ptCount val="1"/>
                <c:pt idx="0">
                  <c:v>Wt KO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field1'!$AN$6:$AO$6</c:f>
              <c:numCache>
                <c:formatCode>0.00</c:formatCode>
                <c:ptCount val="2"/>
                <c:pt idx="0">
                  <c:v>28.651000000000003</c:v>
                </c:pt>
                <c:pt idx="1">
                  <c:v>28.022500000000001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28-0C4D-BDCD-C9AF202B6204}"/>
            </c:ext>
          </c:extLst>
        </c:ser>
        <c:ser>
          <c:idx val="4"/>
          <c:order val="4"/>
          <c:tx>
            <c:strRef>
              <c:f>'Open field1'!$AM$7</c:f>
              <c:strCache>
                <c:ptCount val="1"/>
                <c:pt idx="0">
                  <c:v>Tg+LAC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field1'!$AN$7:$AO$7</c:f>
              <c:numCache>
                <c:formatCode>0.00</c:formatCode>
                <c:ptCount val="2"/>
                <c:pt idx="0">
                  <c:v>14.484374999999998</c:v>
                </c:pt>
                <c:pt idx="1">
                  <c:v>7.1467500000000008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28-0C4D-BDCD-C9AF202B6204}"/>
            </c:ext>
          </c:extLst>
        </c:ser>
        <c:ser>
          <c:idx val="5"/>
          <c:order val="5"/>
          <c:tx>
            <c:strRef>
              <c:f>'Open field1'!$AM$8</c:f>
              <c:strCache>
                <c:ptCount val="1"/>
                <c:pt idx="0">
                  <c:v>Tg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field1'!$AN$8:$AO$8</c:f>
              <c:numCache>
                <c:formatCode>0.00</c:formatCode>
                <c:ptCount val="2"/>
                <c:pt idx="0">
                  <c:v>13.163400000000001</c:v>
                </c:pt>
                <c:pt idx="1">
                  <c:v>6.6125000000000007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28-0C4D-BDCD-C9AF202B6204}"/>
            </c:ext>
          </c:extLst>
        </c:ser>
        <c:ser>
          <c:idx val="6"/>
          <c:order val="6"/>
          <c:tx>
            <c:strRef>
              <c:f>'Open field1'!$AM$9</c:f>
              <c:strCache>
                <c:ptCount val="1"/>
                <c:pt idx="0">
                  <c:v>WT+LAC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field1'!$AN$9:$AO$9</c:f>
              <c:numCache>
                <c:formatCode>0.00</c:formatCode>
                <c:ptCount val="2"/>
                <c:pt idx="0">
                  <c:v>14.073999999999998</c:v>
                </c:pt>
                <c:pt idx="1">
                  <c:v>8.5809999999999995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28-0C4D-BDCD-C9AF202B6204}"/>
            </c:ext>
          </c:extLst>
        </c:ser>
        <c:ser>
          <c:idx val="7"/>
          <c:order val="7"/>
          <c:tx>
            <c:strRef>
              <c:f>'Open field1'!$AM$10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field1'!$AN$10:$AO$10</c:f>
              <c:numCache>
                <c:formatCode>0.00</c:formatCode>
                <c:ptCount val="2"/>
                <c:pt idx="0">
                  <c:v>13.270857142857142</c:v>
                </c:pt>
                <c:pt idx="1">
                  <c:v>9.346857142857143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28-0C4D-BDCD-C9AF202B6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1952527"/>
        <c:axId val="1611954159"/>
      </c:barChart>
      <c:catAx>
        <c:axId val="161195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11954159"/>
        <c:crosses val="autoZero"/>
        <c:auto val="1"/>
        <c:lblAlgn val="ctr"/>
        <c:lblOffset val="100"/>
        <c:noMultiLvlLbl val="0"/>
      </c:catAx>
      <c:valAx>
        <c:axId val="161195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1195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'NORT '!$D$53</c:f>
              <c:strCache>
                <c:ptCount val="1"/>
                <c:pt idx="0">
                  <c:v>D2: Discrimination index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'NORT '!$B$54:$B$61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'NORT '!$D$54:$D$61</c:f>
              <c:numCache>
                <c:formatCode>0.0</c:formatCode>
                <c:ptCount val="8"/>
                <c:pt idx="0">
                  <c:v>-0.33992353457575264</c:v>
                </c:pt>
                <c:pt idx="1">
                  <c:v>-0.44598665225943906</c:v>
                </c:pt>
                <c:pt idx="2">
                  <c:v>0.125</c:v>
                </c:pt>
                <c:pt idx="3">
                  <c:v>0.19999999999999998</c:v>
                </c:pt>
                <c:pt idx="4">
                  <c:v>0.26250000000000001</c:v>
                </c:pt>
                <c:pt idx="5">
                  <c:v>-0.3</c:v>
                </c:pt>
                <c:pt idx="6">
                  <c:v>-0.11666666666666665</c:v>
                </c:pt>
                <c:pt idx="7">
                  <c:v>-9.9999999999999992E-2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1-584F-BADF-3DCB92697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6209503"/>
        <c:axId val="1486324607"/>
      </c:barChart>
      <c:catAx>
        <c:axId val="148620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486324607"/>
        <c:crosses val="autoZero"/>
        <c:auto val="1"/>
        <c:lblAlgn val="ctr"/>
        <c:lblOffset val="100"/>
        <c:noMultiLvlLbl val="0"/>
      </c:catAx>
      <c:valAx>
        <c:axId val="148632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48620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Novelty preference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'NORT '!$B$54:$B$61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'NORT '!$E$54:$E$61</c:f>
              <c:numCache>
                <c:formatCode>0</c:formatCode>
                <c:ptCount val="8"/>
                <c:pt idx="0">
                  <c:v>33.003823271212369</c:v>
                </c:pt>
                <c:pt idx="1">
                  <c:v>27.700667387028044</c:v>
                </c:pt>
                <c:pt idx="2">
                  <c:v>55</c:v>
                </c:pt>
                <c:pt idx="3">
                  <c:v>60.5</c:v>
                </c:pt>
                <c:pt idx="4">
                  <c:v>62.625</c:v>
                </c:pt>
                <c:pt idx="5">
                  <c:v>33.6</c:v>
                </c:pt>
                <c:pt idx="6">
                  <c:v>44.166666666666664</c:v>
                </c:pt>
                <c:pt idx="7">
                  <c:v>44.714285714285715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D-3F46-9CBA-663D7F57D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090367"/>
        <c:axId val="1552781295"/>
      </c:barChart>
      <c:catAx>
        <c:axId val="146209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552781295"/>
        <c:crosses val="autoZero"/>
        <c:auto val="1"/>
        <c:lblAlgn val="ctr"/>
        <c:lblOffset val="100"/>
        <c:noMultiLvlLbl val="0"/>
      </c:catAx>
      <c:valAx>
        <c:axId val="155278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46209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'NORT '!$B$54:$B$61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'NORT '!$F$54:$F$61</c:f>
              <c:numCache>
                <c:formatCode>0</c:formatCode>
                <c:ptCount val="8"/>
                <c:pt idx="0">
                  <c:v>48.214335357029604</c:v>
                </c:pt>
                <c:pt idx="1">
                  <c:v>67.392324619983114</c:v>
                </c:pt>
                <c:pt idx="2">
                  <c:v>34.6</c:v>
                </c:pt>
                <c:pt idx="3">
                  <c:v>50.75</c:v>
                </c:pt>
                <c:pt idx="4">
                  <c:v>47.125</c:v>
                </c:pt>
                <c:pt idx="5">
                  <c:v>48.25</c:v>
                </c:pt>
                <c:pt idx="6">
                  <c:v>44</c:v>
                </c:pt>
                <c:pt idx="7">
                  <c:v>42.142857142857146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2335-0E4A-9E38-4BB3DDA07BE5}"/>
            </c:ext>
          </c:extLst>
        </c:ser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E-2335-0E4A-9E38-4BB3DDA07BE5}"/>
            </c:ext>
          </c:extLst>
        </c:ser>
        <c:ser>
          <c:idx val="1"/>
          <c:order val="2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0-2335-0E4A-9E38-4BB3DDA07BE5}"/>
            </c:ext>
          </c:extLst>
        </c:ser>
        <c:ser>
          <c:idx val="2"/>
          <c:order val="3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2-2335-0E4A-9E38-4BB3DDA07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075439"/>
        <c:axId val="1579510287"/>
      </c:barChart>
      <c:catAx>
        <c:axId val="158007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579510287"/>
        <c:crosses val="autoZero"/>
        <c:auto val="1"/>
        <c:lblAlgn val="ctr"/>
        <c:lblOffset val="100"/>
        <c:noMultiLvlLbl val="0"/>
      </c:catAx>
      <c:valAx>
        <c:axId val="157951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58007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Novelty preference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col"/>
        <c:grouping val="clustered"/>
        <c:varyColors val="1"/>
        <c:ser>
          <c:idx val="2"/>
          <c:order val="0"/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62F-1945-8720-BF718D3D52D8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62F-1945-8720-BF718D3D52D8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62F-1945-8720-BF718D3D52D8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62F-1945-8720-BF718D3D52D8}"/>
              </c:ext>
            </c:extLst>
          </c:dPt>
          <c:errBars>
            <c:errBarType val="both"/>
            <c:errValType val="cust"/>
            <c:noEndCap val="0"/>
            <c:plus>
              <c:numRef>
                <c:f>'NORT '!$AC$54:$AC$61</c:f>
                <c:numCache>
                  <c:formatCode>General</c:formatCode>
                  <c:ptCount val="8"/>
                  <c:pt idx="0">
                    <c:v>0.10652598268603088</c:v>
                  </c:pt>
                  <c:pt idx="1">
                    <c:v>6.4074786010674054E-2</c:v>
                  </c:pt>
                  <c:pt idx="2">
                    <c:v>0.12701968351401288</c:v>
                  </c:pt>
                  <c:pt idx="3">
                    <c:v>0.16306312683538646</c:v>
                  </c:pt>
                  <c:pt idx="4">
                    <c:v>9.3288148075886743E-2</c:v>
                  </c:pt>
                  <c:pt idx="5">
                    <c:v>0.1283510810238854</c:v>
                  </c:pt>
                  <c:pt idx="6">
                    <c:v>9.6298148130342223E-2</c:v>
                  </c:pt>
                  <c:pt idx="7">
                    <c:v>7.4015074765327413E-2</c:v>
                  </c:pt>
                </c:numCache>
              </c:numRef>
            </c:plus>
            <c:minus>
              <c:numRef>
                <c:f>'NORT '!$AC$54:$AC$61</c:f>
                <c:numCache>
                  <c:formatCode>General</c:formatCode>
                  <c:ptCount val="8"/>
                  <c:pt idx="0">
                    <c:v>0.10652598268603088</c:v>
                  </c:pt>
                  <c:pt idx="1">
                    <c:v>6.4074786010674054E-2</c:v>
                  </c:pt>
                  <c:pt idx="2">
                    <c:v>0.12701968351401288</c:v>
                  </c:pt>
                  <c:pt idx="3">
                    <c:v>0.16306312683538646</c:v>
                  </c:pt>
                  <c:pt idx="4">
                    <c:v>9.3288148075886743E-2</c:v>
                  </c:pt>
                  <c:pt idx="5">
                    <c:v>0.1283510810238854</c:v>
                  </c:pt>
                  <c:pt idx="6">
                    <c:v>9.6298148130342223E-2</c:v>
                  </c:pt>
                  <c:pt idx="7">
                    <c:v>7.4015074765327413E-2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'NORT '!$X$58:$X$61</c:f>
              <c:strCache>
                <c:ptCount val="4"/>
                <c:pt idx="0">
                  <c:v>Tg+LAC</c:v>
                </c:pt>
                <c:pt idx="1">
                  <c:v>Tg</c:v>
                </c:pt>
                <c:pt idx="2">
                  <c:v>WT+LAC</c:v>
                </c:pt>
                <c:pt idx="3">
                  <c:v>Wt</c:v>
                </c:pt>
              </c:strCache>
            </c:strRef>
          </c:cat>
          <c:val>
            <c:numRef>
              <c:f>'NORT '!$AA$58:$AA$61</c:f>
              <c:numCache>
                <c:formatCode>0%</c:formatCode>
                <c:ptCount val="4"/>
                <c:pt idx="0">
                  <c:v>0.49249999999999999</c:v>
                </c:pt>
                <c:pt idx="1">
                  <c:v>0.41799999999999998</c:v>
                </c:pt>
                <c:pt idx="2">
                  <c:v>0.53</c:v>
                </c:pt>
                <c:pt idx="3">
                  <c:v>0.40857142857142853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BD-6843-8AB2-67B900CB2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237087"/>
        <c:axId val="1584640527"/>
      </c:barChart>
      <c:catAx>
        <c:axId val="1585237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Groups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584640527"/>
        <c:crosses val="autoZero"/>
        <c:auto val="1"/>
        <c:lblAlgn val="ctr"/>
        <c:lblOffset val="100"/>
        <c:noMultiLvlLbl val="0"/>
      </c:catAx>
      <c:valAx>
        <c:axId val="158464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novelty preference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58523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'NORT '!$X$54:$X$61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'NORT '!$Z$54:$Z$61</c:f>
              <c:numCache>
                <c:formatCode>0.0</c:formatCode>
                <c:ptCount val="8"/>
                <c:pt idx="0">
                  <c:v>-0.12791306111414738</c:v>
                </c:pt>
                <c:pt idx="1">
                  <c:v>0.31050807097014416</c:v>
                </c:pt>
                <c:pt idx="2">
                  <c:v>0.33999999999999997</c:v>
                </c:pt>
                <c:pt idx="3">
                  <c:v>4.9999999999999989E-2</c:v>
                </c:pt>
                <c:pt idx="4">
                  <c:v>0</c:v>
                </c:pt>
                <c:pt idx="5">
                  <c:v>-0.18</c:v>
                </c:pt>
                <c:pt idx="6">
                  <c:v>5.000000000000001E-2</c:v>
                </c:pt>
                <c:pt idx="7">
                  <c:v>-0.18571428571428572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E6A-714C-B784-4C66CFA4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1958175"/>
        <c:axId val="1610802591"/>
      </c:barChart>
      <c:catAx>
        <c:axId val="146195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10802591"/>
        <c:crosses val="autoZero"/>
        <c:auto val="1"/>
        <c:lblAlgn val="ctr"/>
        <c:lblOffset val="100"/>
        <c:noMultiLvlLbl val="0"/>
      </c:catAx>
      <c:valAx>
        <c:axId val="161080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46195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'NORT '!$X$54:$X$61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'NORT '!$AB$54:$AB$61</c:f>
              <c:numCache>
                <c:formatCode>0</c:formatCode>
                <c:ptCount val="8"/>
                <c:pt idx="0">
                  <c:v>49.577517419975791</c:v>
                </c:pt>
                <c:pt idx="1">
                  <c:v>47.595629175118468</c:v>
                </c:pt>
                <c:pt idx="2">
                  <c:v>51.2</c:v>
                </c:pt>
                <c:pt idx="3">
                  <c:v>48.25</c:v>
                </c:pt>
                <c:pt idx="4">
                  <c:v>53.2</c:v>
                </c:pt>
                <c:pt idx="5">
                  <c:v>68.2</c:v>
                </c:pt>
                <c:pt idx="6">
                  <c:v>49.5</c:v>
                </c:pt>
                <c:pt idx="7">
                  <c:v>54.142857142857146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EA52-9D46-959D-4877243DE88C}"/>
            </c:ext>
          </c:extLst>
        </c:ser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EA52-9D46-959D-4877243DE88C}"/>
            </c:ext>
          </c:extLst>
        </c:ser>
        <c:ser>
          <c:idx val="1"/>
          <c:order val="2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8-EA52-9D46-959D-4877243DE88C}"/>
            </c:ext>
          </c:extLst>
        </c:ser>
        <c:ser>
          <c:idx val="2"/>
          <c:order val="3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A-EA52-9D46-959D-4877243DE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398063"/>
        <c:axId val="1608399695"/>
      </c:barChart>
      <c:catAx>
        <c:axId val="160839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08399695"/>
        <c:crosses val="autoZero"/>
        <c:auto val="1"/>
        <c:lblAlgn val="ctr"/>
        <c:lblOffset val="100"/>
        <c:noMultiLvlLbl val="0"/>
      </c:catAx>
      <c:valAx>
        <c:axId val="160839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0839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Distance in 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'NORT '!$AR$65</c:f>
              <c:strCache>
                <c:ptCount val="1"/>
                <c:pt idx="0">
                  <c:v>Tg KO+LAC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'!$AS$65:$AT$65</c:f>
              <c:numCache>
                <c:formatCode>0.00</c:formatCode>
                <c:ptCount val="2"/>
                <c:pt idx="0">
                  <c:v>5.7367999999999997</c:v>
                </c:pt>
                <c:pt idx="1">
                  <c:v>8.3704000000000001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4-1045-9401-FC9625CA6A51}"/>
            </c:ext>
          </c:extLst>
        </c:ser>
        <c:ser>
          <c:idx val="1"/>
          <c:order val="1"/>
          <c:tx>
            <c:strRef>
              <c:f>'NORT '!$AR$66</c:f>
              <c:strCache>
                <c:ptCount val="1"/>
                <c:pt idx="0">
                  <c:v>Tg KO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'!$AS$66:$AT$66</c:f>
              <c:numCache>
                <c:formatCode>0.00</c:formatCode>
                <c:ptCount val="2"/>
                <c:pt idx="0">
                  <c:v>10.122666666666667</c:v>
                </c:pt>
                <c:pt idx="1">
                  <c:v>15.738333333333335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1045-9401-FC9625CA6A51}"/>
            </c:ext>
          </c:extLst>
        </c:ser>
        <c:ser>
          <c:idx val="2"/>
          <c:order val="2"/>
          <c:tx>
            <c:strRef>
              <c:f>'NORT '!$AR$67</c:f>
              <c:strCache>
                <c:ptCount val="1"/>
                <c:pt idx="0">
                  <c:v>Wt KO+LAC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'!$AS$67:$AT$67</c:f>
              <c:numCache>
                <c:formatCode>0.00</c:formatCode>
                <c:ptCount val="2"/>
                <c:pt idx="0">
                  <c:v>7.202</c:v>
                </c:pt>
                <c:pt idx="1">
                  <c:v>5.7430000000000003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54-1045-9401-FC9625CA6A51}"/>
            </c:ext>
          </c:extLst>
        </c:ser>
        <c:ser>
          <c:idx val="3"/>
          <c:order val="3"/>
          <c:tx>
            <c:strRef>
              <c:f>'NORT '!$AR$68</c:f>
              <c:strCache>
                <c:ptCount val="1"/>
                <c:pt idx="0">
                  <c:v>Wt KO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'!$AS$68:$AT$68</c:f>
              <c:numCache>
                <c:formatCode>0.00</c:formatCode>
                <c:ptCount val="2"/>
                <c:pt idx="0">
                  <c:v>25.943249999999999</c:v>
                </c:pt>
                <c:pt idx="1">
                  <c:v>36.562249999999999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54-1045-9401-FC9625CA6A51}"/>
            </c:ext>
          </c:extLst>
        </c:ser>
        <c:ser>
          <c:idx val="4"/>
          <c:order val="4"/>
          <c:tx>
            <c:strRef>
              <c:f>'NORT '!$AR$69</c:f>
              <c:strCache>
                <c:ptCount val="1"/>
                <c:pt idx="0">
                  <c:v>Tg+LAC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'!$AS$69:$AT$69</c:f>
              <c:numCache>
                <c:formatCode>0.00</c:formatCode>
                <c:ptCount val="2"/>
                <c:pt idx="0">
                  <c:v>10.392625000000001</c:v>
                </c:pt>
                <c:pt idx="1">
                  <c:v>9.2768749999999986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54-1045-9401-FC9625CA6A51}"/>
            </c:ext>
          </c:extLst>
        </c:ser>
        <c:ser>
          <c:idx val="5"/>
          <c:order val="5"/>
          <c:tx>
            <c:strRef>
              <c:f>'NORT '!$AR$70</c:f>
              <c:strCache>
                <c:ptCount val="1"/>
                <c:pt idx="0">
                  <c:v>Tg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'!$AS$70:$AT$70</c:f>
              <c:numCache>
                <c:formatCode>0.00</c:formatCode>
                <c:ptCount val="2"/>
                <c:pt idx="0">
                  <c:v>11.0558</c:v>
                </c:pt>
                <c:pt idx="1">
                  <c:v>11.497400000000001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54-1045-9401-FC9625CA6A51}"/>
            </c:ext>
          </c:extLst>
        </c:ser>
        <c:ser>
          <c:idx val="6"/>
          <c:order val="6"/>
          <c:tx>
            <c:strRef>
              <c:f>'NORT '!$AR$71</c:f>
              <c:strCache>
                <c:ptCount val="1"/>
                <c:pt idx="0">
                  <c:v>WT+LAC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'!$AS$71:$AT$71</c:f>
              <c:numCache>
                <c:formatCode>0.00</c:formatCode>
                <c:ptCount val="2"/>
                <c:pt idx="0">
                  <c:v>11.091500000000002</c:v>
                </c:pt>
                <c:pt idx="1">
                  <c:v>16.379666666666665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54-1045-9401-FC9625CA6A51}"/>
            </c:ext>
          </c:extLst>
        </c:ser>
        <c:ser>
          <c:idx val="7"/>
          <c:order val="7"/>
          <c:tx>
            <c:strRef>
              <c:f>'NORT '!$AR$72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'!$AS$72:$AT$72</c:f>
              <c:numCache>
                <c:formatCode>0.00</c:formatCode>
                <c:ptCount val="2"/>
                <c:pt idx="0">
                  <c:v>9.3305714285714281</c:v>
                </c:pt>
                <c:pt idx="1">
                  <c:v>10.381142857142859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54-1045-9401-FC9625CA6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7180591"/>
        <c:axId val="1647182223"/>
      </c:barChart>
      <c:catAx>
        <c:axId val="164718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47182223"/>
        <c:crosses val="autoZero"/>
        <c:auto val="1"/>
        <c:lblAlgn val="ctr"/>
        <c:lblOffset val="100"/>
        <c:noMultiLvlLbl val="0"/>
      </c:catAx>
      <c:valAx>
        <c:axId val="164718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64718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184150</xdr:colOff>
      <xdr:row>10</xdr:row>
      <xdr:rowOff>177800</xdr:rowOff>
    </xdr:from>
    <xdr:to>
      <xdr:col>34</xdr:col>
      <xdr:colOff>292100</xdr:colOff>
      <xdr:row>28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CDA829-8822-844B-A8FD-C8D388F80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234950</xdr:colOff>
      <xdr:row>28</xdr:row>
      <xdr:rowOff>177800</xdr:rowOff>
    </xdr:from>
    <xdr:to>
      <xdr:col>34</xdr:col>
      <xdr:colOff>368300</xdr:colOff>
      <xdr:row>45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35EDCC-C649-4E4B-9BA6-A046C1E35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0</xdr:colOff>
      <xdr:row>11</xdr:row>
      <xdr:rowOff>0</xdr:rowOff>
    </xdr:from>
    <xdr:to>
      <xdr:col>42</xdr:col>
      <xdr:colOff>107950</xdr:colOff>
      <xdr:row>28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A8A39E-B649-C340-8236-0B3622BD5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647700</xdr:colOff>
      <xdr:row>29</xdr:row>
      <xdr:rowOff>25400</xdr:rowOff>
    </xdr:from>
    <xdr:to>
      <xdr:col>41</xdr:col>
      <xdr:colOff>781050</xdr:colOff>
      <xdr:row>45</xdr:row>
      <xdr:rowOff>184150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A15386-32B0-9F4B-B103-5D9E60CC2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412750</xdr:colOff>
      <xdr:row>1</xdr:row>
      <xdr:rowOff>19050</xdr:rowOff>
    </xdr:from>
    <xdr:to>
      <xdr:col>48</xdr:col>
      <xdr:colOff>31750</xdr:colOff>
      <xdr:row>15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BC262D-792B-F646-AD60-B62382E9D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781050</xdr:colOff>
      <xdr:row>50</xdr:row>
      <xdr:rowOff>31750</xdr:rowOff>
    </xdr:from>
    <xdr:to>
      <xdr:col>11</xdr:col>
      <xdr:colOff>838200</xdr:colOff>
      <xdr:row>66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3A75FB-7EC4-CA46-B26C-3CCAAA574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1047750</xdr:colOff>
      <xdr:row>49</xdr:row>
      <xdr:rowOff>158750</xdr:rowOff>
    </xdr:from>
    <xdr:to>
      <xdr:col>16</xdr:col>
      <xdr:colOff>692150</xdr:colOff>
      <xdr:row>65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FC4AE0-467C-174E-948A-0C8A0045A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387350</xdr:colOff>
      <xdr:row>51</xdr:row>
      <xdr:rowOff>95250</xdr:rowOff>
    </xdr:from>
    <xdr:to>
      <xdr:col>22</xdr:col>
      <xdr:colOff>298450</xdr:colOff>
      <xdr:row>67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BDB498-C0F9-E34F-AA53-5A7E79613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57150</xdr:colOff>
      <xdr:row>20</xdr:row>
      <xdr:rowOff>82550</xdr:rowOff>
    </xdr:from>
    <xdr:to>
      <xdr:col>35</xdr:col>
      <xdr:colOff>704850</xdr:colOff>
      <xdr:row>60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988211-EA49-BD41-B768-4DBCD7CA4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158750</xdr:colOff>
      <xdr:row>56</xdr:row>
      <xdr:rowOff>146050</xdr:rowOff>
    </xdr:from>
    <xdr:to>
      <xdr:col>32</xdr:col>
      <xdr:colOff>69850</xdr:colOff>
      <xdr:row>72</xdr:row>
      <xdr:rowOff>6350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821280-E9A1-AC4B-BC7F-07EF275C2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120650</xdr:colOff>
      <xdr:row>48</xdr:row>
      <xdr:rowOff>120650</xdr:rowOff>
    </xdr:from>
    <xdr:to>
      <xdr:col>41</xdr:col>
      <xdr:colOff>196850</xdr:colOff>
      <xdr:row>64</xdr:row>
      <xdr:rowOff>146050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BF41260-AF47-D74B-8CF4-86F7AF8BC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666750</xdr:colOff>
      <xdr:row>74</xdr:row>
      <xdr:rowOff>19050</xdr:rowOff>
    </xdr:from>
    <xdr:to>
      <xdr:col>46</xdr:col>
      <xdr:colOff>762000</xdr:colOff>
      <xdr:row>88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56AE906-AB3C-9F4B-B508-675528E11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BF139" totalsRowShown="0" headerRowDxfId="212" dataDxfId="211">
  <autoFilter ref="B1:BF139" xr:uid="{00000000-0009-0000-0100-000001000000}"/>
  <sortState xmlns:xlrd2="http://schemas.microsoft.com/office/spreadsheetml/2017/richdata2" caseSensitive="1" ref="B2:AZ139">
    <sortCondition descending="1" ref="C1:C139"/>
  </sortState>
  <tableColumns count="57">
    <tableColumn id="2" xr3:uid="{00000000-0010-0000-0000-000002000000}" name="Animal" dataDxfId="210"/>
    <tableColumn id="3" xr3:uid="{00000000-0010-0000-0000-000003000000}" name="Stage" dataDxfId="209"/>
    <tableColumn id="4" xr3:uid="{00000000-0010-0000-0000-000004000000}" name="Apparatus" dataDxfId="208"/>
    <tableColumn id="5" xr3:uid="{00000000-0010-0000-0000-000005000000}" name="Date" dataDxfId="207"/>
    <tableColumn id="6" xr3:uid="{00000000-0010-0000-0000-000006000000}" name="Time" dataDxfId="206"/>
    <tableColumn id="7" xr3:uid="{00000000-0010-0000-0000-000007000000}" name="Video_file_name" dataDxfId="205"/>
    <tableColumn id="8" xr3:uid="{00000000-0010-0000-0000-000008000000}" name="Duration" dataDxfId="204"/>
    <tableColumn id="9" xr3:uid="{00000000-0010-0000-0000-000009000000}" name="Distance" dataDxfId="203"/>
    <tableColumn id="10" xr3:uid="{00000000-0010-0000-0000-00000A000000}" name="Mean_speed" dataDxfId="202"/>
    <tableColumn id="11" xr3:uid="{00000000-0010-0000-0000-00000B000000}" name="Max_speed" dataDxfId="201"/>
    <tableColumn id="12" xr3:uid="{00000000-0010-0000-0000-00000C000000}" name="Time_freezing" dataDxfId="200"/>
    <tableColumn id="13" xr3:uid="{00000000-0010-0000-0000-00000D000000}" name="Object_A_._head_entries" dataDxfId="199"/>
    <tableColumn id="14" xr3:uid="{00000000-0010-0000-0000-00000E000000}" name="Object_A_._head_time" dataDxfId="198"/>
    <tableColumn id="15" xr3:uid="{00000000-0010-0000-0000-00000F000000}" name="Object_A_._distance" dataDxfId="197"/>
    <tableColumn id="16" xr3:uid="{00000000-0010-0000-0000-000010000000}" name="Object_A_._average_speed" dataDxfId="196"/>
    <tableColumn id="17" xr3:uid="{00000000-0010-0000-0000-000011000000}" name="Object_A_._max_speed" dataDxfId="195"/>
    <tableColumn id="18" xr3:uid="{00000000-0010-0000-0000-000012000000}" name="Object_A_._in_zone_oriented_to_centre" dataDxfId="194"/>
    <tableColumn id="19" xr3:uid="{00000000-0010-0000-0000-000013000000}" name="Object_A_._Absolute_head_turn_angle" dataDxfId="193"/>
    <tableColumn id="20" xr3:uid="{00000000-0010-0000-0000-000014000000}" name="Object_A_._time_freezing" dataDxfId="192"/>
    <tableColumn id="21" xr3:uid="{00000000-0010-0000-0000-000015000000}" name="Object_A_._time_head_in_._centre_out" dataDxfId="191"/>
    <tableColumn id="22" xr3:uid="{00000000-0010-0000-0000-000016000000}" name="Object_B_._head_entries" dataDxfId="190"/>
    <tableColumn id="23" xr3:uid="{00000000-0010-0000-0000-000017000000}" name="Object_B_._head_time" dataDxfId="189"/>
    <tableColumn id="24" xr3:uid="{00000000-0010-0000-0000-000018000000}" name="Object_B_._distance" dataDxfId="188"/>
    <tableColumn id="25" xr3:uid="{00000000-0010-0000-0000-000019000000}" name="Object_B_._average_speed" dataDxfId="187"/>
    <tableColumn id="26" xr3:uid="{00000000-0010-0000-0000-00001A000000}" name="Object_B_._max_speed" dataDxfId="186"/>
    <tableColumn id="27" xr3:uid="{00000000-0010-0000-0000-00001B000000}" name="Object_B_._in_zone_oriented_to_centre" dataDxfId="185"/>
    <tableColumn id="28" xr3:uid="{00000000-0010-0000-0000-00001C000000}" name="Object_B_._Absolute_head_turn_angle" dataDxfId="184"/>
    <tableColumn id="29" xr3:uid="{00000000-0010-0000-0000-00001D000000}" name="Object_B_._time_freezing" dataDxfId="183"/>
    <tableColumn id="30" xr3:uid="{00000000-0010-0000-0000-00001E000000}" name="Object_B_._time_head_in_._centre_out" dataDxfId="182"/>
    <tableColumn id="31" xr3:uid="{00000000-0010-0000-0000-00001F000000}" name="Inside_._entries" dataDxfId="181"/>
    <tableColumn id="32" xr3:uid="{00000000-0010-0000-0000-000020000000}" name="Inside_._time" dataDxfId="180"/>
    <tableColumn id="33" xr3:uid="{00000000-0010-0000-0000-000021000000}" name="Inside_._distance" dataDxfId="179"/>
    <tableColumn id="34" xr3:uid="{00000000-0010-0000-0000-000022000000}" name="Inside_._average_speed" dataDxfId="178"/>
    <tableColumn id="35" xr3:uid="{00000000-0010-0000-0000-000023000000}" name="Inside_._time_freezing" dataDxfId="177"/>
    <tableColumn id="36" xr3:uid="{00000000-0010-0000-0000-000024000000}" name="Outside_._entries" dataDxfId="176"/>
    <tableColumn id="37" xr3:uid="{00000000-0010-0000-0000-000025000000}" name="Outside_._time" dataDxfId="175"/>
    <tableColumn id="38" xr3:uid="{00000000-0010-0000-0000-000026000000}" name="Outside_._distance" dataDxfId="174"/>
    <tableColumn id="39" xr3:uid="{00000000-0010-0000-0000-000027000000}" name="Outside_._average_speed" dataDxfId="173"/>
    <tableColumn id="40" xr3:uid="{00000000-0010-0000-0000-000028000000}" name="Outside_._time_freezing" dataDxfId="172"/>
    <tableColumn id="55" xr3:uid="{DEA7D8A6-3ADE-1445-BDC2-3616148A73E1}" name="Relative time Inside" dataDxfId="171" dataCellStyle="Percent">
      <calculatedColumnFormula>Table1[[#This Row],[Inside_._time]]/Table1[[#This Row],[Duration]]</calculatedColumnFormula>
    </tableColumn>
    <tableColumn id="54" xr3:uid="{55D2DE9B-2432-5F46-88BA-AEA2AE1ABDD7}" name="Relative time Outside" dataDxfId="170" dataCellStyle="Percent">
      <calculatedColumnFormula>Table1[[#This Row],[Outside_._time]]/Table1[[#This Row],[Duration]]</calculatedColumnFormula>
    </tableColumn>
    <tableColumn id="57" xr3:uid="{F13E48AB-F168-9E4B-8849-6DAF0DB9218D}" name="Relative distance Inside" dataDxfId="169" dataCellStyle="Percent">
      <calculatedColumnFormula>Table1[[#This Row],[Inside_._distance]]/Table1[[#This Row],[Distance]]</calculatedColumnFormula>
    </tableColumn>
    <tableColumn id="56" xr3:uid="{F3895F80-ADD7-C041-A593-DB923B9C7C52}" name="Relative distance Outside" dataDxfId="168" dataCellStyle="Percent">
      <calculatedColumnFormula>Table1[[#This Row],[Outside_._distance]]/Table1[[#This Row],[Distance]]</calculatedColumnFormula>
    </tableColumn>
    <tableColumn id="41" xr3:uid="{00000000-0010-0000-0000-000029000000}" name="E1: total exploration time in first trial (E1 = A1 + B1)" dataDxfId="167">
      <calculatedColumnFormula>Table1[[#This Row],[Object_A_._head_time]]+Table1[[#This Row],[Object_B_._head_time]]</calculatedColumnFormula>
    </tableColumn>
    <tableColumn id="42" xr3:uid="{00000000-0010-0000-0000-00002A000000}" name="E2: total exploration time in second trial E2 ( E2 = A2 + B2)" dataDxfId="166">
      <calculatedColumnFormula>Table2[[#This Row],[Object_A_._head_time]]+Table2[[#This Row],[Object_B_._head_time]]</calculatedColumnFormula>
    </tableColumn>
    <tableColumn id="43" xr3:uid="{00000000-0010-0000-0000-00002B000000}" name="D1: Absolute discrimination measure (D1 = B2- A2)" dataDxfId="165">
      <calculatedColumnFormula>Table2[[#This Row],[Object_B_._head_time]]-Table2[[#This Row],[Object_A_._head_time]]</calculatedColumnFormula>
    </tableColumn>
    <tableColumn id="44" xr3:uid="{00000000-0010-0000-0000-00002C000000}" name="D2: Discrimination index (D2 = D1/E2)" dataDxfId="164">
      <calculatedColumnFormula>Table2[[#This Row],[D1: Absolute discrimination measure (D1 = B2- A2)]]/Table2[[#This Row],[E2: total exploration time in second trial E2 ( E2 = A2 + B2)]]</calculatedColumnFormula>
    </tableColumn>
    <tableColumn id="45" xr3:uid="{00000000-0010-0000-0000-00002D000000}" name="D3: Novelty preference (D3 = B2/E2*100)" dataDxfId="163">
      <calculatedColumnFormula>(W2/AT2)*100</calculatedColumnFormula>
    </tableColumn>
    <tableColumn id="46" xr3:uid="{00000000-0010-0000-0000-00002E000000}" name="Object bias score = (time exploring the object A/total time exploring both objects A1 and B1)*100" dataDxfId="162">
      <calculatedColumnFormula>(Table1[[#This Row],[Object_A_._head_time]]/(Table1[[#This Row],[Object_A_._head_time]]+Table1[[#This Row],[Object_B_._head_time]]))*100</calculatedColumnFormula>
    </tableColumn>
    <tableColumn id="53" xr3:uid="{2915AC90-5F53-6F4F-B48F-220C01BACE31}" name="Sex" dataDxfId="161"/>
    <tableColumn id="47" xr3:uid="{00000000-0010-0000-0000-00002F000000}" name="HCAR1" dataDxfId="160"/>
    <tableColumn id="1" xr3:uid="{00000000-0010-0000-0000-000001000000}" name="5XFAD" dataDxfId="159"/>
    <tableColumn id="48" xr3:uid="{00000000-0010-0000-0000-000030000000}" name="Age (days)" dataDxfId="158"/>
    <tableColumn id="49" xr3:uid="{00000000-0010-0000-0000-000031000000}" name="Age (months)" dataDxfId="157"/>
    <tableColumn id="50" xr3:uid="{00000000-0010-0000-0000-000032000000}" name="Treatment" dataDxfId="156"/>
    <tableColumn id="51" xr3:uid="{00000000-0010-0000-0000-000033000000}" name="Group" dataDxfId="155"/>
    <tableColumn id="52" xr3:uid="{00000000-0010-0000-0000-000034000000}" name="All comments" dataDxfId="15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1:BF130" headerRowDxfId="153" dataDxfId="152" totalsRowDxfId="151">
  <autoFilter ref="B1:BF130" xr:uid="{00000000-0009-0000-0100-000002000000}"/>
  <sortState xmlns:xlrd2="http://schemas.microsoft.com/office/spreadsheetml/2017/richdata2" ref="B2:AZ130">
    <sortCondition descending="1" ref="C1:C130"/>
  </sortState>
  <tableColumns count="57">
    <tableColumn id="2" xr3:uid="{00000000-0010-0000-0100-000002000000}" name="Animal" totalsRowLabel="Total" dataDxfId="150" totalsRowDxfId="149"/>
    <tableColumn id="3" xr3:uid="{00000000-0010-0000-0100-000003000000}" name="Stage" dataDxfId="148" totalsRowDxfId="147"/>
    <tableColumn id="4" xr3:uid="{00000000-0010-0000-0100-000004000000}" name="Apparatus" dataDxfId="146" totalsRowDxfId="145"/>
    <tableColumn id="5" xr3:uid="{00000000-0010-0000-0100-000005000000}" name="Date" dataDxfId="144" totalsRowDxfId="143"/>
    <tableColumn id="6" xr3:uid="{00000000-0010-0000-0100-000006000000}" name="Time" dataDxfId="142" totalsRowDxfId="141"/>
    <tableColumn id="7" xr3:uid="{00000000-0010-0000-0100-000007000000}" name="Video_file_name" dataDxfId="140" totalsRowDxfId="139"/>
    <tableColumn id="8" xr3:uid="{00000000-0010-0000-0100-000008000000}" name="Duration" dataDxfId="138" totalsRowDxfId="137"/>
    <tableColumn id="9" xr3:uid="{00000000-0010-0000-0100-000009000000}" name="Distance" dataDxfId="136" totalsRowDxfId="135"/>
    <tableColumn id="10" xr3:uid="{00000000-0010-0000-0100-00000A000000}" name="Mean_speed" dataDxfId="134" totalsRowDxfId="133"/>
    <tableColumn id="11" xr3:uid="{00000000-0010-0000-0100-00000B000000}" name="Max_speed" dataDxfId="132" totalsRowDxfId="131"/>
    <tableColumn id="12" xr3:uid="{00000000-0010-0000-0100-00000C000000}" name="Time_freezing" dataDxfId="130" totalsRowDxfId="129"/>
    <tableColumn id="13" xr3:uid="{00000000-0010-0000-0100-00000D000000}" name="Object_A_._head_entries" dataDxfId="128" totalsRowDxfId="127"/>
    <tableColumn id="14" xr3:uid="{00000000-0010-0000-0100-00000E000000}" name="Object_A_._head_time" dataDxfId="126" totalsRowDxfId="125"/>
    <tableColumn id="15" xr3:uid="{00000000-0010-0000-0100-00000F000000}" name="Object_A_._distance" dataDxfId="124" totalsRowDxfId="123"/>
    <tableColumn id="16" xr3:uid="{00000000-0010-0000-0100-000010000000}" name="Object_A_._average_speed" dataDxfId="122" totalsRowDxfId="121"/>
    <tableColumn id="17" xr3:uid="{00000000-0010-0000-0100-000011000000}" name="Object_A_._max_speed" dataDxfId="120" totalsRowDxfId="119"/>
    <tableColumn id="18" xr3:uid="{00000000-0010-0000-0100-000012000000}" name="Object_A_._in_zone_oriented_to_centre" dataDxfId="118" totalsRowDxfId="117"/>
    <tableColumn id="19" xr3:uid="{00000000-0010-0000-0100-000013000000}" name="Object_A_._Absolute_head_turn_angle" dataDxfId="116" totalsRowDxfId="115"/>
    <tableColumn id="20" xr3:uid="{00000000-0010-0000-0100-000014000000}" name="Object_A_._time_freezing" dataDxfId="114" totalsRowDxfId="113"/>
    <tableColumn id="21" xr3:uid="{00000000-0010-0000-0100-000015000000}" name="Object_A_._time_head_in_._centre_out" dataDxfId="112" totalsRowDxfId="111"/>
    <tableColumn id="22" xr3:uid="{00000000-0010-0000-0100-000016000000}" name="Object_B_._head_entries" dataDxfId="110" totalsRowDxfId="109"/>
    <tableColumn id="23" xr3:uid="{00000000-0010-0000-0100-000017000000}" name="Object_B_._head_time" dataDxfId="108" totalsRowDxfId="107"/>
    <tableColumn id="24" xr3:uid="{00000000-0010-0000-0100-000018000000}" name="Object_B_._distance" dataDxfId="106" totalsRowDxfId="105"/>
    <tableColumn id="25" xr3:uid="{00000000-0010-0000-0100-000019000000}" name="Object_B_._average_speed" dataDxfId="104" totalsRowDxfId="103"/>
    <tableColumn id="26" xr3:uid="{00000000-0010-0000-0100-00001A000000}" name="Object_B_._max_speed" dataDxfId="102" totalsRowDxfId="101"/>
    <tableColumn id="27" xr3:uid="{00000000-0010-0000-0100-00001B000000}" name="Object_B_._in_zone_oriented_to_centre" dataDxfId="100" totalsRowDxfId="99"/>
    <tableColumn id="28" xr3:uid="{00000000-0010-0000-0100-00001C000000}" name="Object_B_._Absolute_head_turn_angle" dataDxfId="98" totalsRowDxfId="97"/>
    <tableColumn id="29" xr3:uid="{00000000-0010-0000-0100-00001D000000}" name="Object_B_._time_freezing" dataDxfId="96" totalsRowDxfId="95"/>
    <tableColumn id="30" xr3:uid="{00000000-0010-0000-0100-00001E000000}" name="Object_B_._time_head_in_._centre_out" dataDxfId="94" totalsRowDxfId="93"/>
    <tableColumn id="31" xr3:uid="{00000000-0010-0000-0100-00001F000000}" name="Inside_._entries" dataDxfId="92" totalsRowDxfId="91"/>
    <tableColumn id="32" xr3:uid="{00000000-0010-0000-0100-000020000000}" name="Inside_._time" dataDxfId="90" totalsRowDxfId="89"/>
    <tableColumn id="33" xr3:uid="{00000000-0010-0000-0100-000021000000}" name="Inside_._distance" dataDxfId="88" totalsRowDxfId="87"/>
    <tableColumn id="34" xr3:uid="{00000000-0010-0000-0100-000022000000}" name="Inside_._average_speed" dataDxfId="86" totalsRowDxfId="85"/>
    <tableColumn id="35" xr3:uid="{00000000-0010-0000-0100-000023000000}" name="Inside_._time_freezing" dataDxfId="84" totalsRowDxfId="83"/>
    <tableColumn id="36" xr3:uid="{00000000-0010-0000-0100-000024000000}" name="Outside_._entries" dataDxfId="82" totalsRowDxfId="81"/>
    <tableColumn id="37" xr3:uid="{00000000-0010-0000-0100-000025000000}" name="Outside_._time" dataDxfId="80" totalsRowDxfId="79"/>
    <tableColumn id="38" xr3:uid="{00000000-0010-0000-0100-000026000000}" name="Outside_._distance" dataDxfId="78" totalsRowDxfId="77"/>
    <tableColumn id="39" xr3:uid="{00000000-0010-0000-0100-000027000000}" name="Outside_._average_speed" dataDxfId="76" totalsRowDxfId="75"/>
    <tableColumn id="40" xr3:uid="{00000000-0010-0000-0100-000028000000}" name="Outside_._time_freezing" dataDxfId="74" totalsRowDxfId="73"/>
    <tableColumn id="48" xr3:uid="{FE6D58AE-DCFB-F74C-81A9-09310AF36D8F}" name="Relative time Inside" dataDxfId="72" totalsRowDxfId="71" dataCellStyle="Percent">
      <calculatedColumnFormula>Table2[[#This Row],[Inside_._time]]/Table2[[#This Row],[Duration]]</calculatedColumnFormula>
    </tableColumn>
    <tableColumn id="49" xr3:uid="{1FBD06DE-08CC-0945-8034-88FCDF9729F9}" name="Relative time Outside" dataDxfId="70" totalsRowDxfId="69" dataCellStyle="Percent">
      <calculatedColumnFormula>Table2[[#This Row],[Outside_._time]]/Table2[[#This Row],[Duration]]</calculatedColumnFormula>
    </tableColumn>
    <tableColumn id="51" xr3:uid="{8F676AAF-1675-4E40-A1FB-E74BBE258589}" name="Relative distance Inside" dataDxfId="68" totalsRowDxfId="67" dataCellStyle="Percent">
      <calculatedColumnFormula>Table2[[#This Row],[Inside_._distance]]/Table2[[#This Row],[Distance]]</calculatedColumnFormula>
    </tableColumn>
    <tableColumn id="50" xr3:uid="{82244755-DFEC-5145-A4BF-15911BC8FC83}" name="Relative distance Outside" dataDxfId="66" totalsRowDxfId="65" dataCellStyle="Percent">
      <calculatedColumnFormula>Table2[[#This Row],[Outside_._distance]]/Table2[[#This Row],[Distance]]</calculatedColumnFormula>
    </tableColumn>
    <tableColumn id="41" xr3:uid="{00000000-0010-0000-0100-000029000000}" name="E1: total exploration time in first trial (E1 = A1 + B1)" dataDxfId="64" totalsRowDxfId="63"/>
    <tableColumn id="42" xr3:uid="{00000000-0010-0000-0100-00002A000000}" name="E2: total exploration time in second trial E2 ( E2 = A2 + B2)" dataDxfId="62" totalsRowDxfId="61"/>
    <tableColumn id="43" xr3:uid="{00000000-0010-0000-0100-00002B000000}" name="D1: Absolute discrimination measure (D1 = B2- A2)" dataDxfId="60" totalsRowDxfId="59"/>
    <tableColumn id="44" xr3:uid="{00000000-0010-0000-0100-00002C000000}" name="D2: Discrimination index (D2 = D1/E2)" dataDxfId="58" totalsRowDxfId="57"/>
    <tableColumn id="45" xr3:uid="{00000000-0010-0000-0100-00002D000000}" name="D3: Novelty preference (D3 = B2/E2*100)" dataDxfId="56" totalsRowDxfId="55"/>
    <tableColumn id="46" xr3:uid="{00000000-0010-0000-0100-00002E000000}" name="Object bias score = (time exploring the object A/total time exploring both objects A1 and B1)*100" dataDxfId="54" totalsRowDxfId="53"/>
    <tableColumn id="1" xr3:uid="{46CC1DF1-59FA-0E40-A17C-CC978FCE5F82}" name="Sex" dataDxfId="52" totalsRowDxfId="51"/>
    <tableColumn id="47" xr3:uid="{00000000-0010-0000-0100-00002F000000}" name="HCAR1" dataDxfId="50" totalsRowDxfId="49"/>
    <tableColumn id="59" xr3:uid="{00000000-0010-0000-0100-00003B000000}" name="5XFAD" dataDxfId="48" totalsRowDxfId="47"/>
    <tableColumn id="60" xr3:uid="{00000000-0010-0000-0100-00003C000000}" name="Age (days)" dataDxfId="46" totalsRowDxfId="45"/>
    <tableColumn id="61" xr3:uid="{00000000-0010-0000-0100-00003D000000}" name="Age (months)" dataDxfId="44" totalsRowDxfId="43"/>
    <tableColumn id="63" xr3:uid="{00000000-0010-0000-0100-00003F000000}" name="Treatment" dataDxfId="42" totalsRowDxfId="41"/>
    <tableColumn id="64" xr3:uid="{00000000-0010-0000-0100-000040000000}" name="Group" dataDxfId="40" totalsRowDxfId="39"/>
    <tableColumn id="65" xr3:uid="{00000000-0010-0000-0100-000041000000}" name="All comments" totalsRowFunction="count" dataDxfId="38" totalsRowDxfId="37"/>
  </tableColumns>
  <tableStyleInfo name="TableStyleLight2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9A2B8C-7EA5-6642-A233-E598C85A8683}" name="Table3" displayName="Table3" ref="A2:AK48" totalsRowShown="0" dataDxfId="36">
  <autoFilter ref="A2:AK48" xr:uid="{537D683C-7511-3C43-ADBF-449DA2E5D032}">
    <filterColumn colId="19">
      <filters>
        <filter val="8"/>
      </filters>
    </filterColumn>
  </autoFilter>
  <tableColumns count="37">
    <tableColumn id="1" xr3:uid="{9D916202-C994-FF44-9F2A-D17F9BE5BB3C}" name="Animal" dataDxfId="35"/>
    <tableColumn id="2" xr3:uid="{0D48DB20-5E66-3F4C-A88F-5BF6CC7416E9}" name="Apparatus" dataDxfId="34"/>
    <tableColumn id="3" xr3:uid="{FD842E55-2576-1149-A444-EE5210D94F59}" name="Date" dataDxfId="33"/>
    <tableColumn id="4" xr3:uid="{E52DAB6F-273B-4B47-B1B0-7FE128D0C537}" name="Time" dataDxfId="32"/>
    <tableColumn id="5" xr3:uid="{ED4E5644-B4E1-A146-A9C3-FEFAADE069FB}" name="Distance" dataDxfId="31"/>
    <tableColumn id="6" xr3:uid="{6FB0CC96-1722-914C-B994-0A34F25C116E}" name="Mean_speed" dataDxfId="30"/>
    <tableColumn id="7" xr3:uid="{9518A317-C789-A949-9992-6A4517750C63}" name="Max_speed" dataDxfId="29"/>
    <tableColumn id="8" xr3:uid="{522562C1-417B-774D-B391-8EF0571FFD60}" name="Time_freezing" dataDxfId="28"/>
    <tableColumn id="9" xr3:uid="{8B1EB8E6-CE5E-CE41-B339-1E92DC102C14}" name="E2: total exploration time in second trial E2 ( E2 = A2 + B2)" dataDxfId="27"/>
    <tableColumn id="10" xr3:uid="{07D8123C-FF51-7A44-82B0-43F6F9CAFE3E}" name="D1: Absolute discrimination measure (D1 = B2- A2)" dataDxfId="26"/>
    <tableColumn id="11" xr3:uid="{18F5A222-D169-8A45-9E75-BF04379F5C83}" name="D2: Discrimination index (D2 = D1/E2)" dataDxfId="25"/>
    <tableColumn id="12" xr3:uid="{29DA3E55-7880-EB49-A3BF-3968E800C3EB}" name="D3: Novelty preference (D3 = B2/E2*100)" dataDxfId="24"/>
    <tableColumn id="13" xr3:uid="{9090DE8F-ECD3-9240-9459-0C4E66F30EA5}" name="Object bias score = (time exploring the object A/total time exploring both objects A1 and B1)*100" dataDxfId="23"/>
    <tableColumn id="14" xr3:uid="{662340D0-9D30-B947-8BCA-0C8B2CC6D1F3}" name="Sex" dataDxfId="22"/>
    <tableColumn id="15" xr3:uid="{30363283-3BB4-854E-993B-797011859EB3}" name="HCAR1" dataDxfId="21"/>
    <tableColumn id="16" xr3:uid="{8690C71B-AC0A-BD46-BD43-ECBD3C57D74D}" name="5XFAD" dataDxfId="20"/>
    <tableColumn id="17" xr3:uid="{94D6CEA0-1BFE-E141-BDD2-A3FB389F22AE}" name="Age (days)" dataDxfId="19"/>
    <tableColumn id="18" xr3:uid="{9AF5F866-967D-C04A-BF50-9D1E83E47252}" name="Age (months)" dataDxfId="18"/>
    <tableColumn id="19" xr3:uid="{F83EEF02-1075-874D-8D93-4C8DA7C12A08}" name="Treatment" dataDxfId="17"/>
    <tableColumn id="20" xr3:uid="{F760A560-A648-794A-B269-F690CD679175}" name="Group" dataDxfId="16"/>
    <tableColumn id="21" xr3:uid="{8F9E9207-8F13-3B45-A13B-3461C8C0B153}" name="All comments" dataDxfId="15"/>
    <tableColumn id="22" xr3:uid="{7025BBB8-5719-CB43-A078-ED7E45E082C1}" name="Column1"/>
    <tableColumn id="23" xr3:uid="{958DAD12-C6A0-4547-A2BB-5717644EF3A1}" name="Animal2" dataDxfId="14"/>
    <tableColumn id="24" xr3:uid="{D4647837-09C0-8640-9EE0-94DEFBFE7519}" name="Apparatus3" dataDxfId="13"/>
    <tableColumn id="25" xr3:uid="{B244CA34-865E-F94A-A80B-F157B7427A0F}" name="Date4" dataDxfId="12"/>
    <tableColumn id="26" xr3:uid="{57270206-2D81-8C47-8E25-6A7AD7A5C082}" name="Time5" dataDxfId="11"/>
    <tableColumn id="27" xr3:uid="{67271101-806D-CC41-A6CB-8D2001A2F41B}" name="Distance6" dataDxfId="10"/>
    <tableColumn id="28" xr3:uid="{E1971940-C374-8A43-999D-E09E8C8C653E}" name="Mean_speed7" dataDxfId="9"/>
    <tableColumn id="29" xr3:uid="{43CA4F44-2B8A-CA40-AA75-CFC81060C41E}" name="Max_speed8" dataDxfId="8"/>
    <tableColumn id="30" xr3:uid="{F618E219-D048-AE44-AFB7-72409DBD0745}" name="Time_freezing9" dataDxfId="7"/>
    <tableColumn id="31" xr3:uid="{6FA80ABA-450E-874D-BB13-057FA9A84E5A}" name="E2: total exploration time in second trial E2 ( E2 = A2 + B2)10" dataDxfId="6"/>
    <tableColumn id="32" xr3:uid="{BC3535E9-C415-3D45-B261-6111A700062C}" name="D1: Absolute discrimination measure (D1 = B2- A2)11" dataDxfId="5"/>
    <tableColumn id="33" xr3:uid="{F70AABC3-71F8-5240-B32C-A13C746E9982}" name="D2: Discrimination index (D2 = D1/E2)12" dataDxfId="4"/>
    <tableColumn id="34" xr3:uid="{7A9C601B-7203-DC46-8AB4-8C8EFF87F606}" name="D3: Novelty preference (D3 = B2/E2*100)13" dataDxfId="3"/>
    <tableColumn id="35" xr3:uid="{88F8BACF-637D-FC46-8FF5-3301A424BF6C}" name="Object bias score = (time exploring the object A/total time exploring both objects A1 and B1)*10014" dataDxfId="2"/>
    <tableColumn id="36" xr3:uid="{27C1BD50-1AFF-BC4F-A854-BD83AE059783}" name="Age (days)15" dataDxfId="1"/>
    <tableColumn id="37" xr3:uid="{F9D6309B-4446-9649-8D6A-03BB8804E5F0}" name="Age (months)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39"/>
  <sheetViews>
    <sheetView zoomScale="108" workbookViewId="0">
      <selection activeCell="A140" sqref="A140"/>
    </sheetView>
  </sheetViews>
  <sheetFormatPr baseColWidth="10" defaultColWidth="10.83203125" defaultRowHeight="15" x14ac:dyDescent="0.15"/>
  <cols>
    <col min="1" max="1" width="4.33203125" style="5" bestFit="1" customWidth="1"/>
    <col min="2" max="2" width="9.33203125" style="278" customWidth="1"/>
    <col min="3" max="3" width="32.83203125" style="5" customWidth="1"/>
    <col min="4" max="4" width="13.83203125" style="5" customWidth="1"/>
    <col min="5" max="5" width="11.83203125" style="5" customWidth="1"/>
    <col min="6" max="6" width="7.6640625" style="5" customWidth="1"/>
    <col min="7" max="7" width="26.83203125" style="5" customWidth="1"/>
    <col min="8" max="8" width="10.6640625" style="6" customWidth="1"/>
    <col min="9" max="9" width="10.6640625" style="269" customWidth="1"/>
    <col min="10" max="10" width="14" style="269" customWidth="1"/>
    <col min="11" max="11" width="13" style="269" customWidth="1"/>
    <col min="12" max="12" width="15.33203125" style="6" customWidth="1"/>
    <col min="13" max="13" width="24.83203125" style="7" customWidth="1"/>
    <col min="14" max="14" width="22.33203125" style="6" customWidth="1"/>
    <col min="15" max="15" width="20.83203125" style="269" customWidth="1"/>
    <col min="16" max="16" width="26" style="269" customWidth="1"/>
    <col min="17" max="17" width="23" style="269" customWidth="1"/>
    <col min="18" max="18" width="38.83203125" style="6" customWidth="1"/>
    <col min="19" max="19" width="36.83203125" style="7" customWidth="1"/>
    <col min="20" max="20" width="25.83203125" style="6" customWidth="1"/>
    <col min="21" max="21" width="37.83203125" style="6" customWidth="1"/>
    <col min="22" max="22" width="24.83203125" style="7" customWidth="1"/>
    <col min="23" max="23" width="22.33203125" style="6" customWidth="1"/>
    <col min="24" max="24" width="20.83203125" style="269" customWidth="1"/>
    <col min="25" max="25" width="26" style="269" customWidth="1"/>
    <col min="26" max="26" width="23" style="269" customWidth="1"/>
    <col min="27" max="27" width="38.83203125" style="6" customWidth="1"/>
    <col min="28" max="28" width="36.83203125" style="7" customWidth="1"/>
    <col min="29" max="29" width="25.83203125" style="6" customWidth="1"/>
    <col min="30" max="30" width="37.83203125" style="6" customWidth="1"/>
    <col min="31" max="31" width="17.83203125" style="7" customWidth="1"/>
    <col min="32" max="32" width="14.83203125" style="6" customWidth="1"/>
    <col min="33" max="33" width="18.83203125" style="269" customWidth="1"/>
    <col min="34" max="34" width="23.83203125" style="269" customWidth="1"/>
    <col min="35" max="35" width="23.83203125" style="6" customWidth="1"/>
    <col min="36" max="36" width="18.83203125" style="7" customWidth="1"/>
    <col min="37" max="37" width="16.1640625" style="6" customWidth="1"/>
    <col min="38" max="38" width="19.83203125" style="269" customWidth="1"/>
    <col min="39" max="39" width="24.83203125" style="269" customWidth="1"/>
    <col min="40" max="40" width="24.83203125" style="6" customWidth="1"/>
    <col min="41" max="43" width="24.83203125" style="310" customWidth="1"/>
    <col min="44" max="44" width="25.83203125" style="7" bestFit="1" customWidth="1"/>
    <col min="45" max="45" width="45.6640625" style="303" bestFit="1" customWidth="1"/>
    <col min="46" max="46" width="50" style="303" customWidth="1"/>
    <col min="47" max="47" width="45.5" style="304" bestFit="1" customWidth="1"/>
    <col min="48" max="48" width="35.5" style="303" bestFit="1" customWidth="1"/>
    <col min="49" max="49" width="38.33203125" style="303" bestFit="1" customWidth="1"/>
    <col min="50" max="50" width="82.83203125" style="306" bestFit="1" customWidth="1"/>
    <col min="51" max="55" width="10.83203125" style="7"/>
    <col min="56" max="56" width="11" style="7" bestFit="1" customWidth="1"/>
    <col min="57" max="58" width="30.6640625" style="280" bestFit="1" customWidth="1"/>
    <col min="59" max="16384" width="10.83203125" style="280"/>
  </cols>
  <sheetData>
    <row r="1" spans="1:132" ht="12" customHeight="1" x14ac:dyDescent="0.15">
      <c r="A1" s="5" t="s">
        <v>544</v>
      </c>
      <c r="B1" s="278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269" t="s">
        <v>7</v>
      </c>
      <c r="J1" s="269" t="s">
        <v>8</v>
      </c>
      <c r="K1" s="269" t="s">
        <v>9</v>
      </c>
      <c r="L1" s="6" t="s">
        <v>10</v>
      </c>
      <c r="M1" s="7" t="s">
        <v>11</v>
      </c>
      <c r="N1" s="6" t="s">
        <v>12</v>
      </c>
      <c r="O1" s="269" t="s">
        <v>13</v>
      </c>
      <c r="P1" s="269" t="s">
        <v>14</v>
      </c>
      <c r="Q1" s="269" t="s">
        <v>15</v>
      </c>
      <c r="R1" s="6" t="s">
        <v>16</v>
      </c>
      <c r="S1" s="7" t="s">
        <v>17</v>
      </c>
      <c r="T1" s="6" t="s">
        <v>18</v>
      </c>
      <c r="U1" s="6" t="s">
        <v>19</v>
      </c>
      <c r="V1" s="7" t="s">
        <v>20</v>
      </c>
      <c r="W1" s="6" t="s">
        <v>21</v>
      </c>
      <c r="X1" s="269" t="s">
        <v>22</v>
      </c>
      <c r="Y1" s="269" t="s">
        <v>23</v>
      </c>
      <c r="Z1" s="269" t="s">
        <v>24</v>
      </c>
      <c r="AA1" s="6" t="s">
        <v>25</v>
      </c>
      <c r="AB1" s="7" t="s">
        <v>26</v>
      </c>
      <c r="AC1" s="6" t="s">
        <v>27</v>
      </c>
      <c r="AD1" s="6" t="s">
        <v>28</v>
      </c>
      <c r="AE1" s="7" t="s">
        <v>29</v>
      </c>
      <c r="AF1" s="6" t="s">
        <v>30</v>
      </c>
      <c r="AG1" s="269" t="s">
        <v>31</v>
      </c>
      <c r="AH1" s="269" t="s">
        <v>32</v>
      </c>
      <c r="AI1" s="6" t="s">
        <v>33</v>
      </c>
      <c r="AJ1" s="7" t="s">
        <v>34</v>
      </c>
      <c r="AK1" s="6" t="s">
        <v>35</v>
      </c>
      <c r="AL1" s="269" t="s">
        <v>36</v>
      </c>
      <c r="AM1" s="269" t="s">
        <v>37</v>
      </c>
      <c r="AN1" s="6" t="s">
        <v>38</v>
      </c>
      <c r="AO1" s="307" t="s">
        <v>540</v>
      </c>
      <c r="AP1" s="307" t="s">
        <v>541</v>
      </c>
      <c r="AQ1" s="307" t="s">
        <v>542</v>
      </c>
      <c r="AR1" s="307" t="s">
        <v>543</v>
      </c>
      <c r="AS1" s="4" t="s">
        <v>453</v>
      </c>
      <c r="AT1" s="7" t="s">
        <v>454</v>
      </c>
      <c r="AU1" s="5" t="s">
        <v>455</v>
      </c>
      <c r="AV1" s="5" t="s">
        <v>457</v>
      </c>
      <c r="AW1" s="5" t="s">
        <v>456</v>
      </c>
      <c r="AX1" s="5" t="s">
        <v>452</v>
      </c>
      <c r="AY1" s="5" t="s">
        <v>485</v>
      </c>
      <c r="AZ1" s="5" t="s">
        <v>478</v>
      </c>
      <c r="BA1" s="5" t="s">
        <v>479</v>
      </c>
      <c r="BB1" s="5" t="s">
        <v>480</v>
      </c>
      <c r="BC1" s="5" t="s">
        <v>481</v>
      </c>
      <c r="BD1" s="5" t="s">
        <v>482</v>
      </c>
      <c r="BE1" s="5" t="s">
        <v>483</v>
      </c>
      <c r="BF1" s="314" t="s">
        <v>484</v>
      </c>
      <c r="BG1" s="279"/>
      <c r="BH1" s="279"/>
      <c r="BI1" s="279"/>
      <c r="BJ1" s="279"/>
      <c r="BK1" s="279"/>
      <c r="BL1" s="279"/>
      <c r="BM1" s="279"/>
      <c r="BN1" s="279"/>
      <c r="BO1" s="279"/>
      <c r="BP1" s="279"/>
      <c r="BQ1" s="279"/>
      <c r="BR1" s="279"/>
      <c r="BS1" s="279"/>
      <c r="BT1" s="279"/>
      <c r="BU1" s="279"/>
      <c r="BV1" s="279"/>
      <c r="BW1" s="279"/>
      <c r="BX1" s="279"/>
      <c r="BY1" s="279"/>
      <c r="BZ1" s="279"/>
      <c r="CA1" s="279"/>
      <c r="CB1" s="279"/>
      <c r="CC1" s="279"/>
      <c r="CD1" s="279"/>
      <c r="CE1" s="279"/>
      <c r="CF1" s="279"/>
      <c r="CG1" s="279"/>
      <c r="CH1" s="279"/>
      <c r="CI1" s="279"/>
      <c r="CJ1" s="279"/>
      <c r="CK1" s="279"/>
      <c r="CL1" s="279"/>
      <c r="CM1" s="279"/>
      <c r="CN1" s="279"/>
      <c r="CO1" s="279"/>
      <c r="CP1" s="279"/>
      <c r="CQ1" s="279"/>
      <c r="CR1" s="279"/>
      <c r="CS1" s="279"/>
      <c r="CT1" s="279"/>
      <c r="CU1" s="279"/>
      <c r="CV1" s="279"/>
      <c r="CW1" s="279"/>
      <c r="CX1" s="279"/>
      <c r="CY1" s="279"/>
      <c r="CZ1" s="279"/>
      <c r="DA1" s="279"/>
      <c r="DB1" s="279"/>
      <c r="DC1" s="279"/>
      <c r="DD1" s="279"/>
      <c r="DE1" s="279"/>
      <c r="DF1" s="279"/>
      <c r="DG1" s="279"/>
      <c r="DH1" s="279"/>
      <c r="DI1" s="279"/>
      <c r="DJ1" s="279"/>
      <c r="DK1" s="279"/>
      <c r="DL1" s="279"/>
      <c r="DM1" s="279"/>
      <c r="DN1" s="279"/>
      <c r="DO1" s="279"/>
      <c r="DP1" s="279"/>
      <c r="DQ1" s="279"/>
      <c r="DR1" s="279"/>
      <c r="DS1" s="279"/>
      <c r="DT1" s="279"/>
      <c r="DU1" s="279"/>
      <c r="DV1" s="279"/>
      <c r="DW1" s="279"/>
      <c r="DX1" s="279"/>
      <c r="DY1" s="279"/>
      <c r="DZ1" s="279"/>
      <c r="EA1" s="279"/>
    </row>
    <row r="2" spans="1:132" s="286" customFormat="1" ht="12" customHeight="1" x14ac:dyDescent="0.15">
      <c r="A2" s="264">
        <v>47</v>
      </c>
      <c r="B2" s="281" t="s">
        <v>39</v>
      </c>
      <c r="C2" s="264" t="s">
        <v>211</v>
      </c>
      <c r="D2" s="264" t="s">
        <v>41</v>
      </c>
      <c r="E2" s="264" t="s">
        <v>151</v>
      </c>
      <c r="F2" s="264" t="s">
        <v>212</v>
      </c>
      <c r="G2" s="264" t="s">
        <v>213</v>
      </c>
      <c r="H2" s="13">
        <v>360</v>
      </c>
      <c r="I2" s="265">
        <v>18.206</v>
      </c>
      <c r="J2" s="265">
        <v>5.0999999999999997E-2</v>
      </c>
      <c r="K2" s="265">
        <v>0.309</v>
      </c>
      <c r="L2" s="13">
        <v>28.3</v>
      </c>
      <c r="M2" s="12">
        <v>21</v>
      </c>
      <c r="N2" s="13">
        <v>23.8</v>
      </c>
      <c r="O2" s="265">
        <v>1.2350000000000001</v>
      </c>
      <c r="P2" s="265">
        <v>5.1999999999999998E-2</v>
      </c>
      <c r="Q2" s="265">
        <v>0.26500000000000001</v>
      </c>
      <c r="R2" s="13">
        <v>10</v>
      </c>
      <c r="S2" s="12">
        <v>1845</v>
      </c>
      <c r="T2" s="13">
        <v>0</v>
      </c>
      <c r="U2" s="13">
        <v>15.1</v>
      </c>
      <c r="V2" s="12">
        <v>26</v>
      </c>
      <c r="W2" s="13">
        <v>32.5</v>
      </c>
      <c r="X2" s="265">
        <v>1.6919999999999999</v>
      </c>
      <c r="Y2" s="265">
        <v>5.1999999999999998E-2</v>
      </c>
      <c r="Z2" s="265">
        <v>0.24</v>
      </c>
      <c r="AA2" s="13">
        <v>14.9</v>
      </c>
      <c r="AB2" s="12">
        <v>2305</v>
      </c>
      <c r="AC2" s="13">
        <v>0</v>
      </c>
      <c r="AD2" s="13">
        <v>19.100000000000001</v>
      </c>
      <c r="AE2" s="12">
        <v>21</v>
      </c>
      <c r="AF2" s="13">
        <v>24.6</v>
      </c>
      <c r="AG2" s="265">
        <v>3.0110000000000001</v>
      </c>
      <c r="AH2" s="265">
        <v>0.123</v>
      </c>
      <c r="AI2" s="13">
        <v>0</v>
      </c>
      <c r="AJ2" s="12">
        <v>22</v>
      </c>
      <c r="AK2" s="13">
        <v>335.4</v>
      </c>
      <c r="AL2" s="265">
        <v>15.195</v>
      </c>
      <c r="AM2" s="265">
        <v>4.4999999999999998E-2</v>
      </c>
      <c r="AN2" s="13">
        <v>28.3</v>
      </c>
      <c r="AO2" s="308"/>
      <c r="AP2" s="308"/>
      <c r="AQ2" s="308"/>
      <c r="AR2" s="308"/>
      <c r="AS2" s="12">
        <f>Table1[[#This Row],[Object_A_._head_time]]+Table1[[#This Row],[Object_B_._head_time]]</f>
        <v>56.3</v>
      </c>
      <c r="AT2" s="282"/>
      <c r="AU2" s="282"/>
      <c r="AV2" s="283"/>
      <c r="AW2" s="282"/>
      <c r="AX2" s="308">
        <f>(Table1[[#This Row],[Object_A_._head_time]]/(Table1[[#This Row],[Object_A_._head_time]]+Table1[[#This Row],[Object_B_._head_time]]))</f>
        <v>0.42273534635879223</v>
      </c>
      <c r="AY2" s="8" t="s">
        <v>486</v>
      </c>
      <c r="AZ2" s="8" t="s">
        <v>472</v>
      </c>
      <c r="BA2" s="12" t="s">
        <v>473</v>
      </c>
      <c r="BB2" s="12">
        <v>99</v>
      </c>
      <c r="BC2" s="13">
        <v>3.3</v>
      </c>
      <c r="BD2" s="12" t="s">
        <v>474</v>
      </c>
      <c r="BE2" s="284">
        <v>3</v>
      </c>
      <c r="BF2" s="12"/>
      <c r="BG2" s="279"/>
      <c r="BH2" s="279"/>
      <c r="BI2" s="279"/>
      <c r="BJ2" s="279"/>
      <c r="BK2" s="279"/>
      <c r="BL2" s="279"/>
      <c r="BM2" s="279"/>
      <c r="BN2" s="279"/>
      <c r="BO2" s="279"/>
      <c r="BP2" s="279"/>
      <c r="BQ2" s="279"/>
      <c r="BR2" s="279"/>
      <c r="BS2" s="279"/>
      <c r="BT2" s="279"/>
      <c r="BU2" s="279"/>
      <c r="BV2" s="279"/>
      <c r="BW2" s="279"/>
      <c r="BX2" s="279"/>
      <c r="BY2" s="279"/>
      <c r="BZ2" s="279"/>
      <c r="CA2" s="279"/>
      <c r="CB2" s="279"/>
      <c r="CC2" s="279"/>
      <c r="CD2" s="279"/>
      <c r="CE2" s="279"/>
      <c r="CF2" s="279"/>
      <c r="CG2" s="279"/>
      <c r="CH2" s="279"/>
      <c r="CI2" s="279"/>
      <c r="CJ2" s="279"/>
      <c r="CK2" s="279"/>
      <c r="CL2" s="279"/>
      <c r="CM2" s="279"/>
      <c r="CN2" s="279"/>
      <c r="CO2" s="279"/>
      <c r="CP2" s="279"/>
      <c r="CQ2" s="279"/>
      <c r="CR2" s="279"/>
      <c r="CS2" s="279"/>
      <c r="CT2" s="279"/>
      <c r="CU2" s="279"/>
      <c r="CV2" s="279"/>
      <c r="CW2" s="279"/>
      <c r="CX2" s="279"/>
      <c r="CY2" s="279"/>
      <c r="CZ2" s="279"/>
      <c r="DA2" s="279"/>
      <c r="DB2" s="279"/>
      <c r="DC2" s="279"/>
      <c r="DD2" s="279"/>
      <c r="DE2" s="279"/>
      <c r="DF2" s="279"/>
      <c r="DG2" s="279"/>
      <c r="DH2" s="279"/>
      <c r="DI2" s="279"/>
      <c r="DJ2" s="279"/>
      <c r="DK2" s="279"/>
      <c r="DL2" s="279"/>
      <c r="DM2" s="279"/>
      <c r="DN2" s="279"/>
      <c r="DO2" s="279"/>
      <c r="DP2" s="279"/>
      <c r="DQ2" s="279"/>
      <c r="DR2" s="279"/>
      <c r="DS2" s="279"/>
      <c r="DT2" s="279"/>
      <c r="DU2" s="279"/>
      <c r="DV2" s="279"/>
      <c r="DW2" s="279"/>
      <c r="DX2" s="279"/>
      <c r="DY2" s="279"/>
      <c r="DZ2" s="279"/>
      <c r="EA2" s="279"/>
      <c r="EB2" s="285"/>
    </row>
    <row r="3" spans="1:132" s="286" customFormat="1" ht="12" customHeight="1" x14ac:dyDescent="0.15">
      <c r="A3" s="264">
        <v>49</v>
      </c>
      <c r="B3" s="281" t="s">
        <v>45</v>
      </c>
      <c r="C3" s="264" t="s">
        <v>211</v>
      </c>
      <c r="D3" s="264" t="s">
        <v>46</v>
      </c>
      <c r="E3" s="264" t="s">
        <v>151</v>
      </c>
      <c r="F3" s="264" t="s">
        <v>212</v>
      </c>
      <c r="G3" s="264" t="s">
        <v>214</v>
      </c>
      <c r="H3" s="13">
        <v>360</v>
      </c>
      <c r="I3" s="265">
        <v>11.89</v>
      </c>
      <c r="J3" s="265">
        <v>3.3000000000000002E-2</v>
      </c>
      <c r="K3" s="265">
        <v>0.26300000000000001</v>
      </c>
      <c r="L3" s="13">
        <v>16.399999999999999</v>
      </c>
      <c r="M3" s="12">
        <v>37</v>
      </c>
      <c r="N3" s="13">
        <v>40.1</v>
      </c>
      <c r="O3" s="265">
        <v>1.6859999999999999</v>
      </c>
      <c r="P3" s="265">
        <v>4.2000000000000003E-2</v>
      </c>
      <c r="Q3" s="265">
        <v>0.21199999999999999</v>
      </c>
      <c r="R3" s="13">
        <v>14.5</v>
      </c>
      <c r="S3" s="12">
        <v>2945</v>
      </c>
      <c r="T3" s="13">
        <v>1.7</v>
      </c>
      <c r="U3" s="13">
        <v>16.3</v>
      </c>
      <c r="V3" s="12">
        <v>17</v>
      </c>
      <c r="W3" s="13">
        <v>28.3</v>
      </c>
      <c r="X3" s="265">
        <v>1.3660000000000001</v>
      </c>
      <c r="Y3" s="265">
        <v>4.8000000000000001E-2</v>
      </c>
      <c r="Z3" s="265">
        <v>0.193</v>
      </c>
      <c r="AA3" s="13">
        <v>8.3000000000000007</v>
      </c>
      <c r="AB3" s="12">
        <v>2367</v>
      </c>
      <c r="AC3" s="13">
        <v>0</v>
      </c>
      <c r="AD3" s="13">
        <v>4.0999999999999996</v>
      </c>
      <c r="AE3" s="12">
        <v>15</v>
      </c>
      <c r="AF3" s="13">
        <v>20.7</v>
      </c>
      <c r="AG3" s="265">
        <v>1.591</v>
      </c>
      <c r="AH3" s="265">
        <v>7.6999999999999999E-2</v>
      </c>
      <c r="AI3" s="13">
        <v>1.2</v>
      </c>
      <c r="AJ3" s="12">
        <v>15</v>
      </c>
      <c r="AK3" s="13">
        <v>339.3</v>
      </c>
      <c r="AL3" s="265">
        <v>10.298999999999999</v>
      </c>
      <c r="AM3" s="265">
        <v>0.03</v>
      </c>
      <c r="AN3" s="13">
        <v>15.2</v>
      </c>
      <c r="AO3" s="308"/>
      <c r="AP3" s="308"/>
      <c r="AQ3" s="308"/>
      <c r="AR3" s="308"/>
      <c r="AS3" s="12">
        <f>Table1[[#This Row],[Object_A_._head_time]]+Table1[[#This Row],[Object_B_._head_time]]</f>
        <v>68.400000000000006</v>
      </c>
      <c r="AT3" s="282"/>
      <c r="AU3" s="282"/>
      <c r="AV3" s="283"/>
      <c r="AW3" s="282"/>
      <c r="AX3" s="308">
        <f>(Table1[[#This Row],[Object_A_._head_time]]/(Table1[[#This Row],[Object_A_._head_time]]+Table1[[#This Row],[Object_B_._head_time]]))</f>
        <v>0.58625730994152048</v>
      </c>
      <c r="AY3" s="8" t="s">
        <v>487</v>
      </c>
      <c r="AZ3" s="8" t="s">
        <v>472</v>
      </c>
      <c r="BA3" s="12" t="s">
        <v>475</v>
      </c>
      <c r="BB3" s="12">
        <v>99</v>
      </c>
      <c r="BC3" s="13">
        <v>3.3</v>
      </c>
      <c r="BD3" s="12" t="s">
        <v>474</v>
      </c>
      <c r="BE3" s="284">
        <v>1</v>
      </c>
      <c r="BF3" s="12"/>
      <c r="BG3" s="279"/>
      <c r="BH3" s="279"/>
      <c r="BI3" s="279"/>
      <c r="BJ3" s="279"/>
      <c r="BK3" s="279"/>
      <c r="BL3" s="279"/>
      <c r="BM3" s="279"/>
      <c r="BN3" s="279"/>
      <c r="BO3" s="279"/>
      <c r="BP3" s="279"/>
      <c r="BQ3" s="279"/>
      <c r="BR3" s="279"/>
      <c r="BS3" s="279"/>
      <c r="BT3" s="279"/>
      <c r="BU3" s="279"/>
      <c r="BV3" s="279"/>
      <c r="BW3" s="279"/>
      <c r="BX3" s="279"/>
      <c r="BY3" s="279"/>
      <c r="BZ3" s="279"/>
      <c r="CA3" s="279"/>
      <c r="CB3" s="279"/>
      <c r="CC3" s="279"/>
      <c r="CD3" s="279"/>
      <c r="CE3" s="279"/>
      <c r="CF3" s="279"/>
      <c r="CG3" s="279"/>
      <c r="CH3" s="279"/>
      <c r="CI3" s="279"/>
      <c r="CJ3" s="279"/>
      <c r="CK3" s="279"/>
      <c r="CL3" s="279"/>
      <c r="CM3" s="279"/>
      <c r="CN3" s="279"/>
      <c r="CO3" s="279"/>
      <c r="CP3" s="279"/>
      <c r="CQ3" s="279"/>
      <c r="CR3" s="279"/>
      <c r="CS3" s="279"/>
      <c r="CT3" s="279"/>
      <c r="CU3" s="279"/>
      <c r="CV3" s="279"/>
      <c r="CW3" s="279"/>
      <c r="CX3" s="279"/>
      <c r="CY3" s="279"/>
      <c r="CZ3" s="279"/>
      <c r="DA3" s="279"/>
      <c r="DB3" s="279"/>
      <c r="DC3" s="279"/>
      <c r="DD3" s="279"/>
      <c r="DE3" s="279"/>
      <c r="DF3" s="279"/>
      <c r="DG3" s="279"/>
      <c r="DH3" s="279"/>
      <c r="DI3" s="279"/>
      <c r="DJ3" s="279"/>
      <c r="DK3" s="279"/>
      <c r="DL3" s="279"/>
      <c r="DM3" s="279"/>
      <c r="DN3" s="279"/>
      <c r="DO3" s="279"/>
      <c r="DP3" s="279"/>
      <c r="DQ3" s="279"/>
      <c r="DR3" s="279"/>
      <c r="DS3" s="279"/>
      <c r="DT3" s="279"/>
      <c r="DU3" s="279"/>
      <c r="DV3" s="279"/>
      <c r="DW3" s="279"/>
      <c r="DX3" s="279"/>
      <c r="DY3" s="279"/>
      <c r="DZ3" s="279"/>
      <c r="EA3" s="279"/>
      <c r="EB3" s="285"/>
    </row>
    <row r="4" spans="1:132" s="286" customFormat="1" ht="12" customHeight="1" x14ac:dyDescent="0.15">
      <c r="A4" s="264">
        <v>48</v>
      </c>
      <c r="B4" s="281" t="s">
        <v>48</v>
      </c>
      <c r="C4" s="264" t="s">
        <v>211</v>
      </c>
      <c r="D4" s="264" t="s">
        <v>49</v>
      </c>
      <c r="E4" s="264" t="s">
        <v>151</v>
      </c>
      <c r="F4" s="264" t="s">
        <v>212</v>
      </c>
      <c r="G4" s="264" t="s">
        <v>215</v>
      </c>
      <c r="H4" s="13">
        <v>360</v>
      </c>
      <c r="I4" s="265">
        <v>17.318999999999999</v>
      </c>
      <c r="J4" s="265">
        <v>4.8000000000000001E-2</v>
      </c>
      <c r="K4" s="265">
        <v>0.23400000000000001</v>
      </c>
      <c r="L4" s="13">
        <v>9.1999999999999993</v>
      </c>
      <c r="M4" s="12">
        <v>42</v>
      </c>
      <c r="N4" s="13">
        <v>94.9</v>
      </c>
      <c r="O4" s="265">
        <v>4.181</v>
      </c>
      <c r="P4" s="265">
        <v>4.3999999999999997E-2</v>
      </c>
      <c r="Q4" s="265">
        <v>0.23400000000000001</v>
      </c>
      <c r="R4" s="13">
        <v>11.5</v>
      </c>
      <c r="S4" s="12">
        <v>5888</v>
      </c>
      <c r="T4" s="13">
        <v>0</v>
      </c>
      <c r="U4" s="13">
        <v>12</v>
      </c>
      <c r="V4" s="12">
        <v>40</v>
      </c>
      <c r="W4" s="13">
        <v>78.2</v>
      </c>
      <c r="X4" s="265">
        <v>4.0759999999999996</v>
      </c>
      <c r="Y4" s="265">
        <v>5.1999999999999998E-2</v>
      </c>
      <c r="Z4" s="265">
        <v>0.21199999999999999</v>
      </c>
      <c r="AA4" s="13">
        <v>15.6</v>
      </c>
      <c r="AB4" s="12">
        <v>5140</v>
      </c>
      <c r="AC4" s="13">
        <v>1.1000000000000001</v>
      </c>
      <c r="AD4" s="13">
        <v>15.3</v>
      </c>
      <c r="AE4" s="12">
        <v>30</v>
      </c>
      <c r="AF4" s="13">
        <v>85.8</v>
      </c>
      <c r="AG4" s="265">
        <v>5.1379999999999999</v>
      </c>
      <c r="AH4" s="265">
        <v>0.06</v>
      </c>
      <c r="AI4" s="13">
        <v>0</v>
      </c>
      <c r="AJ4" s="12">
        <v>31</v>
      </c>
      <c r="AK4" s="13">
        <v>274.2</v>
      </c>
      <c r="AL4" s="265">
        <v>12.180999999999999</v>
      </c>
      <c r="AM4" s="265">
        <v>4.3999999999999997E-2</v>
      </c>
      <c r="AN4" s="13">
        <v>9.1999999999999993</v>
      </c>
      <c r="AO4" s="308"/>
      <c r="AP4" s="308"/>
      <c r="AQ4" s="308"/>
      <c r="AR4" s="308"/>
      <c r="AS4" s="12">
        <f>Table1[[#This Row],[Object_A_._head_time]]+Table1[[#This Row],[Object_B_._head_time]]</f>
        <v>173.10000000000002</v>
      </c>
      <c r="AT4" s="282"/>
      <c r="AU4" s="282"/>
      <c r="AV4" s="283"/>
      <c r="AW4" s="282"/>
      <c r="AX4" s="308">
        <f>(Table1[[#This Row],[Object_A_._head_time]]/(Table1[[#This Row],[Object_A_._head_time]]+Table1[[#This Row],[Object_B_._head_time]]))</f>
        <v>0.54823801270941652</v>
      </c>
      <c r="AY4" s="8" t="s">
        <v>486</v>
      </c>
      <c r="AZ4" s="8" t="s">
        <v>476</v>
      </c>
      <c r="BA4" s="12" t="s">
        <v>475</v>
      </c>
      <c r="BB4" s="12">
        <v>94</v>
      </c>
      <c r="BC4" s="13">
        <v>3.1333333333333333</v>
      </c>
      <c r="BD4" s="12" t="s">
        <v>474</v>
      </c>
      <c r="BE4" s="284">
        <v>5</v>
      </c>
      <c r="BF4" s="12" t="s">
        <v>458</v>
      </c>
      <c r="BG4" s="279"/>
      <c r="BH4" s="279"/>
      <c r="BI4" s="279"/>
      <c r="BJ4" s="279"/>
      <c r="BK4" s="279"/>
      <c r="BL4" s="279"/>
      <c r="BM4" s="279"/>
      <c r="BN4" s="279"/>
      <c r="BO4" s="279"/>
      <c r="BP4" s="279"/>
      <c r="BQ4" s="279"/>
      <c r="BR4" s="279"/>
      <c r="BS4" s="279"/>
      <c r="BT4" s="279"/>
      <c r="BU4" s="279"/>
      <c r="BV4" s="279"/>
      <c r="BW4" s="279"/>
      <c r="BX4" s="279"/>
      <c r="BY4" s="279"/>
      <c r="BZ4" s="279"/>
      <c r="CA4" s="279"/>
      <c r="CB4" s="279"/>
      <c r="CC4" s="279"/>
      <c r="CD4" s="279"/>
      <c r="CE4" s="279"/>
      <c r="CF4" s="279"/>
      <c r="CG4" s="279"/>
      <c r="CH4" s="279"/>
      <c r="CI4" s="279"/>
      <c r="CJ4" s="279"/>
      <c r="CK4" s="279"/>
      <c r="CL4" s="279"/>
      <c r="CM4" s="279"/>
      <c r="CN4" s="279"/>
      <c r="CO4" s="279"/>
      <c r="CP4" s="279"/>
      <c r="CQ4" s="279"/>
      <c r="CR4" s="279"/>
      <c r="CS4" s="279"/>
      <c r="CT4" s="279"/>
      <c r="CU4" s="279"/>
      <c r="CV4" s="279"/>
      <c r="CW4" s="279"/>
      <c r="CX4" s="279"/>
      <c r="CY4" s="279"/>
      <c r="CZ4" s="279"/>
      <c r="DA4" s="279"/>
      <c r="DB4" s="279"/>
      <c r="DC4" s="279"/>
      <c r="DD4" s="279"/>
      <c r="DE4" s="279"/>
      <c r="DF4" s="279"/>
      <c r="DG4" s="279"/>
      <c r="DH4" s="279"/>
      <c r="DI4" s="279"/>
      <c r="DJ4" s="279"/>
      <c r="DK4" s="279"/>
      <c r="DL4" s="279"/>
      <c r="DM4" s="279"/>
      <c r="DN4" s="279"/>
      <c r="DO4" s="279"/>
      <c r="DP4" s="279"/>
      <c r="DQ4" s="279"/>
      <c r="DR4" s="279"/>
      <c r="DS4" s="279"/>
      <c r="DT4" s="279"/>
      <c r="DU4" s="279"/>
      <c r="DV4" s="279"/>
      <c r="DW4" s="279"/>
      <c r="DX4" s="279"/>
      <c r="DY4" s="279"/>
      <c r="DZ4" s="279"/>
      <c r="EA4" s="279"/>
      <c r="EB4" s="285"/>
    </row>
    <row r="5" spans="1:132" s="286" customFormat="1" ht="12" customHeight="1" x14ac:dyDescent="0.15">
      <c r="A5" s="264">
        <v>50</v>
      </c>
      <c r="B5" s="281" t="s">
        <v>52</v>
      </c>
      <c r="C5" s="264" t="s">
        <v>211</v>
      </c>
      <c r="D5" s="264" t="s">
        <v>53</v>
      </c>
      <c r="E5" s="264" t="s">
        <v>151</v>
      </c>
      <c r="F5" s="264" t="s">
        <v>212</v>
      </c>
      <c r="G5" s="264" t="s">
        <v>216</v>
      </c>
      <c r="H5" s="13">
        <v>360</v>
      </c>
      <c r="I5" s="265">
        <v>27.305</v>
      </c>
      <c r="J5" s="265">
        <v>7.5999999999999998E-2</v>
      </c>
      <c r="K5" s="265">
        <v>0.27800000000000002</v>
      </c>
      <c r="L5" s="13">
        <v>4.5</v>
      </c>
      <c r="M5" s="12">
        <v>37</v>
      </c>
      <c r="N5" s="13">
        <v>39.5</v>
      </c>
      <c r="O5" s="265">
        <v>2.7120000000000002</v>
      </c>
      <c r="P5" s="265">
        <v>6.9000000000000006E-2</v>
      </c>
      <c r="Q5" s="265">
        <v>0.27800000000000002</v>
      </c>
      <c r="R5" s="13">
        <v>11.9</v>
      </c>
      <c r="S5" s="12">
        <v>3163</v>
      </c>
      <c r="T5" s="13">
        <v>0</v>
      </c>
      <c r="U5" s="13">
        <v>8.6999999999999993</v>
      </c>
      <c r="V5" s="12">
        <v>46</v>
      </c>
      <c r="W5" s="13">
        <v>45</v>
      </c>
      <c r="X5" s="265">
        <v>3.573</v>
      </c>
      <c r="Y5" s="265">
        <v>7.9000000000000001E-2</v>
      </c>
      <c r="Z5" s="265">
        <v>0.246</v>
      </c>
      <c r="AA5" s="13">
        <v>10.3</v>
      </c>
      <c r="AB5" s="12">
        <v>4240</v>
      </c>
      <c r="AC5" s="13">
        <v>0</v>
      </c>
      <c r="AD5" s="13">
        <v>11.2</v>
      </c>
      <c r="AE5" s="12">
        <v>35</v>
      </c>
      <c r="AF5" s="13">
        <v>48.3</v>
      </c>
      <c r="AG5" s="265">
        <v>5.2069999999999999</v>
      </c>
      <c r="AH5" s="265">
        <v>0.108</v>
      </c>
      <c r="AI5" s="13">
        <v>0</v>
      </c>
      <c r="AJ5" s="12">
        <v>36</v>
      </c>
      <c r="AK5" s="13">
        <v>311.7</v>
      </c>
      <c r="AL5" s="265">
        <v>22.097999999999999</v>
      </c>
      <c r="AM5" s="265">
        <v>7.0999999999999994E-2</v>
      </c>
      <c r="AN5" s="13">
        <v>4.5</v>
      </c>
      <c r="AO5" s="308"/>
      <c r="AP5" s="308"/>
      <c r="AQ5" s="308"/>
      <c r="AR5" s="308"/>
      <c r="AS5" s="12">
        <f>Table1[[#This Row],[Object_A_._head_time]]+Table1[[#This Row],[Object_B_._head_time]]</f>
        <v>84.5</v>
      </c>
      <c r="AT5" s="282"/>
      <c r="AU5" s="282"/>
      <c r="AV5" s="283"/>
      <c r="AW5" s="282"/>
      <c r="AX5" s="308">
        <f>(Table1[[#This Row],[Object_A_._head_time]]/(Table1[[#This Row],[Object_A_._head_time]]+Table1[[#This Row],[Object_B_._head_time]]))</f>
        <v>0.46745562130177515</v>
      </c>
      <c r="AY5" s="8" t="s">
        <v>486</v>
      </c>
      <c r="AZ5" s="8" t="s">
        <v>476</v>
      </c>
      <c r="BA5" s="12" t="s">
        <v>473</v>
      </c>
      <c r="BB5" s="12">
        <v>94</v>
      </c>
      <c r="BC5" s="13">
        <v>3.1333333333333333</v>
      </c>
      <c r="BD5" s="12" t="s">
        <v>477</v>
      </c>
      <c r="BE5" s="284">
        <v>8</v>
      </c>
      <c r="BF5" s="12"/>
      <c r="BG5" s="279"/>
      <c r="BH5" s="279"/>
      <c r="BI5" s="279"/>
      <c r="BJ5" s="279"/>
      <c r="BK5" s="279"/>
      <c r="BL5" s="279"/>
      <c r="BM5" s="279"/>
      <c r="BN5" s="279"/>
      <c r="BO5" s="279"/>
      <c r="BP5" s="279"/>
      <c r="BQ5" s="279"/>
      <c r="BR5" s="279"/>
      <c r="BS5" s="279"/>
      <c r="BT5" s="279"/>
      <c r="BU5" s="279"/>
      <c r="BV5" s="279"/>
      <c r="BW5" s="279"/>
      <c r="BX5" s="279"/>
      <c r="BY5" s="279"/>
      <c r="BZ5" s="279"/>
      <c r="CA5" s="279"/>
      <c r="CB5" s="279"/>
      <c r="CC5" s="279"/>
      <c r="CD5" s="279"/>
      <c r="CE5" s="279"/>
      <c r="CF5" s="279"/>
      <c r="CG5" s="279"/>
      <c r="CH5" s="279"/>
      <c r="CI5" s="279"/>
      <c r="CJ5" s="279"/>
      <c r="CK5" s="279"/>
      <c r="CL5" s="279"/>
      <c r="CM5" s="279"/>
      <c r="CN5" s="279"/>
      <c r="CO5" s="279"/>
      <c r="CP5" s="279"/>
      <c r="CQ5" s="279"/>
      <c r="CR5" s="279"/>
      <c r="CS5" s="279"/>
      <c r="CT5" s="279"/>
      <c r="CU5" s="279"/>
      <c r="CV5" s="279"/>
      <c r="CW5" s="279"/>
      <c r="CX5" s="279"/>
      <c r="CY5" s="279"/>
      <c r="CZ5" s="279"/>
      <c r="DA5" s="279"/>
      <c r="DB5" s="279"/>
      <c r="DC5" s="279"/>
      <c r="DD5" s="279"/>
      <c r="DE5" s="279"/>
      <c r="DF5" s="279"/>
      <c r="DG5" s="279"/>
      <c r="DH5" s="279"/>
      <c r="DI5" s="279"/>
      <c r="DJ5" s="279"/>
      <c r="DK5" s="279"/>
      <c r="DL5" s="279"/>
      <c r="DM5" s="279"/>
      <c r="DN5" s="279"/>
      <c r="DO5" s="279"/>
      <c r="DP5" s="279"/>
      <c r="DQ5" s="279"/>
      <c r="DR5" s="279"/>
      <c r="DS5" s="279"/>
      <c r="DT5" s="279"/>
      <c r="DU5" s="279"/>
      <c r="DV5" s="279"/>
      <c r="DW5" s="279"/>
      <c r="DX5" s="279"/>
      <c r="DY5" s="279"/>
      <c r="DZ5" s="279"/>
      <c r="EA5" s="279"/>
      <c r="EB5" s="285"/>
    </row>
    <row r="6" spans="1:132" s="286" customFormat="1" ht="12" customHeight="1" x14ac:dyDescent="0.15">
      <c r="A6" s="264">
        <v>51</v>
      </c>
      <c r="B6" s="281" t="s">
        <v>55</v>
      </c>
      <c r="C6" s="264" t="s">
        <v>211</v>
      </c>
      <c r="D6" s="264" t="s">
        <v>41</v>
      </c>
      <c r="E6" s="264" t="s">
        <v>151</v>
      </c>
      <c r="F6" s="264" t="s">
        <v>217</v>
      </c>
      <c r="G6" s="264" t="s">
        <v>218</v>
      </c>
      <c r="H6" s="13">
        <v>360</v>
      </c>
      <c r="I6" s="265">
        <v>10.702999999999999</v>
      </c>
      <c r="J6" s="265">
        <v>0.03</v>
      </c>
      <c r="K6" s="265">
        <v>0.26</v>
      </c>
      <c r="L6" s="13">
        <v>121.5</v>
      </c>
      <c r="M6" s="12">
        <v>11</v>
      </c>
      <c r="N6" s="13">
        <v>18.3</v>
      </c>
      <c r="O6" s="265">
        <v>0.53500000000000003</v>
      </c>
      <c r="P6" s="265">
        <v>2.9000000000000001E-2</v>
      </c>
      <c r="Q6" s="265">
        <v>0.2</v>
      </c>
      <c r="R6" s="13">
        <v>6.8</v>
      </c>
      <c r="S6" s="12">
        <v>1065</v>
      </c>
      <c r="T6" s="13">
        <v>0</v>
      </c>
      <c r="U6" s="13">
        <v>6.9</v>
      </c>
      <c r="V6" s="12">
        <v>14</v>
      </c>
      <c r="W6" s="13">
        <v>21.9</v>
      </c>
      <c r="X6" s="265">
        <v>0.94799999999999995</v>
      </c>
      <c r="Y6" s="265">
        <v>4.2999999999999997E-2</v>
      </c>
      <c r="Z6" s="265">
        <v>0.19600000000000001</v>
      </c>
      <c r="AA6" s="13">
        <v>5.6</v>
      </c>
      <c r="AB6" s="12">
        <v>1382</v>
      </c>
      <c r="AC6" s="13">
        <v>0</v>
      </c>
      <c r="AD6" s="13">
        <v>11.9</v>
      </c>
      <c r="AE6" s="12">
        <v>9</v>
      </c>
      <c r="AF6" s="13">
        <v>13.1</v>
      </c>
      <c r="AG6" s="265">
        <v>1.4039999999999999</v>
      </c>
      <c r="AH6" s="265">
        <v>0.107</v>
      </c>
      <c r="AI6" s="13">
        <v>0</v>
      </c>
      <c r="AJ6" s="12">
        <v>10</v>
      </c>
      <c r="AK6" s="13">
        <v>346.9</v>
      </c>
      <c r="AL6" s="265">
        <v>9.2989999999999995</v>
      </c>
      <c r="AM6" s="265">
        <v>2.7E-2</v>
      </c>
      <c r="AN6" s="13">
        <v>121.5</v>
      </c>
      <c r="AO6" s="308"/>
      <c r="AP6" s="308"/>
      <c r="AQ6" s="308"/>
      <c r="AR6" s="308"/>
      <c r="AS6" s="12">
        <f>Table1[[#This Row],[Object_A_._head_time]]+Table1[[#This Row],[Object_B_._head_time]]</f>
        <v>40.200000000000003</v>
      </c>
      <c r="AT6" s="282"/>
      <c r="AU6" s="282"/>
      <c r="AV6" s="283"/>
      <c r="AW6" s="282"/>
      <c r="AX6" s="308">
        <f>(Table1[[#This Row],[Object_A_._head_time]]/(Table1[[#This Row],[Object_A_._head_time]]+Table1[[#This Row],[Object_B_._head_time]]))</f>
        <v>0.45522388059701491</v>
      </c>
      <c r="AY6" s="8" t="s">
        <v>486</v>
      </c>
      <c r="AZ6" s="8" t="s">
        <v>476</v>
      </c>
      <c r="BA6" s="12" t="s">
        <v>473</v>
      </c>
      <c r="BB6" s="12">
        <v>94</v>
      </c>
      <c r="BC6" s="13">
        <v>3.1333333333333333</v>
      </c>
      <c r="BD6" s="12" t="s">
        <v>474</v>
      </c>
      <c r="BE6" s="284">
        <v>7</v>
      </c>
      <c r="BF6" s="12" t="s">
        <v>458</v>
      </c>
      <c r="BG6" s="279"/>
      <c r="BH6" s="279"/>
      <c r="BI6" s="279"/>
      <c r="BJ6" s="279"/>
      <c r="BK6" s="279"/>
      <c r="BL6" s="279"/>
      <c r="BM6" s="279"/>
      <c r="BN6" s="279"/>
      <c r="BO6" s="279"/>
      <c r="BP6" s="279"/>
      <c r="BQ6" s="279"/>
      <c r="BR6" s="279"/>
      <c r="BS6" s="279"/>
      <c r="BT6" s="279"/>
      <c r="BU6" s="279"/>
      <c r="BV6" s="279"/>
      <c r="BW6" s="279"/>
      <c r="BX6" s="279"/>
      <c r="BY6" s="279"/>
      <c r="BZ6" s="279"/>
      <c r="CA6" s="279"/>
      <c r="CB6" s="279"/>
      <c r="CC6" s="279"/>
      <c r="CD6" s="279"/>
      <c r="CE6" s="279"/>
      <c r="CF6" s="279"/>
      <c r="CG6" s="279"/>
      <c r="CH6" s="279"/>
      <c r="CI6" s="279"/>
      <c r="CJ6" s="279"/>
      <c r="CK6" s="279"/>
      <c r="CL6" s="279"/>
      <c r="CM6" s="279"/>
      <c r="CN6" s="279"/>
      <c r="CO6" s="279"/>
      <c r="CP6" s="279"/>
      <c r="CQ6" s="279"/>
      <c r="CR6" s="279"/>
      <c r="CS6" s="279"/>
      <c r="CT6" s="279"/>
      <c r="CU6" s="279"/>
      <c r="CV6" s="279"/>
      <c r="CW6" s="279"/>
      <c r="CX6" s="279"/>
      <c r="CY6" s="279"/>
      <c r="CZ6" s="279"/>
      <c r="DA6" s="279"/>
      <c r="DB6" s="279"/>
      <c r="DC6" s="279"/>
      <c r="DD6" s="279"/>
      <c r="DE6" s="279"/>
      <c r="DF6" s="279"/>
      <c r="DG6" s="279"/>
      <c r="DH6" s="279"/>
      <c r="DI6" s="279"/>
      <c r="DJ6" s="279"/>
      <c r="DK6" s="279"/>
      <c r="DL6" s="279"/>
      <c r="DM6" s="279"/>
      <c r="DN6" s="279"/>
      <c r="DO6" s="279"/>
      <c r="DP6" s="279"/>
      <c r="DQ6" s="279"/>
      <c r="DR6" s="279"/>
      <c r="DS6" s="279"/>
      <c r="DT6" s="279"/>
      <c r="DU6" s="279"/>
      <c r="DV6" s="279"/>
      <c r="DW6" s="279"/>
      <c r="DX6" s="279"/>
      <c r="DY6" s="279"/>
      <c r="DZ6" s="279"/>
      <c r="EA6" s="279"/>
      <c r="EB6" s="285"/>
    </row>
    <row r="7" spans="1:132" s="286" customFormat="1" ht="12" customHeight="1" x14ac:dyDescent="0.15">
      <c r="A7" s="264">
        <v>52</v>
      </c>
      <c r="B7" s="281" t="s">
        <v>58</v>
      </c>
      <c r="C7" s="264" t="s">
        <v>211</v>
      </c>
      <c r="D7" s="264" t="s">
        <v>46</v>
      </c>
      <c r="E7" s="264" t="s">
        <v>151</v>
      </c>
      <c r="F7" s="264" t="s">
        <v>217</v>
      </c>
      <c r="G7" s="264" t="s">
        <v>219</v>
      </c>
      <c r="H7" s="13">
        <v>360</v>
      </c>
      <c r="I7" s="265">
        <v>11.999000000000001</v>
      </c>
      <c r="J7" s="265">
        <v>3.3000000000000002E-2</v>
      </c>
      <c r="K7" s="265">
        <v>0.28899999999999998</v>
      </c>
      <c r="L7" s="13">
        <v>55.8</v>
      </c>
      <c r="M7" s="12">
        <v>20</v>
      </c>
      <c r="N7" s="13">
        <v>16.399999999999999</v>
      </c>
      <c r="O7" s="265">
        <v>1.4319999999999999</v>
      </c>
      <c r="P7" s="265">
        <v>8.6999999999999994E-2</v>
      </c>
      <c r="Q7" s="265">
        <v>0.22600000000000001</v>
      </c>
      <c r="R7" s="13">
        <v>2.4</v>
      </c>
      <c r="S7" s="12">
        <v>1436</v>
      </c>
      <c r="T7" s="13">
        <v>0</v>
      </c>
      <c r="U7" s="13">
        <v>3.7</v>
      </c>
      <c r="V7" s="12">
        <v>29</v>
      </c>
      <c r="W7" s="13">
        <v>51.2</v>
      </c>
      <c r="X7" s="265">
        <v>2.052</v>
      </c>
      <c r="Y7" s="265">
        <v>0.04</v>
      </c>
      <c r="Z7" s="265">
        <v>0.17799999999999999</v>
      </c>
      <c r="AA7" s="13">
        <v>10.7</v>
      </c>
      <c r="AB7" s="12">
        <v>3760</v>
      </c>
      <c r="AC7" s="13">
        <v>1.3</v>
      </c>
      <c r="AD7" s="13">
        <v>8.9</v>
      </c>
      <c r="AE7" s="12">
        <v>21</v>
      </c>
      <c r="AF7" s="13">
        <v>34.299999999999997</v>
      </c>
      <c r="AG7" s="265">
        <v>2.528</v>
      </c>
      <c r="AH7" s="265">
        <v>7.3999999999999996E-2</v>
      </c>
      <c r="AI7" s="13">
        <v>0</v>
      </c>
      <c r="AJ7" s="12">
        <v>21</v>
      </c>
      <c r="AK7" s="13">
        <v>325.7</v>
      </c>
      <c r="AL7" s="265">
        <v>9.4719999999999995</v>
      </c>
      <c r="AM7" s="265">
        <v>2.9000000000000001E-2</v>
      </c>
      <c r="AN7" s="13">
        <v>55.8</v>
      </c>
      <c r="AO7" s="308"/>
      <c r="AP7" s="308"/>
      <c r="AQ7" s="308"/>
      <c r="AR7" s="308"/>
      <c r="AS7" s="12">
        <f>Table1[[#This Row],[Object_A_._head_time]]+Table1[[#This Row],[Object_B_._head_time]]</f>
        <v>67.599999999999994</v>
      </c>
      <c r="AT7" s="282"/>
      <c r="AU7" s="282"/>
      <c r="AV7" s="283"/>
      <c r="AW7" s="282"/>
      <c r="AX7" s="308">
        <f>(Table1[[#This Row],[Object_A_._head_time]]/(Table1[[#This Row],[Object_A_._head_time]]+Table1[[#This Row],[Object_B_._head_time]]))</f>
        <v>0.24260355029585798</v>
      </c>
      <c r="AY7" s="8" t="s">
        <v>487</v>
      </c>
      <c r="AZ7" s="8" t="s">
        <v>476</v>
      </c>
      <c r="BA7" s="12" t="s">
        <v>473</v>
      </c>
      <c r="BB7" s="12">
        <v>94</v>
      </c>
      <c r="BC7" s="13">
        <v>3.1333333333333333</v>
      </c>
      <c r="BD7" s="12" t="s">
        <v>477</v>
      </c>
      <c r="BE7" s="284">
        <v>8</v>
      </c>
      <c r="BF7" s="12"/>
      <c r="BG7" s="279"/>
      <c r="BH7" s="279"/>
      <c r="BI7" s="279"/>
      <c r="BJ7" s="279"/>
      <c r="BK7" s="279"/>
      <c r="BL7" s="279"/>
      <c r="BM7" s="279"/>
      <c r="BN7" s="279"/>
      <c r="BO7" s="279"/>
      <c r="BP7" s="279"/>
      <c r="BQ7" s="279"/>
      <c r="BR7" s="279"/>
      <c r="BS7" s="279"/>
      <c r="BT7" s="279"/>
      <c r="BU7" s="279"/>
      <c r="BV7" s="279"/>
      <c r="BW7" s="279"/>
      <c r="BX7" s="279"/>
      <c r="BY7" s="279"/>
      <c r="BZ7" s="279"/>
      <c r="CA7" s="279"/>
      <c r="CB7" s="279"/>
      <c r="CC7" s="279"/>
      <c r="CD7" s="279"/>
      <c r="CE7" s="279"/>
      <c r="CF7" s="279"/>
      <c r="CG7" s="279"/>
      <c r="CH7" s="279"/>
      <c r="CI7" s="279"/>
      <c r="CJ7" s="279"/>
      <c r="CK7" s="279"/>
      <c r="CL7" s="279"/>
      <c r="CM7" s="279"/>
      <c r="CN7" s="279"/>
      <c r="CO7" s="279"/>
      <c r="CP7" s="279"/>
      <c r="CQ7" s="279"/>
      <c r="CR7" s="279"/>
      <c r="CS7" s="279"/>
      <c r="CT7" s="279"/>
      <c r="CU7" s="279"/>
      <c r="CV7" s="279"/>
      <c r="CW7" s="279"/>
      <c r="CX7" s="279"/>
      <c r="CY7" s="279"/>
      <c r="CZ7" s="279"/>
      <c r="DA7" s="279"/>
      <c r="DB7" s="279"/>
      <c r="DC7" s="279"/>
      <c r="DD7" s="279"/>
      <c r="DE7" s="279"/>
      <c r="DF7" s="279"/>
      <c r="DG7" s="279"/>
      <c r="DH7" s="279"/>
      <c r="DI7" s="279"/>
      <c r="DJ7" s="279"/>
      <c r="DK7" s="279"/>
      <c r="DL7" s="279"/>
      <c r="DM7" s="279"/>
      <c r="DN7" s="279"/>
      <c r="DO7" s="279"/>
      <c r="DP7" s="279"/>
      <c r="DQ7" s="279"/>
      <c r="DR7" s="279"/>
      <c r="DS7" s="279"/>
      <c r="DT7" s="279"/>
      <c r="DU7" s="279"/>
      <c r="DV7" s="279"/>
      <c r="DW7" s="279"/>
      <c r="DX7" s="279"/>
      <c r="DY7" s="279"/>
      <c r="DZ7" s="279"/>
      <c r="EA7" s="279"/>
      <c r="EB7" s="285"/>
    </row>
    <row r="8" spans="1:132" s="286" customFormat="1" ht="12" customHeight="1" x14ac:dyDescent="0.15">
      <c r="A8" s="264">
        <v>53</v>
      </c>
      <c r="B8" s="281" t="s">
        <v>60</v>
      </c>
      <c r="C8" s="264" t="s">
        <v>211</v>
      </c>
      <c r="D8" s="264" t="s">
        <v>49</v>
      </c>
      <c r="E8" s="264" t="s">
        <v>151</v>
      </c>
      <c r="F8" s="264" t="s">
        <v>217</v>
      </c>
      <c r="G8" s="264" t="s">
        <v>220</v>
      </c>
      <c r="H8" s="13">
        <v>360</v>
      </c>
      <c r="I8" s="265">
        <v>6.9349999999999996</v>
      </c>
      <c r="J8" s="265">
        <v>1.9E-2</v>
      </c>
      <c r="K8" s="265">
        <v>0.23400000000000001</v>
      </c>
      <c r="L8" s="13">
        <v>86.5</v>
      </c>
      <c r="M8" s="12">
        <v>16</v>
      </c>
      <c r="N8" s="13">
        <v>24.4</v>
      </c>
      <c r="O8" s="265">
        <v>1.002</v>
      </c>
      <c r="P8" s="265">
        <v>4.1000000000000002E-2</v>
      </c>
      <c r="Q8" s="265">
        <v>0.23400000000000001</v>
      </c>
      <c r="R8" s="13">
        <v>9</v>
      </c>
      <c r="S8" s="12">
        <v>2011</v>
      </c>
      <c r="T8" s="13">
        <v>0</v>
      </c>
      <c r="U8" s="13">
        <v>5.4</v>
      </c>
      <c r="V8" s="12">
        <v>23</v>
      </c>
      <c r="W8" s="13">
        <v>43.4</v>
      </c>
      <c r="X8" s="265">
        <v>0.747</v>
      </c>
      <c r="Y8" s="265">
        <v>1.7000000000000001E-2</v>
      </c>
      <c r="Z8" s="265">
        <v>0.187</v>
      </c>
      <c r="AA8" s="13">
        <v>13.2</v>
      </c>
      <c r="AB8" s="12">
        <v>2051</v>
      </c>
      <c r="AC8" s="13">
        <v>10.8</v>
      </c>
      <c r="AD8" s="13">
        <v>18</v>
      </c>
      <c r="AE8" s="12">
        <v>10</v>
      </c>
      <c r="AF8" s="13">
        <v>48.2</v>
      </c>
      <c r="AG8" s="265">
        <v>1.5880000000000001</v>
      </c>
      <c r="AH8" s="265">
        <v>3.3000000000000002E-2</v>
      </c>
      <c r="AI8" s="13">
        <v>10.4</v>
      </c>
      <c r="AJ8" s="12">
        <v>11</v>
      </c>
      <c r="AK8" s="13">
        <v>311.8</v>
      </c>
      <c r="AL8" s="265">
        <v>5.3470000000000004</v>
      </c>
      <c r="AM8" s="265">
        <v>1.7000000000000001E-2</v>
      </c>
      <c r="AN8" s="13">
        <v>76.099999999999994</v>
      </c>
      <c r="AO8" s="308"/>
      <c r="AP8" s="308"/>
      <c r="AQ8" s="308"/>
      <c r="AR8" s="308"/>
      <c r="AS8" s="12">
        <f>Table1[[#This Row],[Object_A_._head_time]]+Table1[[#This Row],[Object_B_._head_time]]</f>
        <v>67.8</v>
      </c>
      <c r="AT8" s="282"/>
      <c r="AU8" s="282"/>
      <c r="AV8" s="283"/>
      <c r="AW8" s="282"/>
      <c r="AX8" s="308">
        <f>(Table1[[#This Row],[Object_A_._head_time]]/(Table1[[#This Row],[Object_A_._head_time]]+Table1[[#This Row],[Object_B_._head_time]]))</f>
        <v>0.35988200589970498</v>
      </c>
      <c r="AY8" s="8" t="s">
        <v>487</v>
      </c>
      <c r="AZ8" s="8" t="s">
        <v>476</v>
      </c>
      <c r="BA8" s="12" t="s">
        <v>475</v>
      </c>
      <c r="BB8" s="12">
        <v>94</v>
      </c>
      <c r="BC8" s="13">
        <v>3.1333333333333333</v>
      </c>
      <c r="BD8" s="12" t="s">
        <v>474</v>
      </c>
      <c r="BE8" s="284">
        <v>5</v>
      </c>
      <c r="BF8" s="12"/>
      <c r="BG8" s="279"/>
      <c r="BH8" s="279"/>
      <c r="BI8" s="279"/>
      <c r="BJ8" s="279"/>
      <c r="BK8" s="279"/>
      <c r="BL8" s="279"/>
      <c r="BM8" s="279"/>
      <c r="BN8" s="279"/>
      <c r="BO8" s="279"/>
      <c r="BP8" s="279"/>
      <c r="BQ8" s="279"/>
      <c r="BR8" s="279"/>
      <c r="BS8" s="279"/>
      <c r="BT8" s="279"/>
      <c r="BU8" s="279"/>
      <c r="BV8" s="279"/>
      <c r="BW8" s="279"/>
      <c r="BX8" s="279"/>
      <c r="BY8" s="279"/>
      <c r="BZ8" s="279"/>
      <c r="CA8" s="279"/>
      <c r="CB8" s="279"/>
      <c r="CC8" s="279"/>
      <c r="CD8" s="279"/>
      <c r="CE8" s="279"/>
      <c r="CF8" s="279"/>
      <c r="CG8" s="279"/>
      <c r="CH8" s="279"/>
      <c r="CI8" s="279"/>
      <c r="CJ8" s="279"/>
      <c r="CK8" s="279"/>
      <c r="CL8" s="279"/>
      <c r="CM8" s="279"/>
      <c r="CN8" s="279"/>
      <c r="CO8" s="279"/>
      <c r="CP8" s="279"/>
      <c r="CQ8" s="279"/>
      <c r="CR8" s="279"/>
      <c r="CS8" s="279"/>
      <c r="CT8" s="279"/>
      <c r="CU8" s="279"/>
      <c r="CV8" s="279"/>
      <c r="CW8" s="279"/>
      <c r="CX8" s="279"/>
      <c r="CY8" s="279"/>
      <c r="CZ8" s="279"/>
      <c r="DA8" s="279"/>
      <c r="DB8" s="279"/>
      <c r="DC8" s="279"/>
      <c r="DD8" s="279"/>
      <c r="DE8" s="279"/>
      <c r="DF8" s="279"/>
      <c r="DG8" s="279"/>
      <c r="DH8" s="279"/>
      <c r="DI8" s="279"/>
      <c r="DJ8" s="279"/>
      <c r="DK8" s="279"/>
      <c r="DL8" s="279"/>
      <c r="DM8" s="279"/>
      <c r="DN8" s="279"/>
      <c r="DO8" s="279"/>
      <c r="DP8" s="279"/>
      <c r="DQ8" s="279"/>
      <c r="DR8" s="279"/>
      <c r="DS8" s="279"/>
      <c r="DT8" s="279"/>
      <c r="DU8" s="279"/>
      <c r="DV8" s="279"/>
      <c r="DW8" s="279"/>
      <c r="DX8" s="279"/>
      <c r="DY8" s="279"/>
      <c r="DZ8" s="279"/>
      <c r="EA8" s="279"/>
      <c r="EB8" s="285"/>
    </row>
    <row r="9" spans="1:132" s="286" customFormat="1" ht="12" customHeight="1" x14ac:dyDescent="0.15">
      <c r="A9" s="264">
        <v>54</v>
      </c>
      <c r="B9" s="281" t="s">
        <v>62</v>
      </c>
      <c r="C9" s="264" t="s">
        <v>211</v>
      </c>
      <c r="D9" s="264" t="s">
        <v>53</v>
      </c>
      <c r="E9" s="264" t="s">
        <v>151</v>
      </c>
      <c r="F9" s="264" t="s">
        <v>217</v>
      </c>
      <c r="G9" s="264" t="s">
        <v>221</v>
      </c>
      <c r="H9" s="13">
        <v>360</v>
      </c>
      <c r="I9" s="265">
        <v>4.9889999999999999</v>
      </c>
      <c r="J9" s="265">
        <v>1.4E-2</v>
      </c>
      <c r="K9" s="265">
        <v>0.185</v>
      </c>
      <c r="L9" s="13">
        <v>168.5</v>
      </c>
      <c r="M9" s="12">
        <v>5</v>
      </c>
      <c r="N9" s="13">
        <v>4.9000000000000004</v>
      </c>
      <c r="O9" s="265">
        <v>0.36</v>
      </c>
      <c r="P9" s="265">
        <v>7.2999999999999995E-2</v>
      </c>
      <c r="Q9" s="265">
        <v>0.154</v>
      </c>
      <c r="R9" s="13">
        <v>1.1000000000000001</v>
      </c>
      <c r="S9" s="12">
        <v>360</v>
      </c>
      <c r="T9" s="13">
        <v>0</v>
      </c>
      <c r="U9" s="13">
        <v>2.6</v>
      </c>
      <c r="V9" s="12">
        <v>16</v>
      </c>
      <c r="W9" s="13">
        <v>15.8</v>
      </c>
      <c r="X9" s="265">
        <v>0.68700000000000006</v>
      </c>
      <c r="Y9" s="265">
        <v>4.3999999999999997E-2</v>
      </c>
      <c r="Z9" s="265">
        <v>0.108</v>
      </c>
      <c r="AA9" s="13">
        <v>3.2</v>
      </c>
      <c r="AB9" s="12">
        <v>1243</v>
      </c>
      <c r="AC9" s="13">
        <v>0</v>
      </c>
      <c r="AD9" s="13">
        <v>3.4</v>
      </c>
      <c r="AE9" s="12">
        <v>7</v>
      </c>
      <c r="AF9" s="13">
        <v>4.8</v>
      </c>
      <c r="AG9" s="265">
        <v>0.20200000000000001</v>
      </c>
      <c r="AH9" s="265">
        <v>4.2000000000000003E-2</v>
      </c>
      <c r="AI9" s="13">
        <v>0</v>
      </c>
      <c r="AJ9" s="12">
        <v>8</v>
      </c>
      <c r="AK9" s="13">
        <v>355.2</v>
      </c>
      <c r="AL9" s="265">
        <v>4.7880000000000003</v>
      </c>
      <c r="AM9" s="265">
        <v>1.2999999999999999E-2</v>
      </c>
      <c r="AN9" s="13">
        <v>168.5</v>
      </c>
      <c r="AO9" s="308"/>
      <c r="AP9" s="308"/>
      <c r="AQ9" s="308"/>
      <c r="AR9" s="308"/>
      <c r="AS9" s="12">
        <f>Table1[[#This Row],[Object_A_._head_time]]+Table1[[#This Row],[Object_B_._head_time]]</f>
        <v>20.700000000000003</v>
      </c>
      <c r="AT9" s="282"/>
      <c r="AU9" s="282"/>
      <c r="AV9" s="283"/>
      <c r="AW9" s="282"/>
      <c r="AX9" s="308">
        <f>(Table1[[#This Row],[Object_A_._head_time]]/(Table1[[#This Row],[Object_A_._head_time]]+Table1[[#This Row],[Object_B_._head_time]]))</f>
        <v>0.23671497584541062</v>
      </c>
      <c r="AY9" s="8" t="s">
        <v>487</v>
      </c>
      <c r="AZ9" s="8" t="s">
        <v>476</v>
      </c>
      <c r="BA9" s="12" t="s">
        <v>473</v>
      </c>
      <c r="BB9" s="12">
        <v>94</v>
      </c>
      <c r="BC9" s="13">
        <v>3.1333333333333333</v>
      </c>
      <c r="BD9" s="12" t="s">
        <v>477</v>
      </c>
      <c r="BE9" s="284">
        <v>8</v>
      </c>
      <c r="BF9" s="12" t="s">
        <v>459</v>
      </c>
      <c r="BG9" s="279"/>
      <c r="BH9" s="279"/>
      <c r="BI9" s="279"/>
      <c r="BJ9" s="279"/>
      <c r="BK9" s="279"/>
      <c r="BL9" s="279"/>
      <c r="BM9" s="279"/>
      <c r="BN9" s="279"/>
      <c r="BO9" s="279"/>
      <c r="BP9" s="279"/>
      <c r="BQ9" s="279"/>
      <c r="BR9" s="279"/>
      <c r="BS9" s="279"/>
      <c r="BT9" s="279"/>
      <c r="BU9" s="279"/>
      <c r="BV9" s="279"/>
      <c r="BW9" s="279"/>
      <c r="BX9" s="279"/>
      <c r="BY9" s="279"/>
      <c r="BZ9" s="279"/>
      <c r="CA9" s="279"/>
      <c r="CB9" s="279"/>
      <c r="CC9" s="279"/>
      <c r="CD9" s="279"/>
      <c r="CE9" s="279"/>
      <c r="CF9" s="279"/>
      <c r="CG9" s="279"/>
      <c r="CH9" s="279"/>
      <c r="CI9" s="279"/>
      <c r="CJ9" s="279"/>
      <c r="CK9" s="279"/>
      <c r="CL9" s="279"/>
      <c r="CM9" s="279"/>
      <c r="CN9" s="279"/>
      <c r="CO9" s="279"/>
      <c r="CP9" s="279"/>
      <c r="CQ9" s="279"/>
      <c r="CR9" s="279"/>
      <c r="CS9" s="279"/>
      <c r="CT9" s="279"/>
      <c r="CU9" s="279"/>
      <c r="CV9" s="279"/>
      <c r="CW9" s="279"/>
      <c r="CX9" s="279"/>
      <c r="CY9" s="279"/>
      <c r="CZ9" s="279"/>
      <c r="DA9" s="279"/>
      <c r="DB9" s="279"/>
      <c r="DC9" s="279"/>
      <c r="DD9" s="279"/>
      <c r="DE9" s="279"/>
      <c r="DF9" s="279"/>
      <c r="DG9" s="279"/>
      <c r="DH9" s="279"/>
      <c r="DI9" s="279"/>
      <c r="DJ9" s="279"/>
      <c r="DK9" s="279"/>
      <c r="DL9" s="279"/>
      <c r="DM9" s="279"/>
      <c r="DN9" s="279"/>
      <c r="DO9" s="279"/>
      <c r="DP9" s="279"/>
      <c r="DQ9" s="279"/>
      <c r="DR9" s="279"/>
      <c r="DS9" s="279"/>
      <c r="DT9" s="279"/>
      <c r="DU9" s="279"/>
      <c r="DV9" s="279"/>
      <c r="DW9" s="279"/>
      <c r="DX9" s="279"/>
      <c r="DY9" s="279"/>
      <c r="DZ9" s="279"/>
      <c r="EA9" s="279"/>
      <c r="EB9" s="285"/>
    </row>
    <row r="10" spans="1:132" s="286" customFormat="1" ht="12" customHeight="1" x14ac:dyDescent="0.15">
      <c r="A10" s="264">
        <v>55</v>
      </c>
      <c r="B10" s="281" t="s">
        <v>64</v>
      </c>
      <c r="C10" s="264" t="s">
        <v>211</v>
      </c>
      <c r="D10" s="264" t="s">
        <v>41</v>
      </c>
      <c r="E10" s="264" t="s">
        <v>151</v>
      </c>
      <c r="F10" s="264" t="s">
        <v>222</v>
      </c>
      <c r="G10" s="264" t="s">
        <v>223</v>
      </c>
      <c r="H10" s="13">
        <v>360</v>
      </c>
      <c r="I10" s="265">
        <v>13.98</v>
      </c>
      <c r="J10" s="265">
        <v>3.9E-2</v>
      </c>
      <c r="K10" s="265">
        <v>0.29499999999999998</v>
      </c>
      <c r="L10" s="13">
        <v>5.0999999999999996</v>
      </c>
      <c r="M10" s="12">
        <v>22</v>
      </c>
      <c r="N10" s="13">
        <v>30.9</v>
      </c>
      <c r="O10" s="265">
        <v>1.986</v>
      </c>
      <c r="P10" s="265">
        <v>6.4000000000000001E-2</v>
      </c>
      <c r="Q10" s="265">
        <v>0.29499999999999998</v>
      </c>
      <c r="R10" s="13">
        <v>6</v>
      </c>
      <c r="S10" s="12">
        <v>2380</v>
      </c>
      <c r="T10" s="13">
        <v>0</v>
      </c>
      <c r="U10" s="13">
        <v>4.0999999999999996</v>
      </c>
      <c r="V10" s="12">
        <v>27</v>
      </c>
      <c r="W10" s="13">
        <v>33.1</v>
      </c>
      <c r="X10" s="265">
        <v>1.58</v>
      </c>
      <c r="Y10" s="265">
        <v>4.8000000000000001E-2</v>
      </c>
      <c r="Z10" s="265">
        <v>0.2</v>
      </c>
      <c r="AA10" s="13">
        <v>12</v>
      </c>
      <c r="AB10" s="12">
        <v>2501</v>
      </c>
      <c r="AC10" s="13">
        <v>0</v>
      </c>
      <c r="AD10" s="13">
        <v>8.8000000000000007</v>
      </c>
      <c r="AE10" s="12">
        <v>17</v>
      </c>
      <c r="AF10" s="13">
        <v>18.899999999999999</v>
      </c>
      <c r="AG10" s="265">
        <v>2.125</v>
      </c>
      <c r="AH10" s="265">
        <v>0.113</v>
      </c>
      <c r="AI10" s="13">
        <v>0</v>
      </c>
      <c r="AJ10" s="12">
        <v>18</v>
      </c>
      <c r="AK10" s="13">
        <v>341.1</v>
      </c>
      <c r="AL10" s="265">
        <v>11.853999999999999</v>
      </c>
      <c r="AM10" s="265">
        <v>3.5000000000000003E-2</v>
      </c>
      <c r="AN10" s="13">
        <v>5.0999999999999996</v>
      </c>
      <c r="AO10" s="308"/>
      <c r="AP10" s="308"/>
      <c r="AQ10" s="308"/>
      <c r="AR10" s="308"/>
      <c r="AS10" s="12">
        <f>Table1[[#This Row],[Object_A_._head_time]]+Table1[[#This Row],[Object_B_._head_time]]</f>
        <v>64</v>
      </c>
      <c r="AT10" s="282"/>
      <c r="AU10" s="282"/>
      <c r="AV10" s="283"/>
      <c r="AW10" s="282"/>
      <c r="AX10" s="308">
        <f>(Table1[[#This Row],[Object_A_._head_time]]/(Table1[[#This Row],[Object_A_._head_time]]+Table1[[#This Row],[Object_B_._head_time]]))</f>
        <v>0.48281249999999998</v>
      </c>
      <c r="AY10" s="8" t="s">
        <v>487</v>
      </c>
      <c r="AZ10" s="8" t="s">
        <v>476</v>
      </c>
      <c r="BA10" s="12" t="s">
        <v>473</v>
      </c>
      <c r="BB10" s="12">
        <v>94</v>
      </c>
      <c r="BC10" s="13">
        <v>3.1333333333333333</v>
      </c>
      <c r="BD10" s="12" t="s">
        <v>474</v>
      </c>
      <c r="BE10" s="284">
        <v>7</v>
      </c>
      <c r="BF10" s="12" t="s">
        <v>460</v>
      </c>
      <c r="BG10" s="279"/>
      <c r="BH10" s="279"/>
      <c r="BI10" s="279"/>
      <c r="BJ10" s="279"/>
      <c r="BK10" s="279"/>
      <c r="BL10" s="279"/>
      <c r="BM10" s="279"/>
      <c r="BN10" s="279"/>
      <c r="BO10" s="279"/>
      <c r="BP10" s="279"/>
      <c r="BQ10" s="279"/>
      <c r="BR10" s="279"/>
      <c r="BS10" s="279"/>
      <c r="BT10" s="279"/>
      <c r="BU10" s="279"/>
      <c r="BV10" s="279"/>
      <c r="BW10" s="279"/>
      <c r="BX10" s="279"/>
      <c r="BY10" s="279"/>
      <c r="BZ10" s="279"/>
      <c r="CA10" s="279"/>
      <c r="CB10" s="279"/>
      <c r="CC10" s="279"/>
      <c r="CD10" s="279"/>
      <c r="CE10" s="279"/>
      <c r="CF10" s="279"/>
      <c r="CG10" s="279"/>
      <c r="CH10" s="279"/>
      <c r="CI10" s="279"/>
      <c r="CJ10" s="279"/>
      <c r="CK10" s="279"/>
      <c r="CL10" s="279"/>
      <c r="CM10" s="279"/>
      <c r="CN10" s="279"/>
      <c r="CO10" s="279"/>
      <c r="CP10" s="279"/>
      <c r="CQ10" s="279"/>
      <c r="CR10" s="279"/>
      <c r="CS10" s="279"/>
      <c r="CT10" s="279"/>
      <c r="CU10" s="279"/>
      <c r="CV10" s="279"/>
      <c r="CW10" s="279"/>
      <c r="CX10" s="279"/>
      <c r="CY10" s="279"/>
      <c r="CZ10" s="279"/>
      <c r="DA10" s="279"/>
      <c r="DB10" s="279"/>
      <c r="DC10" s="279"/>
      <c r="DD10" s="279"/>
      <c r="DE10" s="279"/>
      <c r="DF10" s="279"/>
      <c r="DG10" s="279"/>
      <c r="DH10" s="279"/>
      <c r="DI10" s="279"/>
      <c r="DJ10" s="279"/>
      <c r="DK10" s="279"/>
      <c r="DL10" s="279"/>
      <c r="DM10" s="279"/>
      <c r="DN10" s="279"/>
      <c r="DO10" s="279"/>
      <c r="DP10" s="279"/>
      <c r="DQ10" s="279"/>
      <c r="DR10" s="279"/>
      <c r="DS10" s="279"/>
      <c r="DT10" s="279"/>
      <c r="DU10" s="279"/>
      <c r="DV10" s="279"/>
      <c r="DW10" s="279"/>
      <c r="DX10" s="279"/>
      <c r="DY10" s="279"/>
      <c r="DZ10" s="279"/>
      <c r="EA10" s="279"/>
      <c r="EB10" s="285"/>
    </row>
    <row r="11" spans="1:132" s="286" customFormat="1" ht="12" customHeight="1" x14ac:dyDescent="0.15">
      <c r="A11" s="264">
        <v>57</v>
      </c>
      <c r="B11" s="281" t="s">
        <v>67</v>
      </c>
      <c r="C11" s="264" t="s">
        <v>211</v>
      </c>
      <c r="D11" s="264" t="s">
        <v>46</v>
      </c>
      <c r="E11" s="264" t="s">
        <v>151</v>
      </c>
      <c r="F11" s="264" t="s">
        <v>222</v>
      </c>
      <c r="G11" s="264" t="s">
        <v>224</v>
      </c>
      <c r="H11" s="13">
        <v>360</v>
      </c>
      <c r="I11" s="265">
        <v>20.044</v>
      </c>
      <c r="J11" s="265">
        <v>5.6000000000000001E-2</v>
      </c>
      <c r="K11" s="265">
        <v>0.25600000000000001</v>
      </c>
      <c r="L11" s="13">
        <v>3.6</v>
      </c>
      <c r="M11" s="12">
        <v>30</v>
      </c>
      <c r="N11" s="13">
        <v>31.1</v>
      </c>
      <c r="O11" s="265">
        <v>2.339</v>
      </c>
      <c r="P11" s="265">
        <v>7.4999999999999997E-2</v>
      </c>
      <c r="Q11" s="265">
        <v>0.219</v>
      </c>
      <c r="R11" s="13">
        <v>6</v>
      </c>
      <c r="S11" s="12">
        <v>4279</v>
      </c>
      <c r="T11" s="13">
        <v>1.2</v>
      </c>
      <c r="U11" s="13">
        <v>3.1</v>
      </c>
      <c r="V11" s="12">
        <v>33</v>
      </c>
      <c r="W11" s="13">
        <v>70.599999999999994</v>
      </c>
      <c r="X11" s="265">
        <v>2.2370000000000001</v>
      </c>
      <c r="Y11" s="265">
        <v>3.2000000000000001E-2</v>
      </c>
      <c r="Z11" s="265">
        <v>0.254</v>
      </c>
      <c r="AA11" s="13">
        <v>5.6</v>
      </c>
      <c r="AB11" s="12">
        <v>4873</v>
      </c>
      <c r="AC11" s="13">
        <v>0</v>
      </c>
      <c r="AD11" s="13">
        <v>2.9</v>
      </c>
      <c r="AE11" s="12">
        <v>27</v>
      </c>
      <c r="AF11" s="13">
        <v>32.799999999999997</v>
      </c>
      <c r="AG11" s="265">
        <v>4.5830000000000002</v>
      </c>
      <c r="AH11" s="265">
        <v>0.14000000000000001</v>
      </c>
      <c r="AI11" s="13">
        <v>0</v>
      </c>
      <c r="AJ11" s="12">
        <v>28</v>
      </c>
      <c r="AK11" s="13">
        <v>327.2</v>
      </c>
      <c r="AL11" s="265">
        <v>15.461</v>
      </c>
      <c r="AM11" s="265">
        <v>4.7E-2</v>
      </c>
      <c r="AN11" s="13">
        <v>3.6</v>
      </c>
      <c r="AO11" s="308"/>
      <c r="AP11" s="308"/>
      <c r="AQ11" s="308"/>
      <c r="AR11" s="308"/>
      <c r="AS11" s="12">
        <f>Table1[[#This Row],[Object_A_._head_time]]+Table1[[#This Row],[Object_B_._head_time]]</f>
        <v>101.69999999999999</v>
      </c>
      <c r="AT11" s="282"/>
      <c r="AU11" s="282"/>
      <c r="AV11" s="283"/>
      <c r="AW11" s="282"/>
      <c r="AX11" s="308">
        <f>(Table1[[#This Row],[Object_A_._head_time]]/(Table1[[#This Row],[Object_A_._head_time]]+Table1[[#This Row],[Object_B_._head_time]]))</f>
        <v>0.30580137659783685</v>
      </c>
      <c r="AY11" s="8" t="s">
        <v>487</v>
      </c>
      <c r="AZ11" s="8" t="s">
        <v>476</v>
      </c>
      <c r="BA11" s="12" t="s">
        <v>475</v>
      </c>
      <c r="BB11" s="12">
        <v>94</v>
      </c>
      <c r="BC11" s="13">
        <v>3.1333333333333333</v>
      </c>
      <c r="BD11" s="12" t="s">
        <v>477</v>
      </c>
      <c r="BE11" s="284">
        <v>6</v>
      </c>
      <c r="BF11" s="12" t="s">
        <v>461</v>
      </c>
      <c r="BG11" s="279"/>
      <c r="BH11" s="279"/>
      <c r="BI11" s="279"/>
      <c r="BJ11" s="279"/>
      <c r="BK11" s="279"/>
      <c r="BL11" s="279"/>
      <c r="BM11" s="279"/>
      <c r="BN11" s="279"/>
      <c r="BO11" s="279"/>
      <c r="BP11" s="279"/>
      <c r="BQ11" s="279"/>
      <c r="BR11" s="279"/>
      <c r="BS11" s="279"/>
      <c r="BT11" s="279"/>
      <c r="BU11" s="279"/>
      <c r="BV11" s="279"/>
      <c r="BW11" s="279"/>
      <c r="BX11" s="279"/>
      <c r="BY11" s="279"/>
      <c r="BZ11" s="279"/>
      <c r="CA11" s="279"/>
      <c r="CB11" s="279"/>
      <c r="CC11" s="279"/>
      <c r="CD11" s="279"/>
      <c r="CE11" s="279"/>
      <c r="CF11" s="279"/>
      <c r="CG11" s="279"/>
      <c r="CH11" s="279"/>
      <c r="CI11" s="279"/>
      <c r="CJ11" s="279"/>
      <c r="CK11" s="279"/>
      <c r="CL11" s="279"/>
      <c r="CM11" s="279"/>
      <c r="CN11" s="279"/>
      <c r="CO11" s="279"/>
      <c r="CP11" s="279"/>
      <c r="CQ11" s="279"/>
      <c r="CR11" s="279"/>
      <c r="CS11" s="279"/>
      <c r="CT11" s="279"/>
      <c r="CU11" s="279"/>
      <c r="CV11" s="279"/>
      <c r="CW11" s="279"/>
      <c r="CX11" s="279"/>
      <c r="CY11" s="279"/>
      <c r="CZ11" s="279"/>
      <c r="DA11" s="279"/>
      <c r="DB11" s="279"/>
      <c r="DC11" s="279"/>
      <c r="DD11" s="279"/>
      <c r="DE11" s="279"/>
      <c r="DF11" s="279"/>
      <c r="DG11" s="279"/>
      <c r="DH11" s="279"/>
      <c r="DI11" s="279"/>
      <c r="DJ11" s="279"/>
      <c r="DK11" s="279"/>
      <c r="DL11" s="279"/>
      <c r="DM11" s="279"/>
      <c r="DN11" s="279"/>
      <c r="DO11" s="279"/>
      <c r="DP11" s="279"/>
      <c r="DQ11" s="279"/>
      <c r="DR11" s="279"/>
      <c r="DS11" s="279"/>
      <c r="DT11" s="279"/>
      <c r="DU11" s="279"/>
      <c r="DV11" s="279"/>
      <c r="DW11" s="279"/>
      <c r="DX11" s="279"/>
      <c r="DY11" s="279"/>
      <c r="DZ11" s="279"/>
      <c r="EA11" s="279"/>
      <c r="EB11" s="285"/>
    </row>
    <row r="12" spans="1:132" s="286" customFormat="1" ht="12" customHeight="1" x14ac:dyDescent="0.15">
      <c r="A12" s="264">
        <v>56</v>
      </c>
      <c r="B12" s="281" t="s">
        <v>69</v>
      </c>
      <c r="C12" s="264" t="s">
        <v>211</v>
      </c>
      <c r="D12" s="264" t="s">
        <v>49</v>
      </c>
      <c r="E12" s="264" t="s">
        <v>151</v>
      </c>
      <c r="F12" s="264" t="s">
        <v>222</v>
      </c>
      <c r="G12" s="264" t="s">
        <v>225</v>
      </c>
      <c r="H12" s="13">
        <v>360</v>
      </c>
      <c r="I12" s="265">
        <v>9.4239999999999995</v>
      </c>
      <c r="J12" s="265">
        <v>2.5999999999999999E-2</v>
      </c>
      <c r="K12" s="265">
        <v>0.27100000000000002</v>
      </c>
      <c r="L12" s="13">
        <v>84.8</v>
      </c>
      <c r="M12" s="12">
        <v>11</v>
      </c>
      <c r="N12" s="13">
        <v>15.5</v>
      </c>
      <c r="O12" s="265">
        <v>0.48099999999999998</v>
      </c>
      <c r="P12" s="265">
        <v>3.1E-2</v>
      </c>
      <c r="Q12" s="265">
        <v>0.16400000000000001</v>
      </c>
      <c r="R12" s="13">
        <v>11.1</v>
      </c>
      <c r="S12" s="12">
        <v>791</v>
      </c>
      <c r="T12" s="13">
        <v>0</v>
      </c>
      <c r="U12" s="13">
        <v>11.3</v>
      </c>
      <c r="V12" s="12">
        <v>11</v>
      </c>
      <c r="W12" s="13">
        <v>9.5</v>
      </c>
      <c r="X12" s="265">
        <v>0.26700000000000002</v>
      </c>
      <c r="Y12" s="265">
        <v>2.8000000000000001E-2</v>
      </c>
      <c r="Z12" s="265">
        <v>0.16800000000000001</v>
      </c>
      <c r="AA12" s="13">
        <v>5.9</v>
      </c>
      <c r="AB12" s="12">
        <v>683</v>
      </c>
      <c r="AC12" s="13">
        <v>0</v>
      </c>
      <c r="AD12" s="13">
        <v>7.6</v>
      </c>
      <c r="AE12" s="12">
        <v>8</v>
      </c>
      <c r="AF12" s="13">
        <v>10</v>
      </c>
      <c r="AG12" s="265">
        <v>0.92600000000000005</v>
      </c>
      <c r="AH12" s="265">
        <v>9.2999999999999999E-2</v>
      </c>
      <c r="AI12" s="13">
        <v>0</v>
      </c>
      <c r="AJ12" s="12">
        <v>9</v>
      </c>
      <c r="AK12" s="13">
        <v>350</v>
      </c>
      <c r="AL12" s="265">
        <v>8.4979999999999993</v>
      </c>
      <c r="AM12" s="265">
        <v>2.4E-2</v>
      </c>
      <c r="AN12" s="13">
        <v>84.8</v>
      </c>
      <c r="AO12" s="308"/>
      <c r="AP12" s="308"/>
      <c r="AQ12" s="308"/>
      <c r="AR12" s="308"/>
      <c r="AS12" s="12">
        <f>Table1[[#This Row],[Object_A_._head_time]]+Table1[[#This Row],[Object_B_._head_time]]</f>
        <v>25</v>
      </c>
      <c r="AT12" s="282"/>
      <c r="AU12" s="282"/>
      <c r="AV12" s="283"/>
      <c r="AW12" s="282"/>
      <c r="AX12" s="308">
        <f>(Table1[[#This Row],[Object_A_._head_time]]/(Table1[[#This Row],[Object_A_._head_time]]+Table1[[#This Row],[Object_B_._head_time]]))</f>
        <v>0.62</v>
      </c>
      <c r="AY12" s="8" t="s">
        <v>487</v>
      </c>
      <c r="AZ12" s="8" t="s">
        <v>476</v>
      </c>
      <c r="BA12" s="12" t="s">
        <v>475</v>
      </c>
      <c r="BB12" s="12">
        <v>94</v>
      </c>
      <c r="BC12" s="13">
        <v>3.1333333333333333</v>
      </c>
      <c r="BD12" s="12" t="s">
        <v>474</v>
      </c>
      <c r="BE12" s="284">
        <v>5</v>
      </c>
      <c r="BF12" s="12" t="s">
        <v>462</v>
      </c>
      <c r="BG12" s="279"/>
      <c r="BH12" s="279"/>
      <c r="BI12" s="279"/>
      <c r="BJ12" s="279"/>
      <c r="BK12" s="279"/>
      <c r="BL12" s="279"/>
      <c r="BM12" s="279"/>
      <c r="BN12" s="279"/>
      <c r="BO12" s="279"/>
      <c r="BP12" s="279"/>
      <c r="BQ12" s="279"/>
      <c r="BR12" s="279"/>
      <c r="BS12" s="279"/>
      <c r="BT12" s="279"/>
      <c r="BU12" s="279"/>
      <c r="BV12" s="279"/>
      <c r="BW12" s="279"/>
      <c r="BX12" s="279"/>
      <c r="BY12" s="279"/>
      <c r="BZ12" s="279"/>
      <c r="CA12" s="279"/>
      <c r="CB12" s="279"/>
      <c r="CC12" s="279"/>
      <c r="CD12" s="279"/>
      <c r="CE12" s="279"/>
      <c r="CF12" s="279"/>
      <c r="CG12" s="279"/>
      <c r="CH12" s="279"/>
      <c r="CI12" s="279"/>
      <c r="CJ12" s="279"/>
      <c r="CK12" s="279"/>
      <c r="CL12" s="279"/>
      <c r="CM12" s="279"/>
      <c r="CN12" s="279"/>
      <c r="CO12" s="279"/>
      <c r="CP12" s="279"/>
      <c r="CQ12" s="279"/>
      <c r="CR12" s="279"/>
      <c r="CS12" s="279"/>
      <c r="CT12" s="279"/>
      <c r="CU12" s="279"/>
      <c r="CV12" s="279"/>
      <c r="CW12" s="279"/>
      <c r="CX12" s="279"/>
      <c r="CY12" s="279"/>
      <c r="CZ12" s="279"/>
      <c r="DA12" s="279"/>
      <c r="DB12" s="279"/>
      <c r="DC12" s="279"/>
      <c r="DD12" s="279"/>
      <c r="DE12" s="279"/>
      <c r="DF12" s="279"/>
      <c r="DG12" s="279"/>
      <c r="DH12" s="279"/>
      <c r="DI12" s="279"/>
      <c r="DJ12" s="279"/>
      <c r="DK12" s="279"/>
      <c r="DL12" s="279"/>
      <c r="DM12" s="279"/>
      <c r="DN12" s="279"/>
      <c r="DO12" s="279"/>
      <c r="DP12" s="279"/>
      <c r="DQ12" s="279"/>
      <c r="DR12" s="279"/>
      <c r="DS12" s="279"/>
      <c r="DT12" s="279"/>
      <c r="DU12" s="279"/>
      <c r="DV12" s="279"/>
      <c r="DW12" s="279"/>
      <c r="DX12" s="279"/>
      <c r="DY12" s="279"/>
      <c r="DZ12" s="279"/>
      <c r="EA12" s="279"/>
      <c r="EB12" s="285"/>
    </row>
    <row r="13" spans="1:132" s="286" customFormat="1" ht="12" customHeight="1" x14ac:dyDescent="0.15">
      <c r="A13" s="264">
        <v>58</v>
      </c>
      <c r="B13" s="281" t="s">
        <v>71</v>
      </c>
      <c r="C13" s="264" t="s">
        <v>211</v>
      </c>
      <c r="D13" s="264" t="s">
        <v>53</v>
      </c>
      <c r="E13" s="264" t="s">
        <v>151</v>
      </c>
      <c r="F13" s="264" t="s">
        <v>222</v>
      </c>
      <c r="G13" s="264" t="s">
        <v>226</v>
      </c>
      <c r="H13" s="13">
        <v>360</v>
      </c>
      <c r="I13" s="265">
        <v>1.089</v>
      </c>
      <c r="J13" s="265">
        <v>3.0000000000000001E-3</v>
      </c>
      <c r="K13" s="265">
        <v>6.4000000000000001E-2</v>
      </c>
      <c r="L13" s="13">
        <v>221.9</v>
      </c>
      <c r="M13" s="12">
        <v>0</v>
      </c>
      <c r="N13" s="13">
        <v>0</v>
      </c>
      <c r="O13" s="265">
        <v>0</v>
      </c>
      <c r="P13" s="265" t="s">
        <v>51</v>
      </c>
      <c r="Q13" s="265" t="s">
        <v>51</v>
      </c>
      <c r="R13" s="13">
        <v>0</v>
      </c>
      <c r="S13" s="12">
        <v>0</v>
      </c>
      <c r="T13" s="13">
        <v>0</v>
      </c>
      <c r="U13" s="13" t="s">
        <v>51</v>
      </c>
      <c r="V13" s="12">
        <v>0</v>
      </c>
      <c r="W13" s="13">
        <v>0</v>
      </c>
      <c r="X13" s="265">
        <v>0</v>
      </c>
      <c r="Y13" s="265" t="s">
        <v>51</v>
      </c>
      <c r="Z13" s="265" t="s">
        <v>51</v>
      </c>
      <c r="AA13" s="13">
        <v>0</v>
      </c>
      <c r="AB13" s="12">
        <v>0</v>
      </c>
      <c r="AC13" s="13">
        <v>0</v>
      </c>
      <c r="AD13" s="13" t="s">
        <v>51</v>
      </c>
      <c r="AE13" s="12">
        <v>0</v>
      </c>
      <c r="AF13" s="13">
        <v>0</v>
      </c>
      <c r="AG13" s="265">
        <v>0</v>
      </c>
      <c r="AH13" s="265" t="s">
        <v>51</v>
      </c>
      <c r="AI13" s="13">
        <v>0</v>
      </c>
      <c r="AJ13" s="12">
        <v>1</v>
      </c>
      <c r="AK13" s="13">
        <v>360</v>
      </c>
      <c r="AL13" s="265">
        <v>1.089</v>
      </c>
      <c r="AM13" s="265">
        <v>3.0000000000000001E-3</v>
      </c>
      <c r="AN13" s="13">
        <v>221.9</v>
      </c>
      <c r="AO13" s="308"/>
      <c r="AP13" s="308"/>
      <c r="AQ13" s="308"/>
      <c r="AR13" s="308"/>
      <c r="AS13" s="12">
        <f>Table1[[#This Row],[Object_A_._head_time]]+Table1[[#This Row],[Object_B_._head_time]]</f>
        <v>0</v>
      </c>
      <c r="AT13" s="282"/>
      <c r="AU13" s="282"/>
      <c r="AV13" s="283"/>
      <c r="AW13" s="282"/>
      <c r="AX13" s="311" t="e">
        <f>(Table1[[#This Row],[Object_A_._head_time]]/(Table1[[#This Row],[Object_A_._head_time]]+Table1[[#This Row],[Object_B_._head_time]]))</f>
        <v>#DIV/0!</v>
      </c>
      <c r="AY13" s="8" t="s">
        <v>487</v>
      </c>
      <c r="AZ13" s="8" t="s">
        <v>476</v>
      </c>
      <c r="BA13" s="12" t="s">
        <v>475</v>
      </c>
      <c r="BB13" s="12">
        <v>94</v>
      </c>
      <c r="BC13" s="13">
        <v>3.1333333333333333</v>
      </c>
      <c r="BD13" s="12" t="s">
        <v>477</v>
      </c>
      <c r="BE13" s="284">
        <v>6</v>
      </c>
      <c r="BF13" s="12"/>
      <c r="BG13" s="279"/>
      <c r="BH13" s="279"/>
      <c r="BI13" s="279"/>
      <c r="BJ13" s="279"/>
      <c r="BK13" s="279"/>
      <c r="BL13" s="279"/>
      <c r="BM13" s="279"/>
      <c r="BN13" s="279"/>
      <c r="BO13" s="279"/>
      <c r="BP13" s="279"/>
      <c r="BQ13" s="279"/>
      <c r="BR13" s="279"/>
      <c r="BS13" s="279"/>
      <c r="BT13" s="279"/>
      <c r="BU13" s="279"/>
      <c r="BV13" s="279"/>
      <c r="BW13" s="279"/>
      <c r="BX13" s="279"/>
      <c r="BY13" s="279"/>
      <c r="BZ13" s="279"/>
      <c r="CA13" s="279"/>
      <c r="CB13" s="279"/>
      <c r="CC13" s="279"/>
      <c r="CD13" s="279"/>
      <c r="CE13" s="279"/>
      <c r="CF13" s="279"/>
      <c r="CG13" s="279"/>
      <c r="CH13" s="279"/>
      <c r="CI13" s="279"/>
      <c r="CJ13" s="279"/>
      <c r="CK13" s="279"/>
      <c r="CL13" s="279"/>
      <c r="CM13" s="279"/>
      <c r="CN13" s="279"/>
      <c r="CO13" s="279"/>
      <c r="CP13" s="279"/>
      <c r="CQ13" s="279"/>
      <c r="CR13" s="279"/>
      <c r="CS13" s="279"/>
      <c r="CT13" s="279"/>
      <c r="CU13" s="279"/>
      <c r="CV13" s="279"/>
      <c r="CW13" s="279"/>
      <c r="CX13" s="279"/>
      <c r="CY13" s="279"/>
      <c r="CZ13" s="279"/>
      <c r="DA13" s="279"/>
      <c r="DB13" s="279"/>
      <c r="DC13" s="279"/>
      <c r="DD13" s="279"/>
      <c r="DE13" s="279"/>
      <c r="DF13" s="279"/>
      <c r="DG13" s="279"/>
      <c r="DH13" s="279"/>
      <c r="DI13" s="279"/>
      <c r="DJ13" s="279"/>
      <c r="DK13" s="279"/>
      <c r="DL13" s="279"/>
      <c r="DM13" s="279"/>
      <c r="DN13" s="279"/>
      <c r="DO13" s="279"/>
      <c r="DP13" s="279"/>
      <c r="DQ13" s="279"/>
      <c r="DR13" s="279"/>
      <c r="DS13" s="279"/>
      <c r="DT13" s="279"/>
      <c r="DU13" s="279"/>
      <c r="DV13" s="279"/>
      <c r="DW13" s="279"/>
      <c r="DX13" s="279"/>
      <c r="DY13" s="279"/>
      <c r="DZ13" s="279"/>
      <c r="EA13" s="279"/>
      <c r="EB13" s="285"/>
    </row>
    <row r="14" spans="1:132" s="292" customFormat="1" ht="12" customHeight="1" x14ac:dyDescent="0.15">
      <c r="A14" s="266">
        <v>60</v>
      </c>
      <c r="B14" s="287" t="s">
        <v>73</v>
      </c>
      <c r="C14" s="266" t="s">
        <v>211</v>
      </c>
      <c r="D14" s="266" t="s">
        <v>41</v>
      </c>
      <c r="E14" s="266" t="s">
        <v>151</v>
      </c>
      <c r="F14" s="266" t="s">
        <v>227</v>
      </c>
      <c r="G14" s="266" t="s">
        <v>228</v>
      </c>
      <c r="H14" s="268">
        <v>360</v>
      </c>
      <c r="I14" s="288">
        <v>20.513999999999999</v>
      </c>
      <c r="J14" s="288">
        <v>5.7000000000000002E-2</v>
      </c>
      <c r="K14" s="288">
        <v>0.27400000000000002</v>
      </c>
      <c r="L14" s="268">
        <v>2.7</v>
      </c>
      <c r="M14" s="20">
        <v>19</v>
      </c>
      <c r="N14" s="268">
        <v>25.3</v>
      </c>
      <c r="O14" s="288">
        <v>1.4259999999999999</v>
      </c>
      <c r="P14" s="288">
        <v>5.6000000000000001E-2</v>
      </c>
      <c r="Q14" s="288">
        <v>0.26300000000000001</v>
      </c>
      <c r="R14" s="268">
        <v>9.6</v>
      </c>
      <c r="S14" s="20">
        <v>1786</v>
      </c>
      <c r="T14" s="268">
        <v>0</v>
      </c>
      <c r="U14" s="268">
        <v>10</v>
      </c>
      <c r="V14" s="20">
        <v>28</v>
      </c>
      <c r="W14" s="268">
        <v>37.799999999999997</v>
      </c>
      <c r="X14" s="288">
        <v>2.4239999999999999</v>
      </c>
      <c r="Y14" s="288">
        <v>6.4000000000000001E-2</v>
      </c>
      <c r="Z14" s="288">
        <v>0.26900000000000002</v>
      </c>
      <c r="AA14" s="268">
        <v>10</v>
      </c>
      <c r="AB14" s="20">
        <v>3019</v>
      </c>
      <c r="AC14" s="268">
        <v>0</v>
      </c>
      <c r="AD14" s="268">
        <v>10.7</v>
      </c>
      <c r="AE14" s="20">
        <v>32</v>
      </c>
      <c r="AF14" s="268">
        <v>33</v>
      </c>
      <c r="AG14" s="288">
        <v>3.7349999999999999</v>
      </c>
      <c r="AH14" s="288">
        <v>0.113</v>
      </c>
      <c r="AI14" s="268">
        <v>0</v>
      </c>
      <c r="AJ14" s="20">
        <v>33</v>
      </c>
      <c r="AK14" s="268">
        <v>327</v>
      </c>
      <c r="AL14" s="288">
        <v>16.779</v>
      </c>
      <c r="AM14" s="288">
        <v>5.0999999999999997E-2</v>
      </c>
      <c r="AN14" s="268">
        <v>2.7</v>
      </c>
      <c r="AO14" s="311"/>
      <c r="AP14" s="311"/>
      <c r="AQ14" s="311"/>
      <c r="AR14" s="311"/>
      <c r="AS14" s="12">
        <f>Table1[[#This Row],[Object_A_._head_time]]+Table1[[#This Row],[Object_B_._head_time]]</f>
        <v>63.099999999999994</v>
      </c>
      <c r="AT14" s="20"/>
      <c r="AU14" s="20"/>
      <c r="AV14" s="268"/>
      <c r="AW14" s="20"/>
      <c r="AX14" s="308">
        <f>(Table1[[#This Row],[Object_A_._head_time]]/(Table1[[#This Row],[Object_A_._head_time]]+Table1[[#This Row],[Object_B_._head_time]]))</f>
        <v>0.40095087163232968</v>
      </c>
      <c r="AY14" s="21" t="s">
        <v>486</v>
      </c>
      <c r="AZ14" s="21" t="s">
        <v>472</v>
      </c>
      <c r="BA14" s="21" t="s">
        <v>475</v>
      </c>
      <c r="BB14" s="21">
        <v>93</v>
      </c>
      <c r="BC14" s="22">
        <v>3.1</v>
      </c>
      <c r="BD14" s="20"/>
      <c r="BE14" s="289"/>
      <c r="BF14" s="20"/>
      <c r="BG14" s="290"/>
      <c r="BH14" s="290"/>
      <c r="BI14" s="290"/>
      <c r="BJ14" s="290"/>
      <c r="BK14" s="290"/>
      <c r="BL14" s="290"/>
      <c r="BM14" s="290"/>
      <c r="BN14" s="290"/>
      <c r="BO14" s="290"/>
      <c r="BP14" s="290"/>
      <c r="BQ14" s="290"/>
      <c r="BR14" s="290"/>
      <c r="BS14" s="290"/>
      <c r="BT14" s="290"/>
      <c r="BU14" s="290"/>
      <c r="BV14" s="290"/>
      <c r="BW14" s="290"/>
      <c r="BX14" s="290"/>
      <c r="BY14" s="290"/>
      <c r="BZ14" s="290"/>
      <c r="CA14" s="290"/>
      <c r="CB14" s="290"/>
      <c r="CC14" s="290"/>
      <c r="CD14" s="290"/>
      <c r="CE14" s="290"/>
      <c r="CF14" s="290"/>
      <c r="CG14" s="290"/>
      <c r="CH14" s="290"/>
      <c r="CI14" s="290"/>
      <c r="CJ14" s="290"/>
      <c r="CK14" s="290"/>
      <c r="CL14" s="290"/>
      <c r="CM14" s="290"/>
      <c r="CN14" s="290"/>
      <c r="CO14" s="290"/>
      <c r="CP14" s="290"/>
      <c r="CQ14" s="290"/>
      <c r="CR14" s="290"/>
      <c r="CS14" s="290"/>
      <c r="CT14" s="290"/>
      <c r="CU14" s="290"/>
      <c r="CV14" s="290"/>
      <c r="CW14" s="290"/>
      <c r="CX14" s="290"/>
      <c r="CY14" s="290"/>
      <c r="CZ14" s="290"/>
      <c r="DA14" s="290"/>
      <c r="DB14" s="290"/>
      <c r="DC14" s="290"/>
      <c r="DD14" s="290"/>
      <c r="DE14" s="290"/>
      <c r="DF14" s="290"/>
      <c r="DG14" s="290"/>
      <c r="DH14" s="290"/>
      <c r="DI14" s="290"/>
      <c r="DJ14" s="290"/>
      <c r="DK14" s="290"/>
      <c r="DL14" s="290"/>
      <c r="DM14" s="290"/>
      <c r="DN14" s="290"/>
      <c r="DO14" s="290"/>
      <c r="DP14" s="290"/>
      <c r="DQ14" s="290"/>
      <c r="DR14" s="290"/>
      <c r="DS14" s="290"/>
      <c r="DT14" s="290"/>
      <c r="DU14" s="290"/>
      <c r="DV14" s="290"/>
      <c r="DW14" s="290"/>
      <c r="DX14" s="290"/>
      <c r="DY14" s="290"/>
      <c r="DZ14" s="290"/>
      <c r="EA14" s="290"/>
      <c r="EB14" s="291"/>
    </row>
    <row r="15" spans="1:132" s="286" customFormat="1" ht="12" customHeight="1" x14ac:dyDescent="0.15">
      <c r="A15" s="264">
        <v>61</v>
      </c>
      <c r="B15" s="281" t="s">
        <v>76</v>
      </c>
      <c r="C15" s="264" t="s">
        <v>211</v>
      </c>
      <c r="D15" s="264" t="s">
        <v>46</v>
      </c>
      <c r="E15" s="264" t="s">
        <v>151</v>
      </c>
      <c r="F15" s="264" t="s">
        <v>227</v>
      </c>
      <c r="G15" s="264" t="s">
        <v>229</v>
      </c>
      <c r="H15" s="13">
        <v>360</v>
      </c>
      <c r="I15" s="265">
        <v>13.904999999999999</v>
      </c>
      <c r="J15" s="265">
        <v>3.9E-2</v>
      </c>
      <c r="K15" s="265">
        <v>0.24399999999999999</v>
      </c>
      <c r="L15" s="13">
        <v>12.7</v>
      </c>
      <c r="M15" s="12">
        <v>20</v>
      </c>
      <c r="N15" s="13">
        <v>34.799999999999997</v>
      </c>
      <c r="O15" s="265">
        <v>1.8129999999999999</v>
      </c>
      <c r="P15" s="265">
        <v>5.1999999999999998E-2</v>
      </c>
      <c r="Q15" s="265">
        <v>0.223</v>
      </c>
      <c r="R15" s="13">
        <v>9.6</v>
      </c>
      <c r="S15" s="12">
        <v>2262</v>
      </c>
      <c r="T15" s="13">
        <v>0</v>
      </c>
      <c r="U15" s="13">
        <v>4.3</v>
      </c>
      <c r="V15" s="12">
        <v>34</v>
      </c>
      <c r="W15" s="13">
        <v>47.8</v>
      </c>
      <c r="X15" s="265">
        <v>2.1829999999999998</v>
      </c>
      <c r="Y15" s="265">
        <v>4.5999999999999999E-2</v>
      </c>
      <c r="Z15" s="265">
        <v>0.17399999999999999</v>
      </c>
      <c r="AA15" s="13">
        <v>11.8</v>
      </c>
      <c r="AB15" s="12">
        <v>3500</v>
      </c>
      <c r="AC15" s="13">
        <v>0</v>
      </c>
      <c r="AD15" s="13">
        <v>8.1</v>
      </c>
      <c r="AE15" s="12">
        <v>23</v>
      </c>
      <c r="AF15" s="13">
        <v>56.4</v>
      </c>
      <c r="AG15" s="265">
        <v>3.3959999999999999</v>
      </c>
      <c r="AH15" s="265">
        <v>0.06</v>
      </c>
      <c r="AI15" s="13">
        <v>0</v>
      </c>
      <c r="AJ15" s="12">
        <v>24</v>
      </c>
      <c r="AK15" s="13">
        <v>303.60000000000002</v>
      </c>
      <c r="AL15" s="265">
        <v>10.509</v>
      </c>
      <c r="AM15" s="265">
        <v>3.5000000000000003E-2</v>
      </c>
      <c r="AN15" s="13">
        <v>12.7</v>
      </c>
      <c r="AO15" s="308"/>
      <c r="AP15" s="308"/>
      <c r="AQ15" s="308"/>
      <c r="AR15" s="308"/>
      <c r="AS15" s="12">
        <f>Table1[[#This Row],[Object_A_._head_time]]+Table1[[#This Row],[Object_B_._head_time]]</f>
        <v>82.6</v>
      </c>
      <c r="AT15" s="282"/>
      <c r="AU15" s="282"/>
      <c r="AV15" s="283"/>
      <c r="AW15" s="282"/>
      <c r="AX15" s="308">
        <f>(Table1[[#This Row],[Object_A_._head_time]]/(Table1[[#This Row],[Object_A_._head_time]]+Table1[[#This Row],[Object_B_._head_time]]))</f>
        <v>0.42130750605326878</v>
      </c>
      <c r="AY15" s="264" t="s">
        <v>486</v>
      </c>
      <c r="AZ15" s="264" t="s">
        <v>472</v>
      </c>
      <c r="BA15" s="12" t="s">
        <v>473</v>
      </c>
      <c r="BB15" s="12">
        <v>86</v>
      </c>
      <c r="BC15" s="12">
        <v>2.8666666666666667</v>
      </c>
      <c r="BD15" s="12" t="s">
        <v>477</v>
      </c>
      <c r="BE15" s="284">
        <v>4</v>
      </c>
      <c r="BF15" s="12" t="s">
        <v>463</v>
      </c>
      <c r="BG15" s="279"/>
      <c r="BH15" s="279"/>
      <c r="BI15" s="279"/>
      <c r="BJ15" s="279"/>
      <c r="BK15" s="279"/>
      <c r="BL15" s="279"/>
      <c r="BM15" s="279"/>
      <c r="BN15" s="279"/>
      <c r="BO15" s="279"/>
      <c r="BP15" s="279"/>
      <c r="BQ15" s="279"/>
      <c r="BR15" s="279"/>
      <c r="BS15" s="279"/>
      <c r="BT15" s="279"/>
      <c r="BU15" s="279"/>
      <c r="BV15" s="279"/>
      <c r="BW15" s="279"/>
      <c r="BX15" s="279"/>
      <c r="BY15" s="279"/>
      <c r="BZ15" s="279"/>
      <c r="CA15" s="279"/>
      <c r="CB15" s="279"/>
      <c r="CC15" s="279"/>
      <c r="CD15" s="279"/>
      <c r="CE15" s="279"/>
      <c r="CF15" s="279"/>
      <c r="CG15" s="279"/>
      <c r="CH15" s="279"/>
      <c r="CI15" s="279"/>
      <c r="CJ15" s="279"/>
      <c r="CK15" s="279"/>
      <c r="CL15" s="279"/>
      <c r="CM15" s="279"/>
      <c r="CN15" s="279"/>
      <c r="CO15" s="279"/>
      <c r="CP15" s="279"/>
      <c r="CQ15" s="279"/>
      <c r="CR15" s="279"/>
      <c r="CS15" s="279"/>
      <c r="CT15" s="279"/>
      <c r="CU15" s="279"/>
      <c r="CV15" s="279"/>
      <c r="CW15" s="279"/>
      <c r="CX15" s="279"/>
      <c r="CY15" s="279"/>
      <c r="CZ15" s="279"/>
      <c r="DA15" s="279"/>
      <c r="DB15" s="279"/>
      <c r="DC15" s="279"/>
      <c r="DD15" s="279"/>
      <c r="DE15" s="279"/>
      <c r="DF15" s="279"/>
      <c r="DG15" s="279"/>
      <c r="DH15" s="279"/>
      <c r="DI15" s="279"/>
      <c r="DJ15" s="279"/>
      <c r="DK15" s="279"/>
      <c r="DL15" s="279"/>
      <c r="DM15" s="279"/>
      <c r="DN15" s="279"/>
      <c r="DO15" s="279"/>
      <c r="DP15" s="279"/>
      <c r="DQ15" s="279"/>
      <c r="DR15" s="279"/>
      <c r="DS15" s="279"/>
      <c r="DT15" s="279"/>
      <c r="DU15" s="279"/>
      <c r="DV15" s="279"/>
      <c r="DW15" s="279"/>
      <c r="DX15" s="279"/>
      <c r="DY15" s="279"/>
      <c r="DZ15" s="279"/>
      <c r="EA15" s="279"/>
      <c r="EB15" s="285"/>
    </row>
    <row r="16" spans="1:132" s="286" customFormat="1" ht="12" customHeight="1" x14ac:dyDescent="0.15">
      <c r="A16" s="264">
        <v>62</v>
      </c>
      <c r="B16" s="281" t="s">
        <v>78</v>
      </c>
      <c r="C16" s="264" t="s">
        <v>211</v>
      </c>
      <c r="D16" s="264" t="s">
        <v>49</v>
      </c>
      <c r="E16" s="264" t="s">
        <v>151</v>
      </c>
      <c r="F16" s="264" t="s">
        <v>227</v>
      </c>
      <c r="G16" s="264" t="s">
        <v>230</v>
      </c>
      <c r="H16" s="13">
        <v>360</v>
      </c>
      <c r="I16" s="265">
        <v>9.8230000000000004</v>
      </c>
      <c r="J16" s="265">
        <v>2.7E-2</v>
      </c>
      <c r="K16" s="265">
        <v>0.27200000000000002</v>
      </c>
      <c r="L16" s="13">
        <v>104.2</v>
      </c>
      <c r="M16" s="12">
        <v>15</v>
      </c>
      <c r="N16" s="13">
        <v>23.4</v>
      </c>
      <c r="O16" s="265">
        <v>1.2330000000000001</v>
      </c>
      <c r="P16" s="265">
        <v>5.2999999999999999E-2</v>
      </c>
      <c r="Q16" s="265">
        <v>0.21099999999999999</v>
      </c>
      <c r="R16" s="13">
        <v>7.6</v>
      </c>
      <c r="S16" s="12">
        <v>1866</v>
      </c>
      <c r="T16" s="13">
        <v>0</v>
      </c>
      <c r="U16" s="13">
        <v>4.9000000000000004</v>
      </c>
      <c r="V16" s="12">
        <v>11</v>
      </c>
      <c r="W16" s="13">
        <v>21</v>
      </c>
      <c r="X16" s="265">
        <v>0.84199999999999997</v>
      </c>
      <c r="Y16" s="265">
        <v>0.04</v>
      </c>
      <c r="Z16" s="265">
        <v>0.20300000000000001</v>
      </c>
      <c r="AA16" s="13">
        <v>7.2</v>
      </c>
      <c r="AB16" s="12">
        <v>1701</v>
      </c>
      <c r="AC16" s="13">
        <v>0</v>
      </c>
      <c r="AD16" s="13">
        <v>4.2</v>
      </c>
      <c r="AE16" s="12">
        <v>8</v>
      </c>
      <c r="AF16" s="13">
        <v>11.7</v>
      </c>
      <c r="AG16" s="265">
        <v>0.98399999999999999</v>
      </c>
      <c r="AH16" s="265">
        <v>8.4000000000000005E-2</v>
      </c>
      <c r="AI16" s="13">
        <v>0</v>
      </c>
      <c r="AJ16" s="12">
        <v>9</v>
      </c>
      <c r="AK16" s="13">
        <v>348.3</v>
      </c>
      <c r="AL16" s="265">
        <v>8.8379999999999992</v>
      </c>
      <c r="AM16" s="265">
        <v>2.5000000000000001E-2</v>
      </c>
      <c r="AN16" s="13">
        <v>104.2</v>
      </c>
      <c r="AO16" s="308"/>
      <c r="AP16" s="308"/>
      <c r="AQ16" s="308"/>
      <c r="AR16" s="308"/>
      <c r="AS16" s="12">
        <f>Table1[[#This Row],[Object_A_._head_time]]+Table1[[#This Row],[Object_B_._head_time]]</f>
        <v>44.4</v>
      </c>
      <c r="AT16" s="282"/>
      <c r="AU16" s="282"/>
      <c r="AV16" s="283"/>
      <c r="AW16" s="282"/>
      <c r="AX16" s="308">
        <f>(Table1[[#This Row],[Object_A_._head_time]]/(Table1[[#This Row],[Object_A_._head_time]]+Table1[[#This Row],[Object_B_._head_time]]))</f>
        <v>0.52702702702702697</v>
      </c>
      <c r="AY16" s="264" t="s">
        <v>487</v>
      </c>
      <c r="AZ16" s="264" t="s">
        <v>472</v>
      </c>
      <c r="BA16" s="12" t="s">
        <v>475</v>
      </c>
      <c r="BB16" s="12">
        <v>86</v>
      </c>
      <c r="BC16" s="12">
        <v>2.8666666666666667</v>
      </c>
      <c r="BD16" s="12" t="s">
        <v>474</v>
      </c>
      <c r="BE16" s="284">
        <v>1</v>
      </c>
      <c r="BF16" s="12"/>
      <c r="BG16" s="279"/>
      <c r="BH16" s="279"/>
      <c r="BI16" s="279"/>
      <c r="BJ16" s="279"/>
      <c r="BK16" s="279"/>
      <c r="BL16" s="279"/>
      <c r="BM16" s="279"/>
      <c r="BN16" s="279"/>
      <c r="BO16" s="279"/>
      <c r="BP16" s="279"/>
      <c r="BQ16" s="279"/>
      <c r="BR16" s="279"/>
      <c r="BS16" s="279"/>
      <c r="BT16" s="279"/>
      <c r="BU16" s="279"/>
      <c r="BV16" s="279"/>
      <c r="BW16" s="279"/>
      <c r="BX16" s="279"/>
      <c r="BY16" s="279"/>
      <c r="BZ16" s="279"/>
      <c r="CA16" s="279"/>
      <c r="CB16" s="279"/>
      <c r="CC16" s="279"/>
      <c r="CD16" s="279"/>
      <c r="CE16" s="279"/>
      <c r="CF16" s="279"/>
      <c r="CG16" s="279"/>
      <c r="CH16" s="279"/>
      <c r="CI16" s="279"/>
      <c r="CJ16" s="279"/>
      <c r="CK16" s="279"/>
      <c r="CL16" s="279"/>
      <c r="CM16" s="279"/>
      <c r="CN16" s="279"/>
      <c r="CO16" s="279"/>
      <c r="CP16" s="279"/>
      <c r="CQ16" s="279"/>
      <c r="CR16" s="279"/>
      <c r="CS16" s="279"/>
      <c r="CT16" s="279"/>
      <c r="CU16" s="279"/>
      <c r="CV16" s="279"/>
      <c r="CW16" s="279"/>
      <c r="CX16" s="279"/>
      <c r="CY16" s="279"/>
      <c r="CZ16" s="279"/>
      <c r="DA16" s="279"/>
      <c r="DB16" s="279"/>
      <c r="DC16" s="279"/>
      <c r="DD16" s="279"/>
      <c r="DE16" s="279"/>
      <c r="DF16" s="279"/>
      <c r="DG16" s="279"/>
      <c r="DH16" s="279"/>
      <c r="DI16" s="279"/>
      <c r="DJ16" s="279"/>
      <c r="DK16" s="279"/>
      <c r="DL16" s="279"/>
      <c r="DM16" s="279"/>
      <c r="DN16" s="279"/>
      <c r="DO16" s="279"/>
      <c r="DP16" s="279"/>
      <c r="DQ16" s="279"/>
      <c r="DR16" s="279"/>
      <c r="DS16" s="279"/>
      <c r="DT16" s="279"/>
      <c r="DU16" s="279"/>
      <c r="DV16" s="279"/>
      <c r="DW16" s="279"/>
      <c r="DX16" s="279"/>
      <c r="DY16" s="279"/>
      <c r="DZ16" s="279"/>
      <c r="EA16" s="279"/>
      <c r="EB16" s="285"/>
    </row>
    <row r="17" spans="1:132" s="286" customFormat="1" ht="12" customHeight="1" x14ac:dyDescent="0.15">
      <c r="A17" s="264">
        <v>59</v>
      </c>
      <c r="B17" s="281" t="s">
        <v>80</v>
      </c>
      <c r="C17" s="264" t="s">
        <v>211</v>
      </c>
      <c r="D17" s="264" t="s">
        <v>53</v>
      </c>
      <c r="E17" s="264" t="s">
        <v>151</v>
      </c>
      <c r="F17" s="264" t="s">
        <v>227</v>
      </c>
      <c r="G17" s="264" t="s">
        <v>231</v>
      </c>
      <c r="H17" s="13">
        <v>360</v>
      </c>
      <c r="I17" s="265">
        <v>35.411000000000001</v>
      </c>
      <c r="J17" s="265">
        <v>9.8000000000000004E-2</v>
      </c>
      <c r="K17" s="265">
        <v>0.30499999999999999</v>
      </c>
      <c r="L17" s="13">
        <v>6.1</v>
      </c>
      <c r="M17" s="12">
        <v>43</v>
      </c>
      <c r="N17" s="13">
        <v>32.1</v>
      </c>
      <c r="O17" s="265">
        <v>4.1219999999999999</v>
      </c>
      <c r="P17" s="265">
        <v>0.128</v>
      </c>
      <c r="Q17" s="265">
        <v>0.27500000000000002</v>
      </c>
      <c r="R17" s="13">
        <v>10</v>
      </c>
      <c r="S17" s="12">
        <v>4139</v>
      </c>
      <c r="T17" s="13">
        <v>0</v>
      </c>
      <c r="U17" s="13">
        <v>6.4</v>
      </c>
      <c r="V17" s="12">
        <v>50</v>
      </c>
      <c r="W17" s="13">
        <v>57</v>
      </c>
      <c r="X17" s="265">
        <v>4.4349999999999996</v>
      </c>
      <c r="Y17" s="265">
        <v>7.8E-2</v>
      </c>
      <c r="Z17" s="265">
        <v>0.28999999999999998</v>
      </c>
      <c r="AA17" s="13">
        <v>30.5</v>
      </c>
      <c r="AB17" s="12">
        <v>4437</v>
      </c>
      <c r="AC17" s="13">
        <v>2.9</v>
      </c>
      <c r="AD17" s="13">
        <v>21.8</v>
      </c>
      <c r="AE17" s="12">
        <v>36</v>
      </c>
      <c r="AF17" s="13">
        <v>32.700000000000003</v>
      </c>
      <c r="AG17" s="265">
        <v>4.9329999999999998</v>
      </c>
      <c r="AH17" s="265">
        <v>0.151</v>
      </c>
      <c r="AI17" s="13">
        <v>0</v>
      </c>
      <c r="AJ17" s="12">
        <v>37</v>
      </c>
      <c r="AK17" s="13">
        <v>327.3</v>
      </c>
      <c r="AL17" s="265">
        <v>30.478000000000002</v>
      </c>
      <c r="AM17" s="265">
        <v>9.2999999999999999E-2</v>
      </c>
      <c r="AN17" s="13">
        <v>6.1</v>
      </c>
      <c r="AO17" s="308"/>
      <c r="AP17" s="308"/>
      <c r="AQ17" s="308"/>
      <c r="AR17" s="308"/>
      <c r="AS17" s="12">
        <f>Table1[[#This Row],[Object_A_._head_time]]+Table1[[#This Row],[Object_B_._head_time]]</f>
        <v>89.1</v>
      </c>
      <c r="AT17" s="282"/>
      <c r="AU17" s="282"/>
      <c r="AV17" s="283"/>
      <c r="AW17" s="282"/>
      <c r="AX17" s="308">
        <f>(Table1[[#This Row],[Object_A_._head_time]]/(Table1[[#This Row],[Object_A_._head_time]]+Table1[[#This Row],[Object_B_._head_time]]))</f>
        <v>0.36026936026936029</v>
      </c>
      <c r="AY17" s="264" t="s">
        <v>487</v>
      </c>
      <c r="AZ17" s="264" t="s">
        <v>476</v>
      </c>
      <c r="BA17" s="12" t="s">
        <v>473</v>
      </c>
      <c r="BB17" s="12">
        <v>86</v>
      </c>
      <c r="BC17" s="12">
        <v>2.8666666666666667</v>
      </c>
      <c r="BD17" s="12" t="s">
        <v>474</v>
      </c>
      <c r="BE17" s="284">
        <v>7</v>
      </c>
      <c r="BF17" s="12"/>
      <c r="BG17" s="279"/>
      <c r="BH17" s="279"/>
      <c r="BI17" s="279"/>
      <c r="BJ17" s="279"/>
      <c r="BK17" s="279"/>
      <c r="BL17" s="279"/>
      <c r="BM17" s="279"/>
      <c r="BN17" s="279"/>
      <c r="BO17" s="279"/>
      <c r="BP17" s="279"/>
      <c r="BQ17" s="279"/>
      <c r="BR17" s="279"/>
      <c r="BS17" s="279"/>
      <c r="BT17" s="279"/>
      <c r="BU17" s="279"/>
      <c r="BV17" s="279"/>
      <c r="BW17" s="279"/>
      <c r="BX17" s="279"/>
      <c r="BY17" s="279"/>
      <c r="BZ17" s="279"/>
      <c r="CA17" s="279"/>
      <c r="CB17" s="279"/>
      <c r="CC17" s="279"/>
      <c r="CD17" s="279"/>
      <c r="CE17" s="279"/>
      <c r="CF17" s="279"/>
      <c r="CG17" s="279"/>
      <c r="CH17" s="279"/>
      <c r="CI17" s="279"/>
      <c r="CJ17" s="279"/>
      <c r="CK17" s="279"/>
      <c r="CL17" s="279"/>
      <c r="CM17" s="279"/>
      <c r="CN17" s="279"/>
      <c r="CO17" s="279"/>
      <c r="CP17" s="279"/>
      <c r="CQ17" s="279"/>
      <c r="CR17" s="279"/>
      <c r="CS17" s="279"/>
      <c r="CT17" s="279"/>
      <c r="CU17" s="279"/>
      <c r="CV17" s="279"/>
      <c r="CW17" s="279"/>
      <c r="CX17" s="279"/>
      <c r="CY17" s="279"/>
      <c r="CZ17" s="279"/>
      <c r="DA17" s="279"/>
      <c r="DB17" s="279"/>
      <c r="DC17" s="279"/>
      <c r="DD17" s="279"/>
      <c r="DE17" s="279"/>
      <c r="DF17" s="279"/>
      <c r="DG17" s="279"/>
      <c r="DH17" s="279"/>
      <c r="DI17" s="279"/>
      <c r="DJ17" s="279"/>
      <c r="DK17" s="279"/>
      <c r="DL17" s="279"/>
      <c r="DM17" s="279"/>
      <c r="DN17" s="279"/>
      <c r="DO17" s="279"/>
      <c r="DP17" s="279"/>
      <c r="DQ17" s="279"/>
      <c r="DR17" s="279"/>
      <c r="DS17" s="279"/>
      <c r="DT17" s="279"/>
      <c r="DU17" s="279"/>
      <c r="DV17" s="279"/>
      <c r="DW17" s="279"/>
      <c r="DX17" s="279"/>
      <c r="DY17" s="279"/>
      <c r="DZ17" s="279"/>
      <c r="EA17" s="279"/>
      <c r="EB17" s="285"/>
    </row>
    <row r="18" spans="1:132" s="286" customFormat="1" ht="12" customHeight="1" x14ac:dyDescent="0.15">
      <c r="A18" s="264">
        <v>63</v>
      </c>
      <c r="B18" s="281" t="s">
        <v>82</v>
      </c>
      <c r="C18" s="264" t="s">
        <v>211</v>
      </c>
      <c r="D18" s="264" t="s">
        <v>41</v>
      </c>
      <c r="E18" s="264" t="s">
        <v>151</v>
      </c>
      <c r="F18" s="264" t="s">
        <v>232</v>
      </c>
      <c r="G18" s="264" t="s">
        <v>233</v>
      </c>
      <c r="H18" s="13">
        <v>360</v>
      </c>
      <c r="I18" s="265">
        <v>5.5209999999999999</v>
      </c>
      <c r="J18" s="265">
        <v>1.4999999999999999E-2</v>
      </c>
      <c r="K18" s="265">
        <v>0.25600000000000001</v>
      </c>
      <c r="L18" s="13">
        <v>116.8</v>
      </c>
      <c r="M18" s="12">
        <v>3</v>
      </c>
      <c r="N18" s="13">
        <v>2</v>
      </c>
      <c r="O18" s="265">
        <v>0</v>
      </c>
      <c r="P18" s="265">
        <v>0</v>
      </c>
      <c r="Q18" s="265">
        <v>4.4999999999999998E-2</v>
      </c>
      <c r="R18" s="13">
        <v>1.7</v>
      </c>
      <c r="S18" s="12">
        <v>126</v>
      </c>
      <c r="T18" s="13">
        <v>0</v>
      </c>
      <c r="U18" s="13">
        <v>1.5</v>
      </c>
      <c r="V18" s="12">
        <v>9</v>
      </c>
      <c r="W18" s="13">
        <v>6.4</v>
      </c>
      <c r="X18" s="265">
        <v>0.108</v>
      </c>
      <c r="Y18" s="265">
        <v>1.7000000000000001E-2</v>
      </c>
      <c r="Z18" s="265">
        <v>0.129</v>
      </c>
      <c r="AA18" s="13">
        <v>4.4000000000000004</v>
      </c>
      <c r="AB18" s="12">
        <v>398</v>
      </c>
      <c r="AC18" s="13">
        <v>0</v>
      </c>
      <c r="AD18" s="13">
        <v>6.4</v>
      </c>
      <c r="AE18" s="12">
        <v>0</v>
      </c>
      <c r="AF18" s="13">
        <v>0</v>
      </c>
      <c r="AG18" s="265">
        <v>0</v>
      </c>
      <c r="AH18" s="265" t="s">
        <v>51</v>
      </c>
      <c r="AI18" s="13">
        <v>0</v>
      </c>
      <c r="AJ18" s="12">
        <v>1</v>
      </c>
      <c r="AK18" s="13">
        <v>360</v>
      </c>
      <c r="AL18" s="265">
        <v>5.5209999999999999</v>
      </c>
      <c r="AM18" s="265">
        <v>1.4999999999999999E-2</v>
      </c>
      <c r="AN18" s="13">
        <v>116.8</v>
      </c>
      <c r="AO18" s="308"/>
      <c r="AP18" s="308"/>
      <c r="AQ18" s="308"/>
      <c r="AR18" s="308"/>
      <c r="AS18" s="12">
        <f>Table1[[#This Row],[Object_A_._head_time]]+Table1[[#This Row],[Object_B_._head_time]]</f>
        <v>8.4</v>
      </c>
      <c r="AT18" s="282"/>
      <c r="AU18" s="282"/>
      <c r="AV18" s="283"/>
      <c r="AW18" s="282"/>
      <c r="AX18" s="308">
        <f>(Table1[[#This Row],[Object_A_._head_time]]/(Table1[[#This Row],[Object_A_._head_time]]+Table1[[#This Row],[Object_B_._head_time]]))</f>
        <v>0.23809523809523808</v>
      </c>
      <c r="AY18" s="264" t="s">
        <v>487</v>
      </c>
      <c r="AZ18" s="264" t="s">
        <v>472</v>
      </c>
      <c r="BA18" s="12" t="s">
        <v>473</v>
      </c>
      <c r="BB18" s="12">
        <v>86</v>
      </c>
      <c r="BC18" s="12">
        <v>2.8666666666666667</v>
      </c>
      <c r="BD18" s="12" t="s">
        <v>474</v>
      </c>
      <c r="BE18" s="284">
        <v>3</v>
      </c>
      <c r="BF18" s="12"/>
      <c r="BG18" s="279"/>
      <c r="BH18" s="279"/>
      <c r="BI18" s="279"/>
      <c r="BJ18" s="279"/>
      <c r="BK18" s="279"/>
      <c r="BL18" s="279"/>
      <c r="BM18" s="279"/>
      <c r="BN18" s="279"/>
      <c r="BO18" s="279"/>
      <c r="BP18" s="279"/>
      <c r="BQ18" s="279"/>
      <c r="BR18" s="279"/>
      <c r="BS18" s="279"/>
      <c r="BT18" s="279"/>
      <c r="BU18" s="279"/>
      <c r="BV18" s="279"/>
      <c r="BW18" s="279"/>
      <c r="BX18" s="279"/>
      <c r="BY18" s="279"/>
      <c r="BZ18" s="279"/>
      <c r="CA18" s="279"/>
      <c r="CB18" s="279"/>
      <c r="CC18" s="279"/>
      <c r="CD18" s="279"/>
      <c r="CE18" s="279"/>
      <c r="CF18" s="279"/>
      <c r="CG18" s="279"/>
      <c r="CH18" s="279"/>
      <c r="CI18" s="279"/>
      <c r="CJ18" s="279"/>
      <c r="CK18" s="279"/>
      <c r="CL18" s="279"/>
      <c r="CM18" s="279"/>
      <c r="CN18" s="279"/>
      <c r="CO18" s="279"/>
      <c r="CP18" s="279"/>
      <c r="CQ18" s="279"/>
      <c r="CR18" s="279"/>
      <c r="CS18" s="279"/>
      <c r="CT18" s="279"/>
      <c r="CU18" s="279"/>
      <c r="CV18" s="279"/>
      <c r="CW18" s="279"/>
      <c r="CX18" s="279"/>
      <c r="CY18" s="279"/>
      <c r="CZ18" s="279"/>
      <c r="DA18" s="279"/>
      <c r="DB18" s="279"/>
      <c r="DC18" s="279"/>
      <c r="DD18" s="279"/>
      <c r="DE18" s="279"/>
      <c r="DF18" s="279"/>
      <c r="DG18" s="279"/>
      <c r="DH18" s="279"/>
      <c r="DI18" s="279"/>
      <c r="DJ18" s="279"/>
      <c r="DK18" s="279"/>
      <c r="DL18" s="279"/>
      <c r="DM18" s="279"/>
      <c r="DN18" s="279"/>
      <c r="DO18" s="279"/>
      <c r="DP18" s="279"/>
      <c r="DQ18" s="279"/>
      <c r="DR18" s="279"/>
      <c r="DS18" s="279"/>
      <c r="DT18" s="279"/>
      <c r="DU18" s="279"/>
      <c r="DV18" s="279"/>
      <c r="DW18" s="279"/>
      <c r="DX18" s="279"/>
      <c r="DY18" s="279"/>
      <c r="DZ18" s="279"/>
      <c r="EA18" s="279"/>
      <c r="EB18" s="285"/>
    </row>
    <row r="19" spans="1:132" s="286" customFormat="1" ht="12" customHeight="1" x14ac:dyDescent="0.15">
      <c r="A19" s="264">
        <v>64</v>
      </c>
      <c r="B19" s="281" t="s">
        <v>85</v>
      </c>
      <c r="C19" s="264" t="s">
        <v>211</v>
      </c>
      <c r="D19" s="264" t="s">
        <v>46</v>
      </c>
      <c r="E19" s="264" t="s">
        <v>151</v>
      </c>
      <c r="F19" s="264" t="s">
        <v>232</v>
      </c>
      <c r="G19" s="264" t="s">
        <v>234</v>
      </c>
      <c r="H19" s="13">
        <v>360</v>
      </c>
      <c r="I19" s="265">
        <v>19.611999999999998</v>
      </c>
      <c r="J19" s="265">
        <v>5.3999999999999999E-2</v>
      </c>
      <c r="K19" s="265">
        <v>0.29599999999999999</v>
      </c>
      <c r="L19" s="13">
        <v>3</v>
      </c>
      <c r="M19" s="12">
        <v>39</v>
      </c>
      <c r="N19" s="13">
        <v>56</v>
      </c>
      <c r="O19" s="265">
        <v>3.419</v>
      </c>
      <c r="P19" s="265">
        <v>6.0999999999999999E-2</v>
      </c>
      <c r="Q19" s="265">
        <v>0.27900000000000003</v>
      </c>
      <c r="R19" s="13">
        <v>8.9</v>
      </c>
      <c r="S19" s="12">
        <v>5072</v>
      </c>
      <c r="T19" s="13">
        <v>0</v>
      </c>
      <c r="U19" s="13">
        <v>4.8</v>
      </c>
      <c r="V19" s="12">
        <v>29</v>
      </c>
      <c r="W19" s="13">
        <v>74.900000000000006</v>
      </c>
      <c r="X19" s="265">
        <v>3.7029999999999998</v>
      </c>
      <c r="Y19" s="265">
        <v>4.9000000000000002E-2</v>
      </c>
      <c r="Z19" s="265">
        <v>0.29599999999999999</v>
      </c>
      <c r="AA19" s="13">
        <v>10.4</v>
      </c>
      <c r="AB19" s="12">
        <v>5829</v>
      </c>
      <c r="AC19" s="13">
        <v>0</v>
      </c>
      <c r="AD19" s="13">
        <v>9.6</v>
      </c>
      <c r="AE19" s="12">
        <v>43</v>
      </c>
      <c r="AF19" s="13">
        <v>63.1</v>
      </c>
      <c r="AG19" s="265">
        <v>5.8289999999999997</v>
      </c>
      <c r="AH19" s="265">
        <v>9.1999999999999998E-2</v>
      </c>
      <c r="AI19" s="13">
        <v>0</v>
      </c>
      <c r="AJ19" s="12">
        <v>44</v>
      </c>
      <c r="AK19" s="13">
        <v>296.89999999999998</v>
      </c>
      <c r="AL19" s="265">
        <v>13.782999999999999</v>
      </c>
      <c r="AM19" s="265">
        <v>4.5999999999999999E-2</v>
      </c>
      <c r="AN19" s="13">
        <v>3</v>
      </c>
      <c r="AO19" s="308"/>
      <c r="AP19" s="308"/>
      <c r="AQ19" s="308"/>
      <c r="AR19" s="308"/>
      <c r="AS19" s="12">
        <f>Table1[[#This Row],[Object_A_._head_time]]+Table1[[#This Row],[Object_B_._head_time]]</f>
        <v>130.9</v>
      </c>
      <c r="AT19" s="282"/>
      <c r="AU19" s="282"/>
      <c r="AV19" s="283"/>
      <c r="AW19" s="282"/>
      <c r="AX19" s="308">
        <f>(Table1[[#This Row],[Object_A_._head_time]]/(Table1[[#This Row],[Object_A_._head_time]]+Table1[[#This Row],[Object_B_._head_time]]))</f>
        <v>0.42780748663101603</v>
      </c>
      <c r="AY19" s="264" t="s">
        <v>486</v>
      </c>
      <c r="AZ19" s="264" t="s">
        <v>472</v>
      </c>
      <c r="BA19" s="12" t="s">
        <v>473</v>
      </c>
      <c r="BB19" s="12">
        <v>76</v>
      </c>
      <c r="BC19" s="12">
        <v>2.5333333333333332</v>
      </c>
      <c r="BD19" s="12" t="s">
        <v>474</v>
      </c>
      <c r="BE19" s="284">
        <v>3</v>
      </c>
      <c r="BF19" s="12"/>
      <c r="BG19" s="279"/>
      <c r="BH19" s="279"/>
      <c r="BI19" s="279"/>
      <c r="BJ19" s="279"/>
      <c r="BK19" s="279"/>
      <c r="BL19" s="279"/>
      <c r="BM19" s="279"/>
      <c r="BN19" s="279"/>
      <c r="BO19" s="279"/>
      <c r="BP19" s="279"/>
      <c r="BQ19" s="279"/>
      <c r="BR19" s="279"/>
      <c r="BS19" s="279"/>
      <c r="BT19" s="279"/>
      <c r="BU19" s="279"/>
      <c r="BV19" s="279"/>
      <c r="BW19" s="279"/>
      <c r="BX19" s="279"/>
      <c r="BY19" s="279"/>
      <c r="BZ19" s="279"/>
      <c r="CA19" s="279"/>
      <c r="CB19" s="279"/>
      <c r="CC19" s="279"/>
      <c r="CD19" s="279"/>
      <c r="CE19" s="279"/>
      <c r="CF19" s="279"/>
      <c r="CG19" s="279"/>
      <c r="CH19" s="279"/>
      <c r="CI19" s="279"/>
      <c r="CJ19" s="279"/>
      <c r="CK19" s="279"/>
      <c r="CL19" s="279"/>
      <c r="CM19" s="279"/>
      <c r="CN19" s="279"/>
      <c r="CO19" s="279"/>
      <c r="CP19" s="279"/>
      <c r="CQ19" s="279"/>
      <c r="CR19" s="279"/>
      <c r="CS19" s="279"/>
      <c r="CT19" s="279"/>
      <c r="CU19" s="279"/>
      <c r="CV19" s="279"/>
      <c r="CW19" s="279"/>
      <c r="CX19" s="279"/>
      <c r="CY19" s="279"/>
      <c r="CZ19" s="279"/>
      <c r="DA19" s="279"/>
      <c r="DB19" s="279"/>
      <c r="DC19" s="279"/>
      <c r="DD19" s="279"/>
      <c r="DE19" s="279"/>
      <c r="DF19" s="279"/>
      <c r="DG19" s="279"/>
      <c r="DH19" s="279"/>
      <c r="DI19" s="279"/>
      <c r="DJ19" s="279"/>
      <c r="DK19" s="279"/>
      <c r="DL19" s="279"/>
      <c r="DM19" s="279"/>
      <c r="DN19" s="279"/>
      <c r="DO19" s="279"/>
      <c r="DP19" s="279"/>
      <c r="DQ19" s="279"/>
      <c r="DR19" s="279"/>
      <c r="DS19" s="279"/>
      <c r="DT19" s="279"/>
      <c r="DU19" s="279"/>
      <c r="DV19" s="279"/>
      <c r="DW19" s="279"/>
      <c r="DX19" s="279"/>
      <c r="DY19" s="279"/>
      <c r="DZ19" s="279"/>
      <c r="EA19" s="279"/>
      <c r="EB19" s="285"/>
    </row>
    <row r="20" spans="1:132" s="286" customFormat="1" ht="12" customHeight="1" x14ac:dyDescent="0.15">
      <c r="A20" s="264">
        <v>65</v>
      </c>
      <c r="B20" s="281" t="s">
        <v>87</v>
      </c>
      <c r="C20" s="264" t="s">
        <v>211</v>
      </c>
      <c r="D20" s="264" t="s">
        <v>49</v>
      </c>
      <c r="E20" s="264" t="s">
        <v>151</v>
      </c>
      <c r="F20" s="264" t="s">
        <v>232</v>
      </c>
      <c r="G20" s="264" t="s">
        <v>235</v>
      </c>
      <c r="H20" s="13">
        <v>360</v>
      </c>
      <c r="I20" s="265">
        <v>12.22</v>
      </c>
      <c r="J20" s="265">
        <v>3.4000000000000002E-2</v>
      </c>
      <c r="K20" s="265">
        <v>0.25900000000000001</v>
      </c>
      <c r="L20" s="13">
        <v>34.5</v>
      </c>
      <c r="M20" s="12">
        <v>17</v>
      </c>
      <c r="N20" s="13">
        <v>31.1</v>
      </c>
      <c r="O20" s="265">
        <v>1.238</v>
      </c>
      <c r="P20" s="265">
        <v>0.04</v>
      </c>
      <c r="Q20" s="265">
        <v>0.19900000000000001</v>
      </c>
      <c r="R20" s="13">
        <v>4.2</v>
      </c>
      <c r="S20" s="12">
        <v>1638</v>
      </c>
      <c r="T20" s="13">
        <v>1.1000000000000001</v>
      </c>
      <c r="U20" s="13">
        <v>5</v>
      </c>
      <c r="V20" s="12">
        <v>30</v>
      </c>
      <c r="W20" s="13">
        <v>38.6</v>
      </c>
      <c r="X20" s="265">
        <v>1.802</v>
      </c>
      <c r="Y20" s="265">
        <v>4.7E-2</v>
      </c>
      <c r="Z20" s="265">
        <v>0.19900000000000001</v>
      </c>
      <c r="AA20" s="13">
        <v>12.5</v>
      </c>
      <c r="AB20" s="12">
        <v>2532</v>
      </c>
      <c r="AC20" s="13">
        <v>0.7</v>
      </c>
      <c r="AD20" s="13">
        <v>12.4</v>
      </c>
      <c r="AE20" s="12">
        <v>18</v>
      </c>
      <c r="AF20" s="13">
        <v>24.6</v>
      </c>
      <c r="AG20" s="265">
        <v>2.1429999999999998</v>
      </c>
      <c r="AH20" s="265">
        <v>8.6999999999999994E-2</v>
      </c>
      <c r="AI20" s="13">
        <v>0</v>
      </c>
      <c r="AJ20" s="12">
        <v>18</v>
      </c>
      <c r="AK20" s="13">
        <v>335.4</v>
      </c>
      <c r="AL20" s="265">
        <v>10.077999999999999</v>
      </c>
      <c r="AM20" s="265">
        <v>0.03</v>
      </c>
      <c r="AN20" s="13">
        <v>34.5</v>
      </c>
      <c r="AO20" s="308"/>
      <c r="AP20" s="308"/>
      <c r="AQ20" s="308"/>
      <c r="AR20" s="308"/>
      <c r="AS20" s="12">
        <f>Table1[[#This Row],[Object_A_._head_time]]+Table1[[#This Row],[Object_B_._head_time]]</f>
        <v>69.7</v>
      </c>
      <c r="AT20" s="282"/>
      <c r="AU20" s="282"/>
      <c r="AV20" s="283"/>
      <c r="AW20" s="282"/>
      <c r="AX20" s="308">
        <f>(Table1[[#This Row],[Object_A_._head_time]]/(Table1[[#This Row],[Object_A_._head_time]]+Table1[[#This Row],[Object_B_._head_time]]))</f>
        <v>0.44619799139167865</v>
      </c>
      <c r="AY20" s="264" t="s">
        <v>486</v>
      </c>
      <c r="AZ20" s="264" t="s">
        <v>476</v>
      </c>
      <c r="BA20" s="12" t="s">
        <v>473</v>
      </c>
      <c r="BB20" s="12">
        <v>76</v>
      </c>
      <c r="BC20" s="12">
        <v>2.5333333333333332</v>
      </c>
      <c r="BD20" s="12" t="s">
        <v>477</v>
      </c>
      <c r="BE20" s="284">
        <v>8</v>
      </c>
      <c r="BF20" s="12"/>
      <c r="BG20" s="279"/>
      <c r="BH20" s="279"/>
      <c r="BI20" s="279"/>
      <c r="BJ20" s="279"/>
      <c r="BK20" s="279"/>
      <c r="BL20" s="279"/>
      <c r="BM20" s="279"/>
      <c r="BN20" s="279"/>
      <c r="BO20" s="279"/>
      <c r="BP20" s="279"/>
      <c r="BQ20" s="279"/>
      <c r="BR20" s="279"/>
      <c r="BS20" s="279"/>
      <c r="BT20" s="279"/>
      <c r="BU20" s="279"/>
      <c r="BV20" s="279"/>
      <c r="BW20" s="279"/>
      <c r="BX20" s="279"/>
      <c r="BY20" s="279"/>
      <c r="BZ20" s="279"/>
      <c r="CA20" s="279"/>
      <c r="CB20" s="279"/>
      <c r="CC20" s="279"/>
      <c r="CD20" s="279"/>
      <c r="CE20" s="279"/>
      <c r="CF20" s="279"/>
      <c r="CG20" s="279"/>
      <c r="CH20" s="279"/>
      <c r="CI20" s="279"/>
      <c r="CJ20" s="279"/>
      <c r="CK20" s="279"/>
      <c r="CL20" s="279"/>
      <c r="CM20" s="279"/>
      <c r="CN20" s="279"/>
      <c r="CO20" s="279"/>
      <c r="CP20" s="279"/>
      <c r="CQ20" s="279"/>
      <c r="CR20" s="279"/>
      <c r="CS20" s="279"/>
      <c r="CT20" s="279"/>
      <c r="CU20" s="279"/>
      <c r="CV20" s="279"/>
      <c r="CW20" s="279"/>
      <c r="CX20" s="279"/>
      <c r="CY20" s="279"/>
      <c r="CZ20" s="279"/>
      <c r="DA20" s="279"/>
      <c r="DB20" s="279"/>
      <c r="DC20" s="279"/>
      <c r="DD20" s="279"/>
      <c r="DE20" s="279"/>
      <c r="DF20" s="279"/>
      <c r="DG20" s="279"/>
      <c r="DH20" s="279"/>
      <c r="DI20" s="279"/>
      <c r="DJ20" s="279"/>
      <c r="DK20" s="279"/>
      <c r="DL20" s="279"/>
      <c r="DM20" s="279"/>
      <c r="DN20" s="279"/>
      <c r="DO20" s="279"/>
      <c r="DP20" s="279"/>
      <c r="DQ20" s="279"/>
      <c r="DR20" s="279"/>
      <c r="DS20" s="279"/>
      <c r="DT20" s="279"/>
      <c r="DU20" s="279"/>
      <c r="DV20" s="279"/>
      <c r="DW20" s="279"/>
      <c r="DX20" s="279"/>
      <c r="DY20" s="279"/>
      <c r="DZ20" s="279"/>
      <c r="EA20" s="279"/>
      <c r="EB20" s="285"/>
    </row>
    <row r="21" spans="1:132" s="286" customFormat="1" ht="12" customHeight="1" x14ac:dyDescent="0.15">
      <c r="A21" s="264">
        <v>66</v>
      </c>
      <c r="B21" s="281" t="s">
        <v>89</v>
      </c>
      <c r="C21" s="264" t="s">
        <v>211</v>
      </c>
      <c r="D21" s="264" t="s">
        <v>53</v>
      </c>
      <c r="E21" s="264" t="s">
        <v>151</v>
      </c>
      <c r="F21" s="264" t="s">
        <v>232</v>
      </c>
      <c r="G21" s="264" t="s">
        <v>236</v>
      </c>
      <c r="H21" s="13">
        <v>360</v>
      </c>
      <c r="I21" s="265">
        <v>15.667</v>
      </c>
      <c r="J21" s="265">
        <v>4.3999999999999997E-2</v>
      </c>
      <c r="K21" s="265">
        <v>0.29599999999999999</v>
      </c>
      <c r="L21" s="13">
        <v>37.5</v>
      </c>
      <c r="M21" s="12">
        <v>18</v>
      </c>
      <c r="N21" s="13">
        <v>15.4</v>
      </c>
      <c r="O21" s="265">
        <v>0.92400000000000004</v>
      </c>
      <c r="P21" s="265">
        <v>0.06</v>
      </c>
      <c r="Q21" s="265">
        <v>0.25700000000000001</v>
      </c>
      <c r="R21" s="13">
        <v>8.9</v>
      </c>
      <c r="S21" s="12">
        <v>1222</v>
      </c>
      <c r="T21" s="13">
        <v>0</v>
      </c>
      <c r="U21" s="13">
        <v>9.6999999999999993</v>
      </c>
      <c r="V21" s="12">
        <v>37</v>
      </c>
      <c r="W21" s="13">
        <v>30.9</v>
      </c>
      <c r="X21" s="265">
        <v>1.4990000000000001</v>
      </c>
      <c r="Y21" s="265">
        <v>4.8000000000000001E-2</v>
      </c>
      <c r="Z21" s="265">
        <v>0.191</v>
      </c>
      <c r="AA21" s="13">
        <v>12.6</v>
      </c>
      <c r="AB21" s="12">
        <v>2762</v>
      </c>
      <c r="AC21" s="13">
        <v>0.7</v>
      </c>
      <c r="AD21" s="13">
        <v>18.3</v>
      </c>
      <c r="AE21" s="12">
        <v>9</v>
      </c>
      <c r="AF21" s="13">
        <v>12.7</v>
      </c>
      <c r="AG21" s="265">
        <v>1.671</v>
      </c>
      <c r="AH21" s="265">
        <v>0.13200000000000001</v>
      </c>
      <c r="AI21" s="13">
        <v>0</v>
      </c>
      <c r="AJ21" s="12">
        <v>10</v>
      </c>
      <c r="AK21" s="13">
        <v>347.3</v>
      </c>
      <c r="AL21" s="265">
        <v>13.996</v>
      </c>
      <c r="AM21" s="265">
        <v>0.04</v>
      </c>
      <c r="AN21" s="13">
        <v>37.5</v>
      </c>
      <c r="AO21" s="308"/>
      <c r="AP21" s="308"/>
      <c r="AQ21" s="308"/>
      <c r="AR21" s="308"/>
      <c r="AS21" s="12">
        <f>Table1[[#This Row],[Object_A_._head_time]]+Table1[[#This Row],[Object_B_._head_time]]</f>
        <v>46.3</v>
      </c>
      <c r="AT21" s="282"/>
      <c r="AU21" s="282"/>
      <c r="AV21" s="283"/>
      <c r="AW21" s="282"/>
      <c r="AX21" s="308">
        <f>(Table1[[#This Row],[Object_A_._head_time]]/(Table1[[#This Row],[Object_A_._head_time]]+Table1[[#This Row],[Object_B_._head_time]]))</f>
        <v>0.33261339092872572</v>
      </c>
      <c r="AY21" s="264" t="s">
        <v>487</v>
      </c>
      <c r="AZ21" s="264" t="s">
        <v>472</v>
      </c>
      <c r="BA21" s="12" t="s">
        <v>473</v>
      </c>
      <c r="BB21" s="12">
        <v>76</v>
      </c>
      <c r="BC21" s="12">
        <v>2.5333333333333332</v>
      </c>
      <c r="BD21" s="12" t="s">
        <v>474</v>
      </c>
      <c r="BE21" s="284">
        <v>3</v>
      </c>
      <c r="BF21" s="12"/>
      <c r="BG21" s="279"/>
      <c r="BH21" s="279"/>
      <c r="BI21" s="279"/>
      <c r="BJ21" s="279"/>
      <c r="BK21" s="279"/>
      <c r="BL21" s="279"/>
      <c r="BM21" s="279"/>
      <c r="BN21" s="279"/>
      <c r="BO21" s="279"/>
      <c r="BP21" s="279"/>
      <c r="BQ21" s="279"/>
      <c r="BR21" s="279"/>
      <c r="BS21" s="279"/>
      <c r="BT21" s="279"/>
      <c r="BU21" s="279"/>
      <c r="BV21" s="279"/>
      <c r="BW21" s="279"/>
      <c r="BX21" s="279"/>
      <c r="BY21" s="279"/>
      <c r="BZ21" s="279"/>
      <c r="CA21" s="279"/>
      <c r="CB21" s="279"/>
      <c r="CC21" s="279"/>
      <c r="CD21" s="279"/>
      <c r="CE21" s="279"/>
      <c r="CF21" s="279"/>
      <c r="CG21" s="279"/>
      <c r="CH21" s="279"/>
      <c r="CI21" s="279"/>
      <c r="CJ21" s="279"/>
      <c r="CK21" s="279"/>
      <c r="CL21" s="279"/>
      <c r="CM21" s="279"/>
      <c r="CN21" s="279"/>
      <c r="CO21" s="279"/>
      <c r="CP21" s="279"/>
      <c r="CQ21" s="279"/>
      <c r="CR21" s="279"/>
      <c r="CS21" s="279"/>
      <c r="CT21" s="279"/>
      <c r="CU21" s="279"/>
      <c r="CV21" s="279"/>
      <c r="CW21" s="279"/>
      <c r="CX21" s="279"/>
      <c r="CY21" s="279"/>
      <c r="CZ21" s="279"/>
      <c r="DA21" s="279"/>
      <c r="DB21" s="279"/>
      <c r="DC21" s="279"/>
      <c r="DD21" s="279"/>
      <c r="DE21" s="279"/>
      <c r="DF21" s="279"/>
      <c r="DG21" s="279"/>
      <c r="DH21" s="279"/>
      <c r="DI21" s="279"/>
      <c r="DJ21" s="279"/>
      <c r="DK21" s="279"/>
      <c r="DL21" s="279"/>
      <c r="DM21" s="279"/>
      <c r="DN21" s="279"/>
      <c r="DO21" s="279"/>
      <c r="DP21" s="279"/>
      <c r="DQ21" s="279"/>
      <c r="DR21" s="279"/>
      <c r="DS21" s="279"/>
      <c r="DT21" s="279"/>
      <c r="DU21" s="279"/>
      <c r="DV21" s="279"/>
      <c r="DW21" s="279"/>
      <c r="DX21" s="279"/>
      <c r="DY21" s="279"/>
      <c r="DZ21" s="279"/>
      <c r="EA21" s="279"/>
      <c r="EB21" s="285"/>
    </row>
    <row r="22" spans="1:132" s="286" customFormat="1" ht="12" customHeight="1" x14ac:dyDescent="0.15">
      <c r="A22" s="264">
        <v>67</v>
      </c>
      <c r="B22" s="281" t="s">
        <v>91</v>
      </c>
      <c r="C22" s="264" t="s">
        <v>211</v>
      </c>
      <c r="D22" s="264" t="s">
        <v>41</v>
      </c>
      <c r="E22" s="264" t="s">
        <v>151</v>
      </c>
      <c r="F22" s="264" t="s">
        <v>237</v>
      </c>
      <c r="G22" s="264" t="s">
        <v>238</v>
      </c>
      <c r="H22" s="13">
        <v>360</v>
      </c>
      <c r="I22" s="265">
        <v>17.591999999999999</v>
      </c>
      <c r="J22" s="265">
        <v>4.9000000000000002E-2</v>
      </c>
      <c r="K22" s="265">
        <v>0.32100000000000001</v>
      </c>
      <c r="L22" s="13">
        <v>7.7</v>
      </c>
      <c r="M22" s="12">
        <v>18</v>
      </c>
      <c r="N22" s="13">
        <v>12.3</v>
      </c>
      <c r="O22" s="265">
        <v>0.47099999999999997</v>
      </c>
      <c r="P22" s="265">
        <v>3.7999999999999999E-2</v>
      </c>
      <c r="Q22" s="265">
        <v>0.2</v>
      </c>
      <c r="R22" s="13">
        <v>7.5</v>
      </c>
      <c r="S22" s="12">
        <v>897</v>
      </c>
      <c r="T22" s="13">
        <v>0</v>
      </c>
      <c r="U22" s="13">
        <v>11.6</v>
      </c>
      <c r="V22" s="12">
        <v>16</v>
      </c>
      <c r="W22" s="13">
        <v>11.5</v>
      </c>
      <c r="X22" s="265">
        <v>0.51700000000000002</v>
      </c>
      <c r="Y22" s="265">
        <v>4.4999999999999998E-2</v>
      </c>
      <c r="Z22" s="265">
        <v>0.184</v>
      </c>
      <c r="AA22" s="13">
        <v>6.6</v>
      </c>
      <c r="AB22" s="12">
        <v>735</v>
      </c>
      <c r="AC22" s="13">
        <v>0</v>
      </c>
      <c r="AD22" s="13">
        <v>11.5</v>
      </c>
      <c r="AE22" s="12">
        <v>2</v>
      </c>
      <c r="AF22" s="13">
        <v>2.4</v>
      </c>
      <c r="AG22" s="265">
        <v>0.32400000000000001</v>
      </c>
      <c r="AH22" s="265">
        <v>0.13200000000000001</v>
      </c>
      <c r="AI22" s="13">
        <v>0</v>
      </c>
      <c r="AJ22" s="12">
        <v>3</v>
      </c>
      <c r="AK22" s="13">
        <v>357.6</v>
      </c>
      <c r="AL22" s="265">
        <v>17.266999999999999</v>
      </c>
      <c r="AM22" s="265">
        <v>4.8000000000000001E-2</v>
      </c>
      <c r="AN22" s="13">
        <v>7.7</v>
      </c>
      <c r="AO22" s="308"/>
      <c r="AP22" s="308"/>
      <c r="AQ22" s="308"/>
      <c r="AR22" s="308"/>
      <c r="AS22" s="12">
        <f>Table1[[#This Row],[Object_A_._head_time]]+Table1[[#This Row],[Object_B_._head_time]]</f>
        <v>23.8</v>
      </c>
      <c r="AT22" s="282"/>
      <c r="AU22" s="282"/>
      <c r="AV22" s="283"/>
      <c r="AW22" s="282"/>
      <c r="AX22" s="308">
        <f>(Table1[[#This Row],[Object_A_._head_time]]/(Table1[[#This Row],[Object_A_._head_time]]+Table1[[#This Row],[Object_B_._head_time]]))</f>
        <v>0.51680672268907568</v>
      </c>
      <c r="AY22" s="264" t="s">
        <v>487</v>
      </c>
      <c r="AZ22" s="264" t="s">
        <v>476</v>
      </c>
      <c r="BA22" s="12" t="s">
        <v>475</v>
      </c>
      <c r="BB22" s="12">
        <v>76</v>
      </c>
      <c r="BC22" s="12">
        <v>2.5333333333333332</v>
      </c>
      <c r="BD22" s="12" t="s">
        <v>474</v>
      </c>
      <c r="BE22" s="284">
        <v>5</v>
      </c>
      <c r="BF22" s="12"/>
      <c r="BG22" s="279"/>
      <c r="BH22" s="279"/>
      <c r="BI22" s="279"/>
      <c r="BJ22" s="279"/>
      <c r="BK22" s="279"/>
      <c r="BL22" s="279"/>
      <c r="BM22" s="279"/>
      <c r="BN22" s="279"/>
      <c r="BO22" s="279"/>
      <c r="BP22" s="279"/>
      <c r="BQ22" s="279"/>
      <c r="BR22" s="279"/>
      <c r="BS22" s="279"/>
      <c r="BT22" s="279"/>
      <c r="BU22" s="279"/>
      <c r="BV22" s="279"/>
      <c r="BW22" s="279"/>
      <c r="BX22" s="279"/>
      <c r="BY22" s="279"/>
      <c r="BZ22" s="279"/>
      <c r="CA22" s="279"/>
      <c r="CB22" s="279"/>
      <c r="CC22" s="279"/>
      <c r="CD22" s="279"/>
      <c r="CE22" s="279"/>
      <c r="CF22" s="279"/>
      <c r="CG22" s="279"/>
      <c r="CH22" s="279"/>
      <c r="CI22" s="279"/>
      <c r="CJ22" s="279"/>
      <c r="CK22" s="279"/>
      <c r="CL22" s="279"/>
      <c r="CM22" s="279"/>
      <c r="CN22" s="279"/>
      <c r="CO22" s="279"/>
      <c r="CP22" s="279"/>
      <c r="CQ22" s="279"/>
      <c r="CR22" s="279"/>
      <c r="CS22" s="279"/>
      <c r="CT22" s="279"/>
      <c r="CU22" s="279"/>
      <c r="CV22" s="279"/>
      <c r="CW22" s="279"/>
      <c r="CX22" s="279"/>
      <c r="CY22" s="279"/>
      <c r="CZ22" s="279"/>
      <c r="DA22" s="279"/>
      <c r="DB22" s="279"/>
      <c r="DC22" s="279"/>
      <c r="DD22" s="279"/>
      <c r="DE22" s="279"/>
      <c r="DF22" s="279"/>
      <c r="DG22" s="279"/>
      <c r="DH22" s="279"/>
      <c r="DI22" s="279"/>
      <c r="DJ22" s="279"/>
      <c r="DK22" s="279"/>
      <c r="DL22" s="279"/>
      <c r="DM22" s="279"/>
      <c r="DN22" s="279"/>
      <c r="DO22" s="279"/>
      <c r="DP22" s="279"/>
      <c r="DQ22" s="279"/>
      <c r="DR22" s="279"/>
      <c r="DS22" s="279"/>
      <c r="DT22" s="279"/>
      <c r="DU22" s="279"/>
      <c r="DV22" s="279"/>
      <c r="DW22" s="279"/>
      <c r="DX22" s="279"/>
      <c r="DY22" s="279"/>
      <c r="DZ22" s="279"/>
      <c r="EA22" s="279"/>
      <c r="EB22" s="285"/>
    </row>
    <row r="23" spans="1:132" s="292" customFormat="1" ht="12" customHeight="1" x14ac:dyDescent="0.15">
      <c r="A23" s="266">
        <v>68</v>
      </c>
      <c r="B23" s="287" t="s">
        <v>94</v>
      </c>
      <c r="C23" s="266" t="s">
        <v>211</v>
      </c>
      <c r="D23" s="266" t="s">
        <v>46</v>
      </c>
      <c r="E23" s="266" t="s">
        <v>151</v>
      </c>
      <c r="F23" s="266" t="s">
        <v>237</v>
      </c>
      <c r="G23" s="266" t="s">
        <v>239</v>
      </c>
      <c r="H23" s="268">
        <v>360</v>
      </c>
      <c r="I23" s="288">
        <v>14.509</v>
      </c>
      <c r="J23" s="288">
        <v>0.04</v>
      </c>
      <c r="K23" s="288">
        <v>0.27400000000000002</v>
      </c>
      <c r="L23" s="268">
        <v>50.2</v>
      </c>
      <c r="M23" s="20">
        <v>29</v>
      </c>
      <c r="N23" s="268">
        <v>60.6</v>
      </c>
      <c r="O23" s="288">
        <v>1.157</v>
      </c>
      <c r="P23" s="288">
        <v>1.9E-2</v>
      </c>
      <c r="Q23" s="288">
        <v>0.19700000000000001</v>
      </c>
      <c r="R23" s="268">
        <v>32.4</v>
      </c>
      <c r="S23" s="20">
        <v>1823</v>
      </c>
      <c r="T23" s="268">
        <v>27.5</v>
      </c>
      <c r="U23" s="268">
        <v>55.1</v>
      </c>
      <c r="V23" s="20">
        <v>19</v>
      </c>
      <c r="W23" s="268">
        <v>14.4</v>
      </c>
      <c r="X23" s="288">
        <v>0.75900000000000001</v>
      </c>
      <c r="Y23" s="288">
        <v>5.2999999999999999E-2</v>
      </c>
      <c r="Z23" s="288">
        <v>0.215</v>
      </c>
      <c r="AA23" s="268">
        <v>8</v>
      </c>
      <c r="AB23" s="20">
        <v>1018</v>
      </c>
      <c r="AC23" s="268">
        <v>0</v>
      </c>
      <c r="AD23" s="268">
        <v>10.8</v>
      </c>
      <c r="AE23" s="20">
        <v>8</v>
      </c>
      <c r="AF23" s="268">
        <v>13</v>
      </c>
      <c r="AG23" s="288">
        <v>1.2789999999999999</v>
      </c>
      <c r="AH23" s="288">
        <v>9.8000000000000004E-2</v>
      </c>
      <c r="AI23" s="268">
        <v>0</v>
      </c>
      <c r="AJ23" s="20">
        <v>9</v>
      </c>
      <c r="AK23" s="268">
        <v>347</v>
      </c>
      <c r="AL23" s="288">
        <v>13.23</v>
      </c>
      <c r="AM23" s="288">
        <v>3.7999999999999999E-2</v>
      </c>
      <c r="AN23" s="268">
        <v>50.2</v>
      </c>
      <c r="AO23" s="311"/>
      <c r="AP23" s="311"/>
      <c r="AQ23" s="311"/>
      <c r="AR23" s="311"/>
      <c r="AS23" s="12">
        <f>Table1[[#This Row],[Object_A_._head_time]]+Table1[[#This Row],[Object_B_._head_time]]</f>
        <v>75</v>
      </c>
      <c r="AT23" s="20"/>
      <c r="AU23" s="20"/>
      <c r="AV23" s="268"/>
      <c r="AW23" s="20"/>
      <c r="AX23" s="311">
        <f>(Table1[[#This Row],[Object_A_._head_time]]/(Table1[[#This Row],[Object_A_._head_time]]+Table1[[#This Row],[Object_B_._head_time]]))</f>
        <v>0.80800000000000005</v>
      </c>
      <c r="AY23" s="266" t="s">
        <v>487</v>
      </c>
      <c r="AZ23" s="266" t="s">
        <v>472</v>
      </c>
      <c r="BA23" s="266" t="s">
        <v>475</v>
      </c>
      <c r="BB23" s="266">
        <v>81</v>
      </c>
      <c r="BC23" s="268">
        <v>2.7</v>
      </c>
      <c r="BD23" s="20"/>
      <c r="BE23" s="289"/>
      <c r="BF23" s="20"/>
      <c r="BG23" s="290"/>
      <c r="BH23" s="290"/>
      <c r="BI23" s="290"/>
      <c r="BJ23" s="290"/>
      <c r="BK23" s="290"/>
      <c r="BL23" s="290"/>
      <c r="BM23" s="290"/>
      <c r="BN23" s="290"/>
      <c r="BO23" s="290"/>
      <c r="BP23" s="290"/>
      <c r="BQ23" s="290"/>
      <c r="BR23" s="290"/>
      <c r="BS23" s="290"/>
      <c r="BT23" s="290"/>
      <c r="BU23" s="290"/>
      <c r="BV23" s="290"/>
      <c r="BW23" s="290"/>
      <c r="BX23" s="290"/>
      <c r="BY23" s="290"/>
      <c r="BZ23" s="290"/>
      <c r="CA23" s="290"/>
      <c r="CB23" s="290"/>
      <c r="CC23" s="290"/>
      <c r="CD23" s="290"/>
      <c r="CE23" s="290"/>
      <c r="CF23" s="290"/>
      <c r="CG23" s="290"/>
      <c r="CH23" s="290"/>
      <c r="CI23" s="290"/>
      <c r="CJ23" s="290"/>
      <c r="CK23" s="290"/>
      <c r="CL23" s="290"/>
      <c r="CM23" s="290"/>
      <c r="CN23" s="290"/>
      <c r="CO23" s="290"/>
      <c r="CP23" s="290"/>
      <c r="CQ23" s="290"/>
      <c r="CR23" s="290"/>
      <c r="CS23" s="290"/>
      <c r="CT23" s="290"/>
      <c r="CU23" s="290"/>
      <c r="CV23" s="290"/>
      <c r="CW23" s="290"/>
      <c r="CX23" s="290"/>
      <c r="CY23" s="290"/>
      <c r="CZ23" s="290"/>
      <c r="DA23" s="290"/>
      <c r="DB23" s="290"/>
      <c r="DC23" s="290"/>
      <c r="DD23" s="290"/>
      <c r="DE23" s="290"/>
      <c r="DF23" s="290"/>
      <c r="DG23" s="290"/>
      <c r="DH23" s="290"/>
      <c r="DI23" s="290"/>
      <c r="DJ23" s="290"/>
      <c r="DK23" s="290"/>
      <c r="DL23" s="290"/>
      <c r="DM23" s="290"/>
      <c r="DN23" s="290"/>
      <c r="DO23" s="290"/>
      <c r="DP23" s="290"/>
      <c r="DQ23" s="290"/>
      <c r="DR23" s="290"/>
      <c r="DS23" s="290"/>
      <c r="DT23" s="290"/>
      <c r="DU23" s="290"/>
      <c r="DV23" s="290"/>
      <c r="DW23" s="290"/>
      <c r="DX23" s="290"/>
      <c r="DY23" s="290"/>
      <c r="DZ23" s="290"/>
      <c r="EA23" s="290"/>
      <c r="EB23" s="291"/>
    </row>
    <row r="24" spans="1:132" s="286" customFormat="1" ht="12" customHeight="1" x14ac:dyDescent="0.15">
      <c r="A24" s="264">
        <v>69</v>
      </c>
      <c r="B24" s="281" t="s">
        <v>96</v>
      </c>
      <c r="C24" s="264" t="s">
        <v>211</v>
      </c>
      <c r="D24" s="264" t="s">
        <v>49</v>
      </c>
      <c r="E24" s="264" t="s">
        <v>151</v>
      </c>
      <c r="F24" s="264" t="s">
        <v>237</v>
      </c>
      <c r="G24" s="264" t="s">
        <v>240</v>
      </c>
      <c r="H24" s="13">
        <v>360</v>
      </c>
      <c r="I24" s="265">
        <v>13.061999999999999</v>
      </c>
      <c r="J24" s="265">
        <v>3.5999999999999997E-2</v>
      </c>
      <c r="K24" s="265">
        <v>0.21099999999999999</v>
      </c>
      <c r="L24" s="13">
        <v>27.1</v>
      </c>
      <c r="M24" s="12">
        <v>17</v>
      </c>
      <c r="N24" s="13">
        <v>42.1</v>
      </c>
      <c r="O24" s="265">
        <v>1.4470000000000001</v>
      </c>
      <c r="P24" s="265">
        <v>3.4000000000000002E-2</v>
      </c>
      <c r="Q24" s="265">
        <v>0.17699999999999999</v>
      </c>
      <c r="R24" s="13">
        <v>9</v>
      </c>
      <c r="S24" s="12">
        <v>2700</v>
      </c>
      <c r="T24" s="13">
        <v>0</v>
      </c>
      <c r="U24" s="13">
        <v>6.1</v>
      </c>
      <c r="V24" s="12">
        <v>28</v>
      </c>
      <c r="W24" s="13">
        <v>57.7</v>
      </c>
      <c r="X24" s="265">
        <v>2.3660000000000001</v>
      </c>
      <c r="Y24" s="265">
        <v>4.1000000000000002E-2</v>
      </c>
      <c r="Z24" s="265">
        <v>0.19600000000000001</v>
      </c>
      <c r="AA24" s="13">
        <v>20</v>
      </c>
      <c r="AB24" s="12">
        <v>3748</v>
      </c>
      <c r="AC24" s="13">
        <v>0</v>
      </c>
      <c r="AD24" s="13">
        <v>17.8</v>
      </c>
      <c r="AE24" s="12">
        <v>20</v>
      </c>
      <c r="AF24" s="13">
        <v>46.1</v>
      </c>
      <c r="AG24" s="265">
        <v>3.165</v>
      </c>
      <c r="AH24" s="265">
        <v>6.9000000000000006E-2</v>
      </c>
      <c r="AI24" s="13">
        <v>0</v>
      </c>
      <c r="AJ24" s="12">
        <v>21</v>
      </c>
      <c r="AK24" s="13">
        <v>313.89999999999998</v>
      </c>
      <c r="AL24" s="265">
        <v>9.8970000000000002</v>
      </c>
      <c r="AM24" s="265">
        <v>3.2000000000000001E-2</v>
      </c>
      <c r="AN24" s="13">
        <v>27.1</v>
      </c>
      <c r="AO24" s="308"/>
      <c r="AP24" s="308"/>
      <c r="AQ24" s="308"/>
      <c r="AR24" s="308"/>
      <c r="AS24" s="12">
        <f>Table1[[#This Row],[Object_A_._head_time]]+Table1[[#This Row],[Object_B_._head_time]]</f>
        <v>99.800000000000011</v>
      </c>
      <c r="AT24" s="282"/>
      <c r="AU24" s="282"/>
      <c r="AV24" s="283"/>
      <c r="AW24" s="282"/>
      <c r="AX24" s="308">
        <f>(Table1[[#This Row],[Object_A_._head_time]]/(Table1[[#This Row],[Object_A_._head_time]]+Table1[[#This Row],[Object_B_._head_time]]))</f>
        <v>0.42184368737474948</v>
      </c>
      <c r="AY24" s="264" t="s">
        <v>486</v>
      </c>
      <c r="AZ24" s="264" t="s">
        <v>476</v>
      </c>
      <c r="BA24" s="12" t="s">
        <v>475</v>
      </c>
      <c r="BB24" s="12">
        <v>68</v>
      </c>
      <c r="BC24" s="12">
        <v>2.2666666666666666</v>
      </c>
      <c r="BD24" s="12" t="s">
        <v>477</v>
      </c>
      <c r="BE24" s="284">
        <v>6</v>
      </c>
      <c r="BF24" s="12"/>
      <c r="BG24" s="279"/>
      <c r="BH24" s="279"/>
      <c r="BI24" s="279"/>
      <c r="BJ24" s="279"/>
      <c r="BK24" s="279"/>
      <c r="BL24" s="279"/>
      <c r="BM24" s="279"/>
      <c r="BN24" s="279"/>
      <c r="BO24" s="279"/>
      <c r="BP24" s="279"/>
      <c r="BQ24" s="279"/>
      <c r="BR24" s="279"/>
      <c r="BS24" s="279"/>
      <c r="BT24" s="279"/>
      <c r="BU24" s="279"/>
      <c r="BV24" s="279"/>
      <c r="BW24" s="279"/>
      <c r="BX24" s="279"/>
      <c r="BY24" s="279"/>
      <c r="BZ24" s="279"/>
      <c r="CA24" s="279"/>
      <c r="CB24" s="279"/>
      <c r="CC24" s="279"/>
      <c r="CD24" s="279"/>
      <c r="CE24" s="279"/>
      <c r="CF24" s="279"/>
      <c r="CG24" s="279"/>
      <c r="CH24" s="279"/>
      <c r="CI24" s="279"/>
      <c r="CJ24" s="279"/>
      <c r="CK24" s="279"/>
      <c r="CL24" s="279"/>
      <c r="CM24" s="279"/>
      <c r="CN24" s="279"/>
      <c r="CO24" s="279"/>
      <c r="CP24" s="279"/>
      <c r="CQ24" s="279"/>
      <c r="CR24" s="279"/>
      <c r="CS24" s="279"/>
      <c r="CT24" s="279"/>
      <c r="CU24" s="279"/>
      <c r="CV24" s="279"/>
      <c r="CW24" s="279"/>
      <c r="CX24" s="279"/>
      <c r="CY24" s="279"/>
      <c r="CZ24" s="279"/>
      <c r="DA24" s="279"/>
      <c r="DB24" s="279"/>
      <c r="DC24" s="279"/>
      <c r="DD24" s="279"/>
      <c r="DE24" s="279"/>
      <c r="DF24" s="279"/>
      <c r="DG24" s="279"/>
      <c r="DH24" s="279"/>
      <c r="DI24" s="279"/>
      <c r="DJ24" s="279"/>
      <c r="DK24" s="279"/>
      <c r="DL24" s="279"/>
      <c r="DM24" s="279"/>
      <c r="DN24" s="279"/>
      <c r="DO24" s="279"/>
      <c r="DP24" s="279"/>
      <c r="DQ24" s="279"/>
      <c r="DR24" s="279"/>
      <c r="DS24" s="279"/>
      <c r="DT24" s="279"/>
      <c r="DU24" s="279"/>
      <c r="DV24" s="279"/>
      <c r="DW24" s="279"/>
      <c r="DX24" s="279"/>
      <c r="DY24" s="279"/>
      <c r="DZ24" s="279"/>
      <c r="EA24" s="279"/>
      <c r="EB24" s="285"/>
    </row>
    <row r="25" spans="1:132" s="286" customFormat="1" ht="12" customHeight="1" x14ac:dyDescent="0.15">
      <c r="A25" s="264">
        <v>70</v>
      </c>
      <c r="B25" s="281" t="s">
        <v>98</v>
      </c>
      <c r="C25" s="264" t="s">
        <v>211</v>
      </c>
      <c r="D25" s="264" t="s">
        <v>53</v>
      </c>
      <c r="E25" s="264" t="s">
        <v>151</v>
      </c>
      <c r="F25" s="264" t="s">
        <v>237</v>
      </c>
      <c r="G25" s="264" t="s">
        <v>241</v>
      </c>
      <c r="H25" s="13">
        <v>360</v>
      </c>
      <c r="I25" s="265">
        <v>19.472999999999999</v>
      </c>
      <c r="J25" s="265">
        <v>5.3999999999999999E-2</v>
      </c>
      <c r="K25" s="265">
        <v>0.317</v>
      </c>
      <c r="L25" s="13">
        <v>14.7</v>
      </c>
      <c r="M25" s="12">
        <v>21</v>
      </c>
      <c r="N25" s="13">
        <v>23</v>
      </c>
      <c r="O25" s="265">
        <v>1.5580000000000001</v>
      </c>
      <c r="P25" s="265">
        <v>6.8000000000000005E-2</v>
      </c>
      <c r="Q25" s="265">
        <v>0.255</v>
      </c>
      <c r="R25" s="13">
        <v>8.9</v>
      </c>
      <c r="S25" s="12">
        <v>2159</v>
      </c>
      <c r="T25" s="13">
        <v>0</v>
      </c>
      <c r="U25" s="13">
        <v>4.3</v>
      </c>
      <c r="V25" s="12">
        <v>27</v>
      </c>
      <c r="W25" s="13">
        <v>34.4</v>
      </c>
      <c r="X25" s="265">
        <v>2.2789999999999999</v>
      </c>
      <c r="Y25" s="265">
        <v>6.6000000000000003E-2</v>
      </c>
      <c r="Z25" s="265">
        <v>0.23699999999999999</v>
      </c>
      <c r="AA25" s="13">
        <v>13.3</v>
      </c>
      <c r="AB25" s="12">
        <v>2661</v>
      </c>
      <c r="AC25" s="13">
        <v>0</v>
      </c>
      <c r="AD25" s="13">
        <v>9.1999999999999993</v>
      </c>
      <c r="AE25" s="12">
        <v>34</v>
      </c>
      <c r="AF25" s="13">
        <v>60.2</v>
      </c>
      <c r="AG25" s="265">
        <v>3.5550000000000002</v>
      </c>
      <c r="AH25" s="265">
        <v>5.8999999999999997E-2</v>
      </c>
      <c r="AI25" s="13">
        <v>3.3</v>
      </c>
      <c r="AJ25" s="12">
        <v>35</v>
      </c>
      <c r="AK25" s="13">
        <v>299.8</v>
      </c>
      <c r="AL25" s="265">
        <v>15.917</v>
      </c>
      <c r="AM25" s="265">
        <v>5.2999999999999999E-2</v>
      </c>
      <c r="AN25" s="13">
        <v>11.3</v>
      </c>
      <c r="AO25" s="308"/>
      <c r="AP25" s="308"/>
      <c r="AQ25" s="308"/>
      <c r="AR25" s="308"/>
      <c r="AS25" s="12">
        <f>Table1[[#This Row],[Object_A_._head_time]]+Table1[[#This Row],[Object_B_._head_time]]</f>
        <v>57.4</v>
      </c>
      <c r="AT25" s="282"/>
      <c r="AU25" s="282"/>
      <c r="AV25" s="283"/>
      <c r="AW25" s="282"/>
      <c r="AX25" s="308">
        <f>(Table1[[#This Row],[Object_A_._head_time]]/(Table1[[#This Row],[Object_A_._head_time]]+Table1[[#This Row],[Object_B_._head_time]]))</f>
        <v>0.40069686411149824</v>
      </c>
      <c r="AY25" s="264" t="s">
        <v>486</v>
      </c>
      <c r="AZ25" s="264" t="s">
        <v>476</v>
      </c>
      <c r="BA25" s="12" t="s">
        <v>475</v>
      </c>
      <c r="BB25" s="12">
        <v>68</v>
      </c>
      <c r="BC25" s="12">
        <v>2.2666666666666666</v>
      </c>
      <c r="BD25" s="12" t="s">
        <v>474</v>
      </c>
      <c r="BE25" s="284">
        <v>5</v>
      </c>
      <c r="BF25" s="12"/>
      <c r="BG25" s="279"/>
      <c r="BH25" s="279"/>
      <c r="BI25" s="279"/>
      <c r="BJ25" s="279"/>
      <c r="BK25" s="279"/>
      <c r="BL25" s="279"/>
      <c r="BM25" s="279"/>
      <c r="BN25" s="279"/>
      <c r="BO25" s="279"/>
      <c r="BP25" s="279"/>
      <c r="BQ25" s="279"/>
      <c r="BR25" s="279"/>
      <c r="BS25" s="279"/>
      <c r="BT25" s="279"/>
      <c r="BU25" s="279"/>
      <c r="BV25" s="279"/>
      <c r="BW25" s="279"/>
      <c r="BX25" s="279"/>
      <c r="BY25" s="279"/>
      <c r="BZ25" s="279"/>
      <c r="CA25" s="279"/>
      <c r="CB25" s="279"/>
      <c r="CC25" s="279"/>
      <c r="CD25" s="279"/>
      <c r="CE25" s="279"/>
      <c r="CF25" s="279"/>
      <c r="CG25" s="279"/>
      <c r="CH25" s="279"/>
      <c r="CI25" s="279"/>
      <c r="CJ25" s="279"/>
      <c r="CK25" s="279"/>
      <c r="CL25" s="279"/>
      <c r="CM25" s="279"/>
      <c r="CN25" s="279"/>
      <c r="CO25" s="279"/>
      <c r="CP25" s="279"/>
      <c r="CQ25" s="279"/>
      <c r="CR25" s="279"/>
      <c r="CS25" s="279"/>
      <c r="CT25" s="279"/>
      <c r="CU25" s="279"/>
      <c r="CV25" s="279"/>
      <c r="CW25" s="279"/>
      <c r="CX25" s="279"/>
      <c r="CY25" s="279"/>
      <c r="CZ25" s="279"/>
      <c r="DA25" s="279"/>
      <c r="DB25" s="279"/>
      <c r="DC25" s="279"/>
      <c r="DD25" s="279"/>
      <c r="DE25" s="279"/>
      <c r="DF25" s="279"/>
      <c r="DG25" s="279"/>
      <c r="DH25" s="279"/>
      <c r="DI25" s="279"/>
      <c r="DJ25" s="279"/>
      <c r="DK25" s="279"/>
      <c r="DL25" s="279"/>
      <c r="DM25" s="279"/>
      <c r="DN25" s="279"/>
      <c r="DO25" s="279"/>
      <c r="DP25" s="279"/>
      <c r="DQ25" s="279"/>
      <c r="DR25" s="279"/>
      <c r="DS25" s="279"/>
      <c r="DT25" s="279"/>
      <c r="DU25" s="279"/>
      <c r="DV25" s="279"/>
      <c r="DW25" s="279"/>
      <c r="DX25" s="279"/>
      <c r="DY25" s="279"/>
      <c r="DZ25" s="279"/>
      <c r="EA25" s="279"/>
      <c r="EB25" s="285"/>
    </row>
    <row r="26" spans="1:132" s="292" customFormat="1" ht="12" customHeight="1" x14ac:dyDescent="0.15">
      <c r="A26" s="266">
        <v>71</v>
      </c>
      <c r="B26" s="287" t="s">
        <v>100</v>
      </c>
      <c r="C26" s="266" t="s">
        <v>211</v>
      </c>
      <c r="D26" s="266" t="s">
        <v>41</v>
      </c>
      <c r="E26" s="266" t="s">
        <v>151</v>
      </c>
      <c r="F26" s="266" t="s">
        <v>242</v>
      </c>
      <c r="G26" s="266" t="s">
        <v>243</v>
      </c>
      <c r="H26" s="268">
        <v>360</v>
      </c>
      <c r="I26" s="288">
        <v>5.6059999999999999</v>
      </c>
      <c r="J26" s="288">
        <v>1.6E-2</v>
      </c>
      <c r="K26" s="288">
        <v>0.22600000000000001</v>
      </c>
      <c r="L26" s="268">
        <v>65.900000000000006</v>
      </c>
      <c r="M26" s="20">
        <v>10</v>
      </c>
      <c r="N26" s="268">
        <v>8.1</v>
      </c>
      <c r="O26" s="288">
        <v>0.49299999999999999</v>
      </c>
      <c r="P26" s="288">
        <v>6.0999999999999999E-2</v>
      </c>
      <c r="Q26" s="288">
        <v>0.16700000000000001</v>
      </c>
      <c r="R26" s="268">
        <v>2.9</v>
      </c>
      <c r="S26" s="20">
        <v>420</v>
      </c>
      <c r="T26" s="268">
        <v>0</v>
      </c>
      <c r="U26" s="268">
        <v>6.7</v>
      </c>
      <c r="V26" s="20">
        <v>28</v>
      </c>
      <c r="W26" s="268">
        <v>52</v>
      </c>
      <c r="X26" s="288">
        <v>0.61899999999999999</v>
      </c>
      <c r="Y26" s="288">
        <v>1.2E-2</v>
      </c>
      <c r="Z26" s="288">
        <v>0.22600000000000001</v>
      </c>
      <c r="AA26" s="268">
        <v>24.5</v>
      </c>
      <c r="AB26" s="20">
        <v>3835</v>
      </c>
      <c r="AC26" s="268">
        <v>2.2999999999999998</v>
      </c>
      <c r="AD26" s="268">
        <v>35.4</v>
      </c>
      <c r="AE26" s="20">
        <v>5</v>
      </c>
      <c r="AF26" s="268">
        <v>8</v>
      </c>
      <c r="AG26" s="288">
        <v>0.61899999999999999</v>
      </c>
      <c r="AH26" s="288">
        <v>7.6999999999999999E-2</v>
      </c>
      <c r="AI26" s="268">
        <v>0</v>
      </c>
      <c r="AJ26" s="20">
        <v>6</v>
      </c>
      <c r="AK26" s="268">
        <v>352</v>
      </c>
      <c r="AL26" s="288">
        <v>4.9870000000000001</v>
      </c>
      <c r="AM26" s="288">
        <v>1.4E-2</v>
      </c>
      <c r="AN26" s="268">
        <v>65.900000000000006</v>
      </c>
      <c r="AO26" s="311"/>
      <c r="AP26" s="311"/>
      <c r="AQ26" s="311"/>
      <c r="AR26" s="311"/>
      <c r="AS26" s="12">
        <f>Table1[[#This Row],[Object_A_._head_time]]+Table1[[#This Row],[Object_B_._head_time]]</f>
        <v>60.1</v>
      </c>
      <c r="AT26" s="20"/>
      <c r="AU26" s="20"/>
      <c r="AV26" s="268"/>
      <c r="AW26" s="20"/>
      <c r="AX26" s="311">
        <f>(Table1[[#This Row],[Object_A_._head_time]]/(Table1[[#This Row],[Object_A_._head_time]]+Table1[[#This Row],[Object_B_._head_time]]))</f>
        <v>0.13477537437603992</v>
      </c>
      <c r="AY26" s="266" t="s">
        <v>486</v>
      </c>
      <c r="AZ26" s="266" t="s">
        <v>476</v>
      </c>
      <c r="BA26" s="266" t="s">
        <v>473</v>
      </c>
      <c r="BB26" s="266">
        <v>73</v>
      </c>
      <c r="BC26" s="268">
        <v>2.4333333333333331</v>
      </c>
      <c r="BD26" s="20"/>
      <c r="BE26" s="289"/>
      <c r="BF26" s="20"/>
      <c r="BG26" s="290"/>
      <c r="BH26" s="290"/>
      <c r="BI26" s="290"/>
      <c r="BJ26" s="290"/>
      <c r="BK26" s="290"/>
      <c r="BL26" s="290"/>
      <c r="BM26" s="290"/>
      <c r="BN26" s="290"/>
      <c r="BO26" s="290"/>
      <c r="BP26" s="290"/>
      <c r="BQ26" s="290"/>
      <c r="BR26" s="290"/>
      <c r="BS26" s="290"/>
      <c r="BT26" s="290"/>
      <c r="BU26" s="290"/>
      <c r="BV26" s="290"/>
      <c r="BW26" s="290"/>
      <c r="BX26" s="290"/>
      <c r="BY26" s="290"/>
      <c r="BZ26" s="290"/>
      <c r="CA26" s="290"/>
      <c r="CB26" s="290"/>
      <c r="CC26" s="290"/>
      <c r="CD26" s="290"/>
      <c r="CE26" s="290"/>
      <c r="CF26" s="290"/>
      <c r="CG26" s="290"/>
      <c r="CH26" s="290"/>
      <c r="CI26" s="290"/>
      <c r="CJ26" s="290"/>
      <c r="CK26" s="290"/>
      <c r="CL26" s="290"/>
      <c r="CM26" s="290"/>
      <c r="CN26" s="290"/>
      <c r="CO26" s="290"/>
      <c r="CP26" s="290"/>
      <c r="CQ26" s="290"/>
      <c r="CR26" s="290"/>
      <c r="CS26" s="290"/>
      <c r="CT26" s="290"/>
      <c r="CU26" s="290"/>
      <c r="CV26" s="290"/>
      <c r="CW26" s="290"/>
      <c r="CX26" s="290"/>
      <c r="CY26" s="290"/>
      <c r="CZ26" s="290"/>
      <c r="DA26" s="290"/>
      <c r="DB26" s="290"/>
      <c r="DC26" s="290"/>
      <c r="DD26" s="290"/>
      <c r="DE26" s="290"/>
      <c r="DF26" s="290"/>
      <c r="DG26" s="290"/>
      <c r="DH26" s="290"/>
      <c r="DI26" s="290"/>
      <c r="DJ26" s="290"/>
      <c r="DK26" s="290"/>
      <c r="DL26" s="290"/>
      <c r="DM26" s="290"/>
      <c r="DN26" s="290"/>
      <c r="DO26" s="290"/>
      <c r="DP26" s="290"/>
      <c r="DQ26" s="290"/>
      <c r="DR26" s="290"/>
      <c r="DS26" s="290"/>
      <c r="DT26" s="290"/>
      <c r="DU26" s="290"/>
      <c r="DV26" s="290"/>
      <c r="DW26" s="290"/>
      <c r="DX26" s="290"/>
      <c r="DY26" s="290"/>
      <c r="DZ26" s="290"/>
      <c r="EA26" s="290"/>
      <c r="EB26" s="291"/>
    </row>
    <row r="27" spans="1:132" s="286" customFormat="1" ht="12" customHeight="1" x14ac:dyDescent="0.15">
      <c r="A27" s="264">
        <v>72</v>
      </c>
      <c r="B27" s="281" t="s">
        <v>103</v>
      </c>
      <c r="C27" s="264" t="s">
        <v>211</v>
      </c>
      <c r="D27" s="264" t="s">
        <v>46</v>
      </c>
      <c r="E27" s="264" t="s">
        <v>151</v>
      </c>
      <c r="F27" s="264" t="s">
        <v>242</v>
      </c>
      <c r="G27" s="264" t="s">
        <v>244</v>
      </c>
      <c r="H27" s="13">
        <v>360</v>
      </c>
      <c r="I27" s="265">
        <v>18.952999999999999</v>
      </c>
      <c r="J27" s="265">
        <v>5.2999999999999999E-2</v>
      </c>
      <c r="K27" s="265">
        <v>0.26400000000000001</v>
      </c>
      <c r="L27" s="13">
        <v>9.6999999999999993</v>
      </c>
      <c r="M27" s="12">
        <v>34</v>
      </c>
      <c r="N27" s="13">
        <v>64.3</v>
      </c>
      <c r="O27" s="265">
        <v>2.8250000000000002</v>
      </c>
      <c r="P27" s="265">
        <v>4.3999999999999997E-2</v>
      </c>
      <c r="Q27" s="265">
        <v>0.22600000000000001</v>
      </c>
      <c r="R27" s="13">
        <v>11.2</v>
      </c>
      <c r="S27" s="12">
        <v>4801</v>
      </c>
      <c r="T27" s="13">
        <v>1.1000000000000001</v>
      </c>
      <c r="U27" s="13">
        <v>13.3</v>
      </c>
      <c r="V27" s="12">
        <v>33</v>
      </c>
      <c r="W27" s="13">
        <v>46.4</v>
      </c>
      <c r="X27" s="265">
        <v>3.1150000000000002</v>
      </c>
      <c r="Y27" s="265">
        <v>6.7000000000000004E-2</v>
      </c>
      <c r="Z27" s="265">
        <v>0.23499999999999999</v>
      </c>
      <c r="AA27" s="13">
        <v>11.2</v>
      </c>
      <c r="AB27" s="12">
        <v>3753</v>
      </c>
      <c r="AC27" s="13">
        <v>0</v>
      </c>
      <c r="AD27" s="13">
        <v>7.4</v>
      </c>
      <c r="AE27" s="12">
        <v>27</v>
      </c>
      <c r="AF27" s="13">
        <v>31</v>
      </c>
      <c r="AG27" s="265">
        <v>3.6890000000000001</v>
      </c>
      <c r="AH27" s="265">
        <v>0.11899999999999999</v>
      </c>
      <c r="AI27" s="13">
        <v>0</v>
      </c>
      <c r="AJ27" s="12">
        <v>28</v>
      </c>
      <c r="AK27" s="13">
        <v>329</v>
      </c>
      <c r="AL27" s="265">
        <v>15.265000000000001</v>
      </c>
      <c r="AM27" s="265">
        <v>4.5999999999999999E-2</v>
      </c>
      <c r="AN27" s="13">
        <v>9.6999999999999993</v>
      </c>
      <c r="AO27" s="308"/>
      <c r="AP27" s="308"/>
      <c r="AQ27" s="308"/>
      <c r="AR27" s="308"/>
      <c r="AS27" s="12">
        <f>Table1[[#This Row],[Object_A_._head_time]]+Table1[[#This Row],[Object_B_._head_time]]</f>
        <v>110.69999999999999</v>
      </c>
      <c r="AT27" s="282"/>
      <c r="AU27" s="282"/>
      <c r="AV27" s="283"/>
      <c r="AW27" s="282"/>
      <c r="AX27" s="308">
        <f>(Table1[[#This Row],[Object_A_._head_time]]/(Table1[[#This Row],[Object_A_._head_time]]+Table1[[#This Row],[Object_B_._head_time]]))</f>
        <v>0.58084914182475167</v>
      </c>
      <c r="AY27" s="264" t="s">
        <v>486</v>
      </c>
      <c r="AZ27" s="264" t="s">
        <v>476</v>
      </c>
      <c r="BA27" s="12" t="s">
        <v>475</v>
      </c>
      <c r="BB27" s="12">
        <v>68</v>
      </c>
      <c r="BC27" s="12">
        <v>2.2666666666666666</v>
      </c>
      <c r="BD27" s="12" t="s">
        <v>477</v>
      </c>
      <c r="BE27" s="284">
        <v>6</v>
      </c>
      <c r="BF27" s="12"/>
      <c r="BG27" s="279"/>
      <c r="BH27" s="279"/>
      <c r="BI27" s="279"/>
      <c r="BJ27" s="279"/>
      <c r="BK27" s="279"/>
      <c r="BL27" s="279"/>
      <c r="BM27" s="279"/>
      <c r="BN27" s="279"/>
      <c r="BO27" s="279"/>
      <c r="BP27" s="279"/>
      <c r="BQ27" s="279"/>
      <c r="BR27" s="279"/>
      <c r="BS27" s="279"/>
      <c r="BT27" s="279"/>
      <c r="BU27" s="279"/>
      <c r="BV27" s="279"/>
      <c r="BW27" s="279"/>
      <c r="BX27" s="279"/>
      <c r="BY27" s="279"/>
      <c r="BZ27" s="279"/>
      <c r="CA27" s="279"/>
      <c r="CB27" s="279"/>
      <c r="CC27" s="279"/>
      <c r="CD27" s="279"/>
      <c r="CE27" s="279"/>
      <c r="CF27" s="279"/>
      <c r="CG27" s="279"/>
      <c r="CH27" s="279"/>
      <c r="CI27" s="279"/>
      <c r="CJ27" s="279"/>
      <c r="CK27" s="279"/>
      <c r="CL27" s="279"/>
      <c r="CM27" s="279"/>
      <c r="CN27" s="279"/>
      <c r="CO27" s="279"/>
      <c r="CP27" s="279"/>
      <c r="CQ27" s="279"/>
      <c r="CR27" s="279"/>
      <c r="CS27" s="279"/>
      <c r="CT27" s="279"/>
      <c r="CU27" s="279"/>
      <c r="CV27" s="279"/>
      <c r="CW27" s="279"/>
      <c r="CX27" s="279"/>
      <c r="CY27" s="279"/>
      <c r="CZ27" s="279"/>
      <c r="DA27" s="279"/>
      <c r="DB27" s="279"/>
      <c r="DC27" s="279"/>
      <c r="DD27" s="279"/>
      <c r="DE27" s="279"/>
      <c r="DF27" s="279"/>
      <c r="DG27" s="279"/>
      <c r="DH27" s="279"/>
      <c r="DI27" s="279"/>
      <c r="DJ27" s="279"/>
      <c r="DK27" s="279"/>
      <c r="DL27" s="279"/>
      <c r="DM27" s="279"/>
      <c r="DN27" s="279"/>
      <c r="DO27" s="279"/>
      <c r="DP27" s="279"/>
      <c r="DQ27" s="279"/>
      <c r="DR27" s="279"/>
      <c r="DS27" s="279"/>
      <c r="DT27" s="279"/>
      <c r="DU27" s="279"/>
      <c r="DV27" s="279"/>
      <c r="DW27" s="279"/>
      <c r="DX27" s="279"/>
      <c r="DY27" s="279"/>
      <c r="DZ27" s="279"/>
      <c r="EA27" s="279"/>
      <c r="EB27" s="285"/>
    </row>
    <row r="28" spans="1:132" s="286" customFormat="1" ht="12" customHeight="1" x14ac:dyDescent="0.15">
      <c r="A28" s="264">
        <v>73</v>
      </c>
      <c r="B28" s="281" t="s">
        <v>105</v>
      </c>
      <c r="C28" s="264" t="s">
        <v>211</v>
      </c>
      <c r="D28" s="264" t="s">
        <v>49</v>
      </c>
      <c r="E28" s="264" t="s">
        <v>151</v>
      </c>
      <c r="F28" s="264" t="s">
        <v>242</v>
      </c>
      <c r="G28" s="264" t="s">
        <v>245</v>
      </c>
      <c r="H28" s="13">
        <v>360</v>
      </c>
      <c r="I28" s="265">
        <v>14.138</v>
      </c>
      <c r="J28" s="265">
        <v>3.9E-2</v>
      </c>
      <c r="K28" s="265">
        <v>0.24199999999999999</v>
      </c>
      <c r="L28" s="13">
        <v>38.4</v>
      </c>
      <c r="M28" s="12">
        <v>21</v>
      </c>
      <c r="N28" s="13">
        <v>30.3</v>
      </c>
      <c r="O28" s="265">
        <v>1.3839999999999999</v>
      </c>
      <c r="P28" s="265">
        <v>4.5999999999999999E-2</v>
      </c>
      <c r="Q28" s="265">
        <v>0.219</v>
      </c>
      <c r="R28" s="13">
        <v>10.3</v>
      </c>
      <c r="S28" s="12">
        <v>2339</v>
      </c>
      <c r="T28" s="13">
        <v>0</v>
      </c>
      <c r="U28" s="13">
        <v>8.1</v>
      </c>
      <c r="V28" s="12">
        <v>30</v>
      </c>
      <c r="W28" s="13">
        <v>35.799999999999997</v>
      </c>
      <c r="X28" s="265">
        <v>1.728</v>
      </c>
      <c r="Y28" s="265">
        <v>4.8000000000000001E-2</v>
      </c>
      <c r="Z28" s="265">
        <v>0.24199999999999999</v>
      </c>
      <c r="AA28" s="13">
        <v>12.1</v>
      </c>
      <c r="AB28" s="12">
        <v>2947</v>
      </c>
      <c r="AC28" s="13">
        <v>0</v>
      </c>
      <c r="AD28" s="13">
        <v>9.1</v>
      </c>
      <c r="AE28" s="12">
        <v>17</v>
      </c>
      <c r="AF28" s="13">
        <v>36.4</v>
      </c>
      <c r="AG28" s="265">
        <v>2.673</v>
      </c>
      <c r="AH28" s="265">
        <v>7.2999999999999995E-2</v>
      </c>
      <c r="AI28" s="13">
        <v>0</v>
      </c>
      <c r="AJ28" s="12">
        <v>18</v>
      </c>
      <c r="AK28" s="13">
        <v>323.60000000000002</v>
      </c>
      <c r="AL28" s="265">
        <v>11.465999999999999</v>
      </c>
      <c r="AM28" s="265">
        <v>3.5000000000000003E-2</v>
      </c>
      <c r="AN28" s="13">
        <v>38.4</v>
      </c>
      <c r="AO28" s="308"/>
      <c r="AP28" s="308"/>
      <c r="AQ28" s="308"/>
      <c r="AR28" s="308"/>
      <c r="AS28" s="12">
        <f>Table1[[#This Row],[Object_A_._head_time]]+Table1[[#This Row],[Object_B_._head_time]]</f>
        <v>66.099999999999994</v>
      </c>
      <c r="AT28" s="282"/>
      <c r="AU28" s="282"/>
      <c r="AV28" s="283"/>
      <c r="AW28" s="282"/>
      <c r="AX28" s="308">
        <f>(Table1[[#This Row],[Object_A_._head_time]]/(Table1[[#This Row],[Object_A_._head_time]]+Table1[[#This Row],[Object_B_._head_time]]))</f>
        <v>0.45839636913767023</v>
      </c>
      <c r="AY28" s="264" t="s">
        <v>486</v>
      </c>
      <c r="AZ28" s="264" t="s">
        <v>476</v>
      </c>
      <c r="BA28" s="12" t="s">
        <v>473</v>
      </c>
      <c r="BB28" s="12">
        <v>68</v>
      </c>
      <c r="BC28" s="12">
        <v>2.2666666666666666</v>
      </c>
      <c r="BD28" s="12" t="s">
        <v>477</v>
      </c>
      <c r="BE28" s="284">
        <v>8</v>
      </c>
      <c r="BF28" s="12"/>
      <c r="BG28" s="279"/>
      <c r="BH28" s="279"/>
      <c r="BI28" s="279"/>
      <c r="BJ28" s="279"/>
      <c r="BK28" s="279"/>
      <c r="BL28" s="279"/>
      <c r="BM28" s="279"/>
      <c r="BN28" s="279"/>
      <c r="BO28" s="279"/>
      <c r="BP28" s="279"/>
      <c r="BQ28" s="279"/>
      <c r="BR28" s="279"/>
      <c r="BS28" s="279"/>
      <c r="BT28" s="279"/>
      <c r="BU28" s="279"/>
      <c r="BV28" s="279"/>
      <c r="BW28" s="279"/>
      <c r="BX28" s="279"/>
      <c r="BY28" s="279"/>
      <c r="BZ28" s="279"/>
      <c r="CA28" s="279"/>
      <c r="CB28" s="279"/>
      <c r="CC28" s="279"/>
      <c r="CD28" s="279"/>
      <c r="CE28" s="279"/>
      <c r="CF28" s="279"/>
      <c r="CG28" s="279"/>
      <c r="CH28" s="279"/>
      <c r="CI28" s="279"/>
      <c r="CJ28" s="279"/>
      <c r="CK28" s="279"/>
      <c r="CL28" s="279"/>
      <c r="CM28" s="279"/>
      <c r="CN28" s="279"/>
      <c r="CO28" s="279"/>
      <c r="CP28" s="279"/>
      <c r="CQ28" s="279"/>
      <c r="CR28" s="279"/>
      <c r="CS28" s="279"/>
      <c r="CT28" s="279"/>
      <c r="CU28" s="279"/>
      <c r="CV28" s="279"/>
      <c r="CW28" s="279"/>
      <c r="CX28" s="279"/>
      <c r="CY28" s="279"/>
      <c r="CZ28" s="279"/>
      <c r="DA28" s="279"/>
      <c r="DB28" s="279"/>
      <c r="DC28" s="279"/>
      <c r="DD28" s="279"/>
      <c r="DE28" s="279"/>
      <c r="DF28" s="279"/>
      <c r="DG28" s="279"/>
      <c r="DH28" s="279"/>
      <c r="DI28" s="279"/>
      <c r="DJ28" s="279"/>
      <c r="DK28" s="279"/>
      <c r="DL28" s="279"/>
      <c r="DM28" s="279"/>
      <c r="DN28" s="279"/>
      <c r="DO28" s="279"/>
      <c r="DP28" s="279"/>
      <c r="DQ28" s="279"/>
      <c r="DR28" s="279"/>
      <c r="DS28" s="279"/>
      <c r="DT28" s="279"/>
      <c r="DU28" s="279"/>
      <c r="DV28" s="279"/>
      <c r="DW28" s="279"/>
      <c r="DX28" s="279"/>
      <c r="DY28" s="279"/>
      <c r="DZ28" s="279"/>
      <c r="EA28" s="279"/>
      <c r="EB28" s="285"/>
    </row>
    <row r="29" spans="1:132" s="286" customFormat="1" ht="12" customHeight="1" x14ac:dyDescent="0.15">
      <c r="A29" s="264">
        <v>74</v>
      </c>
      <c r="B29" s="281" t="s">
        <v>107</v>
      </c>
      <c r="C29" s="264" t="s">
        <v>211</v>
      </c>
      <c r="D29" s="264" t="s">
        <v>53</v>
      </c>
      <c r="E29" s="264" t="s">
        <v>151</v>
      </c>
      <c r="F29" s="264" t="s">
        <v>242</v>
      </c>
      <c r="G29" s="264" t="s">
        <v>246</v>
      </c>
      <c r="H29" s="13">
        <v>360</v>
      </c>
      <c r="I29" s="265">
        <v>5.3579999999999997</v>
      </c>
      <c r="J29" s="265">
        <v>1.4999999999999999E-2</v>
      </c>
      <c r="K29" s="265">
        <v>0.214</v>
      </c>
      <c r="L29" s="13">
        <v>137.6</v>
      </c>
      <c r="M29" s="12">
        <v>6</v>
      </c>
      <c r="N29" s="13">
        <v>5.4</v>
      </c>
      <c r="O29" s="265">
        <v>0.30299999999999999</v>
      </c>
      <c r="P29" s="265">
        <v>5.6000000000000001E-2</v>
      </c>
      <c r="Q29" s="265">
        <v>0.214</v>
      </c>
      <c r="R29" s="13">
        <v>2.2999999999999998</v>
      </c>
      <c r="S29" s="12">
        <v>304</v>
      </c>
      <c r="T29" s="13">
        <v>0</v>
      </c>
      <c r="U29" s="13">
        <v>2.7</v>
      </c>
      <c r="V29" s="12">
        <v>10</v>
      </c>
      <c r="W29" s="13">
        <v>9.9</v>
      </c>
      <c r="X29" s="265">
        <v>0.39300000000000002</v>
      </c>
      <c r="Y29" s="265">
        <v>0.04</v>
      </c>
      <c r="Z29" s="265">
        <v>0.187</v>
      </c>
      <c r="AA29" s="13">
        <v>7.4</v>
      </c>
      <c r="AB29" s="12">
        <v>587</v>
      </c>
      <c r="AC29" s="13">
        <v>0</v>
      </c>
      <c r="AD29" s="13">
        <v>5.8</v>
      </c>
      <c r="AE29" s="12">
        <v>2</v>
      </c>
      <c r="AF29" s="13">
        <v>2.9</v>
      </c>
      <c r="AG29" s="265">
        <v>0.312</v>
      </c>
      <c r="AH29" s="265">
        <v>0.106</v>
      </c>
      <c r="AI29" s="13">
        <v>0</v>
      </c>
      <c r="AJ29" s="12">
        <v>3</v>
      </c>
      <c r="AK29" s="13">
        <v>357.1</v>
      </c>
      <c r="AL29" s="265">
        <v>5.0449999999999999</v>
      </c>
      <c r="AM29" s="265">
        <v>1.4E-2</v>
      </c>
      <c r="AN29" s="13">
        <v>137.6</v>
      </c>
      <c r="AO29" s="308"/>
      <c r="AP29" s="308"/>
      <c r="AQ29" s="308"/>
      <c r="AR29" s="308"/>
      <c r="AS29" s="12">
        <f>Table1[[#This Row],[Object_A_._head_time]]+Table1[[#This Row],[Object_B_._head_time]]</f>
        <v>15.3</v>
      </c>
      <c r="AT29" s="282"/>
      <c r="AU29" s="282"/>
      <c r="AV29" s="283"/>
      <c r="AW29" s="282"/>
      <c r="AX29" s="308">
        <f>(Table1[[#This Row],[Object_A_._head_time]]/(Table1[[#This Row],[Object_A_._head_time]]+Table1[[#This Row],[Object_B_._head_time]]))</f>
        <v>0.35294117647058826</v>
      </c>
      <c r="AY29" s="264" t="s">
        <v>486</v>
      </c>
      <c r="AZ29" s="264" t="s">
        <v>476</v>
      </c>
      <c r="BA29" s="12" t="s">
        <v>475</v>
      </c>
      <c r="BB29" s="12">
        <v>68</v>
      </c>
      <c r="BC29" s="12">
        <v>2.2666666666666666</v>
      </c>
      <c r="BD29" s="12" t="s">
        <v>474</v>
      </c>
      <c r="BE29" s="284">
        <v>5</v>
      </c>
      <c r="BF29" s="12" t="s">
        <v>464</v>
      </c>
      <c r="BG29" s="279"/>
      <c r="BH29" s="279"/>
      <c r="BI29" s="279"/>
      <c r="BJ29" s="279"/>
      <c r="BK29" s="279"/>
      <c r="BL29" s="279"/>
      <c r="BM29" s="279"/>
      <c r="BN29" s="279"/>
      <c r="BO29" s="279"/>
      <c r="BP29" s="279"/>
      <c r="BQ29" s="279"/>
      <c r="BR29" s="279"/>
      <c r="BS29" s="279"/>
      <c r="BT29" s="279"/>
      <c r="BU29" s="279"/>
      <c r="BV29" s="279"/>
      <c r="BW29" s="279"/>
      <c r="BX29" s="279"/>
      <c r="BY29" s="279"/>
      <c r="BZ29" s="279"/>
      <c r="CA29" s="279"/>
      <c r="CB29" s="279"/>
      <c r="CC29" s="279"/>
      <c r="CD29" s="279"/>
      <c r="CE29" s="279"/>
      <c r="CF29" s="279"/>
      <c r="CG29" s="279"/>
      <c r="CH29" s="279"/>
      <c r="CI29" s="279"/>
      <c r="CJ29" s="279"/>
      <c r="CK29" s="279"/>
      <c r="CL29" s="279"/>
      <c r="CM29" s="279"/>
      <c r="CN29" s="279"/>
      <c r="CO29" s="279"/>
      <c r="CP29" s="279"/>
      <c r="CQ29" s="279"/>
      <c r="CR29" s="279"/>
      <c r="CS29" s="279"/>
      <c r="CT29" s="279"/>
      <c r="CU29" s="279"/>
      <c r="CV29" s="279"/>
      <c r="CW29" s="279"/>
      <c r="CX29" s="279"/>
      <c r="CY29" s="279"/>
      <c r="CZ29" s="279"/>
      <c r="DA29" s="279"/>
      <c r="DB29" s="279"/>
      <c r="DC29" s="279"/>
      <c r="DD29" s="279"/>
      <c r="DE29" s="279"/>
      <c r="DF29" s="279"/>
      <c r="DG29" s="279"/>
      <c r="DH29" s="279"/>
      <c r="DI29" s="279"/>
      <c r="DJ29" s="279"/>
      <c r="DK29" s="279"/>
      <c r="DL29" s="279"/>
      <c r="DM29" s="279"/>
      <c r="DN29" s="279"/>
      <c r="DO29" s="279"/>
      <c r="DP29" s="279"/>
      <c r="DQ29" s="279"/>
      <c r="DR29" s="279"/>
      <c r="DS29" s="279"/>
      <c r="DT29" s="279"/>
      <c r="DU29" s="279"/>
      <c r="DV29" s="279"/>
      <c r="DW29" s="279"/>
      <c r="DX29" s="279"/>
      <c r="DY29" s="279"/>
      <c r="DZ29" s="279"/>
      <c r="EA29" s="279"/>
      <c r="EB29" s="285"/>
    </row>
    <row r="30" spans="1:132" s="286" customFormat="1" ht="12" customHeight="1" x14ac:dyDescent="0.15">
      <c r="A30" s="264">
        <v>75</v>
      </c>
      <c r="B30" s="281" t="s">
        <v>109</v>
      </c>
      <c r="C30" s="264" t="s">
        <v>211</v>
      </c>
      <c r="D30" s="264" t="s">
        <v>41</v>
      </c>
      <c r="E30" s="264" t="s">
        <v>151</v>
      </c>
      <c r="F30" s="264" t="s">
        <v>247</v>
      </c>
      <c r="G30" s="264" t="s">
        <v>248</v>
      </c>
      <c r="H30" s="13">
        <v>360</v>
      </c>
      <c r="I30" s="265">
        <v>11.515000000000001</v>
      </c>
      <c r="J30" s="265">
        <v>3.2000000000000001E-2</v>
      </c>
      <c r="K30" s="265">
        <v>0.27300000000000002</v>
      </c>
      <c r="L30" s="13">
        <v>22</v>
      </c>
      <c r="M30" s="12">
        <v>15</v>
      </c>
      <c r="N30" s="13">
        <v>29</v>
      </c>
      <c r="O30" s="265">
        <v>1.2390000000000001</v>
      </c>
      <c r="P30" s="265">
        <v>4.2999999999999997E-2</v>
      </c>
      <c r="Q30" s="265">
        <v>0.255</v>
      </c>
      <c r="R30" s="13">
        <v>5.2</v>
      </c>
      <c r="S30" s="12">
        <v>2206</v>
      </c>
      <c r="T30" s="13">
        <v>0</v>
      </c>
      <c r="U30" s="13">
        <v>6</v>
      </c>
      <c r="V30" s="12">
        <v>28</v>
      </c>
      <c r="W30" s="13">
        <v>54.7</v>
      </c>
      <c r="X30" s="265">
        <v>2.0630000000000002</v>
      </c>
      <c r="Y30" s="265">
        <v>3.7999999999999999E-2</v>
      </c>
      <c r="Z30" s="265">
        <v>0.24199999999999999</v>
      </c>
      <c r="AA30" s="13">
        <v>9.1999999999999993</v>
      </c>
      <c r="AB30" s="12">
        <v>3479</v>
      </c>
      <c r="AC30" s="13">
        <v>5.2</v>
      </c>
      <c r="AD30" s="13">
        <v>19.100000000000001</v>
      </c>
      <c r="AE30" s="12">
        <v>17</v>
      </c>
      <c r="AF30" s="13">
        <v>56.7</v>
      </c>
      <c r="AG30" s="265">
        <v>2.4319999999999999</v>
      </c>
      <c r="AH30" s="265">
        <v>4.2999999999999997E-2</v>
      </c>
      <c r="AI30" s="13">
        <v>4.9000000000000004</v>
      </c>
      <c r="AJ30" s="12">
        <v>18</v>
      </c>
      <c r="AK30" s="13">
        <v>303.3</v>
      </c>
      <c r="AL30" s="265">
        <v>9.0830000000000002</v>
      </c>
      <c r="AM30" s="265">
        <v>0.03</v>
      </c>
      <c r="AN30" s="13">
        <v>17.2</v>
      </c>
      <c r="AO30" s="308"/>
      <c r="AP30" s="308"/>
      <c r="AQ30" s="308"/>
      <c r="AR30" s="308"/>
      <c r="AS30" s="12">
        <f>Table1[[#This Row],[Object_A_._head_time]]+Table1[[#This Row],[Object_B_._head_time]]</f>
        <v>83.7</v>
      </c>
      <c r="AT30" s="282"/>
      <c r="AU30" s="282"/>
      <c r="AV30" s="283"/>
      <c r="AW30" s="282"/>
      <c r="AX30" s="308">
        <f>(Table1[[#This Row],[Object_A_._head_time]]/(Table1[[#This Row],[Object_A_._head_time]]+Table1[[#This Row],[Object_B_._head_time]]))</f>
        <v>0.34647550776583036</v>
      </c>
      <c r="AY30" s="264" t="s">
        <v>486</v>
      </c>
      <c r="AZ30" s="264" t="s">
        <v>476</v>
      </c>
      <c r="BA30" s="12" t="s">
        <v>473</v>
      </c>
      <c r="BB30" s="12">
        <v>68</v>
      </c>
      <c r="BC30" s="12">
        <v>2.2666666666666666</v>
      </c>
      <c r="BD30" s="12" t="s">
        <v>474</v>
      </c>
      <c r="BE30" s="284">
        <v>7</v>
      </c>
      <c r="BF30" s="12"/>
      <c r="BG30" s="279"/>
      <c r="BH30" s="279"/>
      <c r="BI30" s="279"/>
      <c r="BJ30" s="279"/>
      <c r="BK30" s="279"/>
      <c r="BL30" s="279"/>
      <c r="BM30" s="279"/>
      <c r="BN30" s="279"/>
      <c r="BO30" s="279"/>
      <c r="BP30" s="279"/>
      <c r="BQ30" s="279"/>
      <c r="BR30" s="279"/>
      <c r="BS30" s="279"/>
      <c r="BT30" s="279"/>
      <c r="BU30" s="279"/>
      <c r="BV30" s="279"/>
      <c r="BW30" s="279"/>
      <c r="BX30" s="279"/>
      <c r="BY30" s="279"/>
      <c r="BZ30" s="279"/>
      <c r="CA30" s="279"/>
      <c r="CB30" s="279"/>
      <c r="CC30" s="279"/>
      <c r="CD30" s="279"/>
      <c r="CE30" s="279"/>
      <c r="CF30" s="279"/>
      <c r="CG30" s="279"/>
      <c r="CH30" s="279"/>
      <c r="CI30" s="279"/>
      <c r="CJ30" s="279"/>
      <c r="CK30" s="279"/>
      <c r="CL30" s="279"/>
      <c r="CM30" s="279"/>
      <c r="CN30" s="279"/>
      <c r="CO30" s="279"/>
      <c r="CP30" s="279"/>
      <c r="CQ30" s="279"/>
      <c r="CR30" s="279"/>
      <c r="CS30" s="279"/>
      <c r="CT30" s="279"/>
      <c r="CU30" s="279"/>
      <c r="CV30" s="279"/>
      <c r="CW30" s="279"/>
      <c r="CX30" s="279"/>
      <c r="CY30" s="279"/>
      <c r="CZ30" s="279"/>
      <c r="DA30" s="279"/>
      <c r="DB30" s="279"/>
      <c r="DC30" s="279"/>
      <c r="DD30" s="279"/>
      <c r="DE30" s="279"/>
      <c r="DF30" s="279"/>
      <c r="DG30" s="279"/>
      <c r="DH30" s="279"/>
      <c r="DI30" s="279"/>
      <c r="DJ30" s="279"/>
      <c r="DK30" s="279"/>
      <c r="DL30" s="279"/>
      <c r="DM30" s="279"/>
      <c r="DN30" s="279"/>
      <c r="DO30" s="279"/>
      <c r="DP30" s="279"/>
      <c r="DQ30" s="279"/>
      <c r="DR30" s="279"/>
      <c r="DS30" s="279"/>
      <c r="DT30" s="279"/>
      <c r="DU30" s="279"/>
      <c r="DV30" s="279"/>
      <c r="DW30" s="279"/>
      <c r="DX30" s="279"/>
      <c r="DY30" s="279"/>
      <c r="DZ30" s="279"/>
      <c r="EA30" s="279"/>
      <c r="EB30" s="285"/>
    </row>
    <row r="31" spans="1:132" s="286" customFormat="1" ht="12" customHeight="1" x14ac:dyDescent="0.15">
      <c r="A31" s="264">
        <v>76</v>
      </c>
      <c r="B31" s="281" t="s">
        <v>112</v>
      </c>
      <c r="C31" s="264" t="s">
        <v>211</v>
      </c>
      <c r="D31" s="264" t="s">
        <v>46</v>
      </c>
      <c r="E31" s="264" t="s">
        <v>151</v>
      </c>
      <c r="F31" s="264" t="s">
        <v>247</v>
      </c>
      <c r="G31" s="264" t="s">
        <v>249</v>
      </c>
      <c r="H31" s="13">
        <v>360</v>
      </c>
      <c r="I31" s="265">
        <v>17.908999999999999</v>
      </c>
      <c r="J31" s="265">
        <v>0.05</v>
      </c>
      <c r="K31" s="265">
        <v>0.255</v>
      </c>
      <c r="L31" s="13">
        <v>5.4</v>
      </c>
      <c r="M31" s="12">
        <v>44</v>
      </c>
      <c r="N31" s="13">
        <v>85.2</v>
      </c>
      <c r="O31" s="265">
        <v>4.0359999999999996</v>
      </c>
      <c r="P31" s="265">
        <v>4.7E-2</v>
      </c>
      <c r="Q31" s="265">
        <v>0.22</v>
      </c>
      <c r="R31" s="13">
        <v>21</v>
      </c>
      <c r="S31" s="12">
        <v>6529</v>
      </c>
      <c r="T31" s="13">
        <v>0</v>
      </c>
      <c r="U31" s="13">
        <v>12.3</v>
      </c>
      <c r="V31" s="12">
        <v>29</v>
      </c>
      <c r="W31" s="13">
        <v>51.5</v>
      </c>
      <c r="X31" s="265">
        <v>2.8359999999999999</v>
      </c>
      <c r="Y31" s="265">
        <v>5.5E-2</v>
      </c>
      <c r="Z31" s="265">
        <v>0.23899999999999999</v>
      </c>
      <c r="AA31" s="13">
        <v>13.8</v>
      </c>
      <c r="AB31" s="12">
        <v>3696</v>
      </c>
      <c r="AC31" s="13">
        <v>1.1000000000000001</v>
      </c>
      <c r="AD31" s="13">
        <v>8.1</v>
      </c>
      <c r="AE31" s="12">
        <v>32</v>
      </c>
      <c r="AF31" s="13">
        <v>66.2</v>
      </c>
      <c r="AG31" s="265">
        <v>4.9909999999999997</v>
      </c>
      <c r="AH31" s="265">
        <v>7.4999999999999997E-2</v>
      </c>
      <c r="AI31" s="13">
        <v>1.1000000000000001</v>
      </c>
      <c r="AJ31" s="12">
        <v>32</v>
      </c>
      <c r="AK31" s="13">
        <v>293.8</v>
      </c>
      <c r="AL31" s="265">
        <v>12.917999999999999</v>
      </c>
      <c r="AM31" s="265">
        <v>4.3999999999999997E-2</v>
      </c>
      <c r="AN31" s="13">
        <v>4.3</v>
      </c>
      <c r="AO31" s="308"/>
      <c r="AP31" s="308"/>
      <c r="AQ31" s="308"/>
      <c r="AR31" s="308"/>
      <c r="AS31" s="12">
        <f>Table1[[#This Row],[Object_A_._head_time]]+Table1[[#This Row],[Object_B_._head_time]]</f>
        <v>136.69999999999999</v>
      </c>
      <c r="AT31" s="282"/>
      <c r="AU31" s="282"/>
      <c r="AV31" s="283"/>
      <c r="AW31" s="282"/>
      <c r="AX31" s="308">
        <f>(Table1[[#This Row],[Object_A_._head_time]]/(Table1[[#This Row],[Object_A_._head_time]]+Table1[[#This Row],[Object_B_._head_time]]))</f>
        <v>0.62326261887344558</v>
      </c>
      <c r="AY31" s="264" t="s">
        <v>487</v>
      </c>
      <c r="AZ31" s="264" t="s">
        <v>476</v>
      </c>
      <c r="BA31" s="12" t="s">
        <v>475</v>
      </c>
      <c r="BB31" s="12">
        <v>68</v>
      </c>
      <c r="BC31" s="12">
        <v>2.2666666666666666</v>
      </c>
      <c r="BD31" s="12" t="s">
        <v>477</v>
      </c>
      <c r="BE31" s="284">
        <v>6</v>
      </c>
      <c r="BF31" s="12"/>
      <c r="BG31" s="279"/>
      <c r="BH31" s="279"/>
      <c r="BI31" s="279"/>
      <c r="BJ31" s="279"/>
      <c r="BK31" s="279"/>
      <c r="BL31" s="279"/>
      <c r="BM31" s="279"/>
      <c r="BN31" s="279"/>
      <c r="BO31" s="279"/>
      <c r="BP31" s="279"/>
      <c r="BQ31" s="279"/>
      <c r="BR31" s="279"/>
      <c r="BS31" s="279"/>
      <c r="BT31" s="279"/>
      <c r="BU31" s="279"/>
      <c r="BV31" s="279"/>
      <c r="BW31" s="279"/>
      <c r="BX31" s="279"/>
      <c r="BY31" s="279"/>
      <c r="BZ31" s="279"/>
      <c r="CA31" s="279"/>
      <c r="CB31" s="279"/>
      <c r="CC31" s="279"/>
      <c r="CD31" s="279"/>
      <c r="CE31" s="279"/>
      <c r="CF31" s="279"/>
      <c r="CG31" s="279"/>
      <c r="CH31" s="279"/>
      <c r="CI31" s="279"/>
      <c r="CJ31" s="279"/>
      <c r="CK31" s="279"/>
      <c r="CL31" s="279"/>
      <c r="CM31" s="279"/>
      <c r="CN31" s="279"/>
      <c r="CO31" s="279"/>
      <c r="CP31" s="279"/>
      <c r="CQ31" s="279"/>
      <c r="CR31" s="279"/>
      <c r="CS31" s="279"/>
      <c r="CT31" s="279"/>
      <c r="CU31" s="279"/>
      <c r="CV31" s="279"/>
      <c r="CW31" s="279"/>
      <c r="CX31" s="279"/>
      <c r="CY31" s="279"/>
      <c r="CZ31" s="279"/>
      <c r="DA31" s="279"/>
      <c r="DB31" s="279"/>
      <c r="DC31" s="279"/>
      <c r="DD31" s="279"/>
      <c r="DE31" s="279"/>
      <c r="DF31" s="279"/>
      <c r="DG31" s="279"/>
      <c r="DH31" s="279"/>
      <c r="DI31" s="279"/>
      <c r="DJ31" s="279"/>
      <c r="DK31" s="279"/>
      <c r="DL31" s="279"/>
      <c r="DM31" s="279"/>
      <c r="DN31" s="279"/>
      <c r="DO31" s="279"/>
      <c r="DP31" s="279"/>
      <c r="DQ31" s="279"/>
      <c r="DR31" s="279"/>
      <c r="DS31" s="279"/>
      <c r="DT31" s="279"/>
      <c r="DU31" s="279"/>
      <c r="DV31" s="279"/>
      <c r="DW31" s="279"/>
      <c r="DX31" s="279"/>
      <c r="DY31" s="279"/>
      <c r="DZ31" s="279"/>
      <c r="EA31" s="279"/>
      <c r="EB31" s="285"/>
    </row>
    <row r="32" spans="1:132" s="286" customFormat="1" ht="12" customHeight="1" x14ac:dyDescent="0.15">
      <c r="A32" s="264">
        <v>77</v>
      </c>
      <c r="B32" s="281" t="s">
        <v>114</v>
      </c>
      <c r="C32" s="264" t="s">
        <v>211</v>
      </c>
      <c r="D32" s="264" t="s">
        <v>49</v>
      </c>
      <c r="E32" s="264" t="s">
        <v>151</v>
      </c>
      <c r="F32" s="264" t="s">
        <v>247</v>
      </c>
      <c r="G32" s="264" t="s">
        <v>250</v>
      </c>
      <c r="H32" s="13">
        <v>360</v>
      </c>
      <c r="I32" s="265">
        <v>13.766999999999999</v>
      </c>
      <c r="J32" s="265">
        <v>3.7999999999999999E-2</v>
      </c>
      <c r="K32" s="265">
        <v>0.25600000000000001</v>
      </c>
      <c r="L32" s="13">
        <v>17.7</v>
      </c>
      <c r="M32" s="12">
        <v>31</v>
      </c>
      <c r="N32" s="13">
        <v>66.3</v>
      </c>
      <c r="O32" s="265">
        <v>2.5499999999999998</v>
      </c>
      <c r="P32" s="265">
        <v>3.7999999999999999E-2</v>
      </c>
      <c r="Q32" s="265">
        <v>0.216</v>
      </c>
      <c r="R32" s="13">
        <v>9.6999999999999993</v>
      </c>
      <c r="S32" s="12">
        <v>3670</v>
      </c>
      <c r="T32" s="13">
        <v>0</v>
      </c>
      <c r="U32" s="13">
        <v>11.5</v>
      </c>
      <c r="V32" s="12">
        <v>28</v>
      </c>
      <c r="W32" s="13">
        <v>45.8</v>
      </c>
      <c r="X32" s="265">
        <v>1.877</v>
      </c>
      <c r="Y32" s="265">
        <v>4.1000000000000002E-2</v>
      </c>
      <c r="Z32" s="265">
        <v>0.17399999999999999</v>
      </c>
      <c r="AA32" s="13">
        <v>14</v>
      </c>
      <c r="AB32" s="12">
        <v>3063</v>
      </c>
      <c r="AC32" s="13">
        <v>0</v>
      </c>
      <c r="AD32" s="13">
        <v>8.6999999999999993</v>
      </c>
      <c r="AE32" s="12">
        <v>19</v>
      </c>
      <c r="AF32" s="13">
        <v>36.9</v>
      </c>
      <c r="AG32" s="265">
        <v>1.972</v>
      </c>
      <c r="AH32" s="265">
        <v>5.3999999999999999E-2</v>
      </c>
      <c r="AI32" s="13">
        <v>0</v>
      </c>
      <c r="AJ32" s="12">
        <v>20</v>
      </c>
      <c r="AK32" s="13">
        <v>323.10000000000002</v>
      </c>
      <c r="AL32" s="265">
        <v>11.795</v>
      </c>
      <c r="AM32" s="265">
        <v>3.6999999999999998E-2</v>
      </c>
      <c r="AN32" s="13">
        <v>17.7</v>
      </c>
      <c r="AO32" s="308"/>
      <c r="AP32" s="308"/>
      <c r="AQ32" s="308"/>
      <c r="AR32" s="308"/>
      <c r="AS32" s="12">
        <f>Table1[[#This Row],[Object_A_._head_time]]+Table1[[#This Row],[Object_B_._head_time]]</f>
        <v>112.1</v>
      </c>
      <c r="AT32" s="282"/>
      <c r="AU32" s="282"/>
      <c r="AV32" s="283"/>
      <c r="AW32" s="282"/>
      <c r="AX32" s="308">
        <f>(Table1[[#This Row],[Object_A_._head_time]]/(Table1[[#This Row],[Object_A_._head_time]]+Table1[[#This Row],[Object_B_._head_time]]))</f>
        <v>0.59143621766280108</v>
      </c>
      <c r="AY32" s="264" t="s">
        <v>487</v>
      </c>
      <c r="AZ32" s="264" t="s">
        <v>476</v>
      </c>
      <c r="BA32" s="12" t="s">
        <v>473</v>
      </c>
      <c r="BB32" s="12">
        <v>68</v>
      </c>
      <c r="BC32" s="12">
        <v>2.2666666666666666</v>
      </c>
      <c r="BD32" s="12" t="s">
        <v>477</v>
      </c>
      <c r="BE32" s="284">
        <v>8</v>
      </c>
      <c r="BF32" s="12"/>
      <c r="BG32" s="279"/>
      <c r="BH32" s="279"/>
      <c r="BI32" s="279"/>
      <c r="BJ32" s="279"/>
      <c r="BK32" s="279"/>
      <c r="BL32" s="279"/>
      <c r="BM32" s="279"/>
      <c r="BN32" s="279"/>
      <c r="BO32" s="279"/>
      <c r="BP32" s="279"/>
      <c r="BQ32" s="279"/>
      <c r="BR32" s="279"/>
      <c r="BS32" s="279"/>
      <c r="BT32" s="279"/>
      <c r="BU32" s="279"/>
      <c r="BV32" s="279"/>
      <c r="BW32" s="279"/>
      <c r="BX32" s="279"/>
      <c r="BY32" s="279"/>
      <c r="BZ32" s="279"/>
      <c r="CA32" s="279"/>
      <c r="CB32" s="279"/>
      <c r="CC32" s="279"/>
      <c r="CD32" s="279"/>
      <c r="CE32" s="279"/>
      <c r="CF32" s="279"/>
      <c r="CG32" s="279"/>
      <c r="CH32" s="279"/>
      <c r="CI32" s="279"/>
      <c r="CJ32" s="279"/>
      <c r="CK32" s="279"/>
      <c r="CL32" s="279"/>
      <c r="CM32" s="279"/>
      <c r="CN32" s="279"/>
      <c r="CO32" s="279"/>
      <c r="CP32" s="279"/>
      <c r="CQ32" s="279"/>
      <c r="CR32" s="279"/>
      <c r="CS32" s="279"/>
      <c r="CT32" s="279"/>
      <c r="CU32" s="279"/>
      <c r="CV32" s="279"/>
      <c r="CW32" s="279"/>
      <c r="CX32" s="279"/>
      <c r="CY32" s="279"/>
      <c r="CZ32" s="279"/>
      <c r="DA32" s="279"/>
      <c r="DB32" s="279"/>
      <c r="DC32" s="279"/>
      <c r="DD32" s="279"/>
      <c r="DE32" s="279"/>
      <c r="DF32" s="279"/>
      <c r="DG32" s="279"/>
      <c r="DH32" s="279"/>
      <c r="DI32" s="279"/>
      <c r="DJ32" s="279"/>
      <c r="DK32" s="279"/>
      <c r="DL32" s="279"/>
      <c r="DM32" s="279"/>
      <c r="DN32" s="279"/>
      <c r="DO32" s="279"/>
      <c r="DP32" s="279"/>
      <c r="DQ32" s="279"/>
      <c r="DR32" s="279"/>
      <c r="DS32" s="279"/>
      <c r="DT32" s="279"/>
      <c r="DU32" s="279"/>
      <c r="DV32" s="279"/>
      <c r="DW32" s="279"/>
      <c r="DX32" s="279"/>
      <c r="DY32" s="279"/>
      <c r="DZ32" s="279"/>
      <c r="EA32" s="279"/>
      <c r="EB32" s="285"/>
    </row>
    <row r="33" spans="1:132" s="286" customFormat="1" ht="12" customHeight="1" x14ac:dyDescent="0.15">
      <c r="A33" s="264">
        <v>78</v>
      </c>
      <c r="B33" s="281" t="s">
        <v>116</v>
      </c>
      <c r="C33" s="264" t="s">
        <v>211</v>
      </c>
      <c r="D33" s="264" t="s">
        <v>53</v>
      </c>
      <c r="E33" s="264" t="s">
        <v>151</v>
      </c>
      <c r="F33" s="264" t="s">
        <v>247</v>
      </c>
      <c r="G33" s="264" t="s">
        <v>251</v>
      </c>
      <c r="H33" s="13">
        <v>360</v>
      </c>
      <c r="I33" s="265">
        <v>10.224</v>
      </c>
      <c r="J33" s="265">
        <v>2.8000000000000001E-2</v>
      </c>
      <c r="K33" s="265">
        <v>0.47599999999999998</v>
      </c>
      <c r="L33" s="13">
        <v>80</v>
      </c>
      <c r="M33" s="12">
        <v>16</v>
      </c>
      <c r="N33" s="13">
        <v>14.9</v>
      </c>
      <c r="O33" s="265">
        <v>0.66600000000000004</v>
      </c>
      <c r="P33" s="265">
        <v>4.4999999999999998E-2</v>
      </c>
      <c r="Q33" s="265">
        <v>0.17599999999999999</v>
      </c>
      <c r="R33" s="13">
        <v>8.6999999999999993</v>
      </c>
      <c r="S33" s="12">
        <v>1235</v>
      </c>
      <c r="T33" s="13">
        <v>0</v>
      </c>
      <c r="U33" s="13">
        <v>9.3000000000000007</v>
      </c>
      <c r="V33" s="12">
        <v>13</v>
      </c>
      <c r="W33" s="13">
        <v>11.5</v>
      </c>
      <c r="X33" s="265">
        <v>0.435</v>
      </c>
      <c r="Y33" s="265">
        <v>3.7999999999999999E-2</v>
      </c>
      <c r="Z33" s="265">
        <v>0.215</v>
      </c>
      <c r="AA33" s="13">
        <v>8.8000000000000007</v>
      </c>
      <c r="AB33" s="12">
        <v>940</v>
      </c>
      <c r="AC33" s="13">
        <v>0</v>
      </c>
      <c r="AD33" s="13">
        <v>8.6999999999999993</v>
      </c>
      <c r="AE33" s="12">
        <v>5</v>
      </c>
      <c r="AF33" s="13">
        <v>9.5</v>
      </c>
      <c r="AG33" s="265">
        <v>0.873</v>
      </c>
      <c r="AH33" s="265">
        <v>9.1999999999999998E-2</v>
      </c>
      <c r="AI33" s="13">
        <v>0</v>
      </c>
      <c r="AJ33" s="12">
        <v>6</v>
      </c>
      <c r="AK33" s="13">
        <v>350.5</v>
      </c>
      <c r="AL33" s="265">
        <v>9.3510000000000009</v>
      </c>
      <c r="AM33" s="265">
        <v>2.7E-2</v>
      </c>
      <c r="AN33" s="13">
        <v>80</v>
      </c>
      <c r="AO33" s="308"/>
      <c r="AP33" s="308"/>
      <c r="AQ33" s="308"/>
      <c r="AR33" s="308"/>
      <c r="AS33" s="12">
        <f>Table1[[#This Row],[Object_A_._head_time]]+Table1[[#This Row],[Object_B_._head_time]]</f>
        <v>26.4</v>
      </c>
      <c r="AT33" s="282"/>
      <c r="AU33" s="282"/>
      <c r="AV33" s="283"/>
      <c r="AW33" s="282"/>
      <c r="AX33" s="308">
        <f>(Table1[[#This Row],[Object_A_._head_time]]/(Table1[[#This Row],[Object_A_._head_time]]+Table1[[#This Row],[Object_B_._head_time]]))</f>
        <v>0.56439393939393945</v>
      </c>
      <c r="AY33" s="264" t="s">
        <v>487</v>
      </c>
      <c r="AZ33" s="264" t="s">
        <v>476</v>
      </c>
      <c r="BA33" s="12" t="s">
        <v>473</v>
      </c>
      <c r="BB33" s="12">
        <v>68</v>
      </c>
      <c r="BC33" s="12">
        <v>2.2666666666666666</v>
      </c>
      <c r="BD33" s="12" t="s">
        <v>474</v>
      </c>
      <c r="BE33" s="284">
        <v>7</v>
      </c>
      <c r="BF33" s="12"/>
      <c r="BG33" s="279"/>
      <c r="BH33" s="279"/>
      <c r="BI33" s="279"/>
      <c r="BJ33" s="279"/>
      <c r="BK33" s="279"/>
      <c r="BL33" s="279"/>
      <c r="BM33" s="279"/>
      <c r="BN33" s="279"/>
      <c r="BO33" s="279"/>
      <c r="BP33" s="279"/>
      <c r="BQ33" s="279"/>
      <c r="BR33" s="279"/>
      <c r="BS33" s="279"/>
      <c r="BT33" s="279"/>
      <c r="BU33" s="279"/>
      <c r="BV33" s="279"/>
      <c r="BW33" s="279"/>
      <c r="BX33" s="279"/>
      <c r="BY33" s="279"/>
      <c r="BZ33" s="279"/>
      <c r="CA33" s="279"/>
      <c r="CB33" s="279"/>
      <c r="CC33" s="279"/>
      <c r="CD33" s="279"/>
      <c r="CE33" s="279"/>
      <c r="CF33" s="279"/>
      <c r="CG33" s="279"/>
      <c r="CH33" s="279"/>
      <c r="CI33" s="279"/>
      <c r="CJ33" s="279"/>
      <c r="CK33" s="279"/>
      <c r="CL33" s="279"/>
      <c r="CM33" s="279"/>
      <c r="CN33" s="279"/>
      <c r="CO33" s="279"/>
      <c r="CP33" s="279"/>
      <c r="CQ33" s="279"/>
      <c r="CR33" s="279"/>
      <c r="CS33" s="279"/>
      <c r="CT33" s="279"/>
      <c r="CU33" s="279"/>
      <c r="CV33" s="279"/>
      <c r="CW33" s="279"/>
      <c r="CX33" s="279"/>
      <c r="CY33" s="279"/>
      <c r="CZ33" s="279"/>
      <c r="DA33" s="279"/>
      <c r="DB33" s="279"/>
      <c r="DC33" s="279"/>
      <c r="DD33" s="279"/>
      <c r="DE33" s="279"/>
      <c r="DF33" s="279"/>
      <c r="DG33" s="279"/>
      <c r="DH33" s="279"/>
      <c r="DI33" s="279"/>
      <c r="DJ33" s="279"/>
      <c r="DK33" s="279"/>
      <c r="DL33" s="279"/>
      <c r="DM33" s="279"/>
      <c r="DN33" s="279"/>
      <c r="DO33" s="279"/>
      <c r="DP33" s="279"/>
      <c r="DQ33" s="279"/>
      <c r="DR33" s="279"/>
      <c r="DS33" s="279"/>
      <c r="DT33" s="279"/>
      <c r="DU33" s="279"/>
      <c r="DV33" s="279"/>
      <c r="DW33" s="279"/>
      <c r="DX33" s="279"/>
      <c r="DY33" s="279"/>
      <c r="DZ33" s="279"/>
      <c r="EA33" s="279"/>
      <c r="EB33" s="285"/>
    </row>
    <row r="34" spans="1:132" s="286" customFormat="1" ht="12" customHeight="1" x14ac:dyDescent="0.15">
      <c r="A34" s="264">
        <v>79</v>
      </c>
      <c r="B34" s="281" t="s">
        <v>118</v>
      </c>
      <c r="C34" s="264" t="s">
        <v>211</v>
      </c>
      <c r="D34" s="264" t="s">
        <v>41</v>
      </c>
      <c r="E34" s="264" t="s">
        <v>151</v>
      </c>
      <c r="F34" s="264" t="s">
        <v>252</v>
      </c>
      <c r="G34" s="264" t="s">
        <v>253</v>
      </c>
      <c r="H34" s="13">
        <v>360</v>
      </c>
      <c r="I34" s="265">
        <v>16.404</v>
      </c>
      <c r="J34" s="265">
        <v>4.5999999999999999E-2</v>
      </c>
      <c r="K34" s="265">
        <v>0.315</v>
      </c>
      <c r="L34" s="13">
        <v>6.5</v>
      </c>
      <c r="M34" s="12">
        <v>21</v>
      </c>
      <c r="N34" s="13">
        <v>35.200000000000003</v>
      </c>
      <c r="O34" s="265">
        <v>1.4770000000000001</v>
      </c>
      <c r="P34" s="265">
        <v>4.2000000000000003E-2</v>
      </c>
      <c r="Q34" s="265">
        <v>0.21</v>
      </c>
      <c r="R34" s="13">
        <v>11.2</v>
      </c>
      <c r="S34" s="12">
        <v>2557</v>
      </c>
      <c r="T34" s="13">
        <v>0</v>
      </c>
      <c r="U34" s="13">
        <v>12.8</v>
      </c>
      <c r="V34" s="12">
        <v>32</v>
      </c>
      <c r="W34" s="13">
        <v>44</v>
      </c>
      <c r="X34" s="265">
        <v>2.2090000000000001</v>
      </c>
      <c r="Y34" s="265">
        <v>0.05</v>
      </c>
      <c r="Z34" s="265">
        <v>0.28499999999999998</v>
      </c>
      <c r="AA34" s="13">
        <v>16.5</v>
      </c>
      <c r="AB34" s="12">
        <v>3109</v>
      </c>
      <c r="AC34" s="13">
        <v>0</v>
      </c>
      <c r="AD34" s="13">
        <v>17.899999999999999</v>
      </c>
      <c r="AE34" s="12">
        <v>22</v>
      </c>
      <c r="AF34" s="13">
        <v>31</v>
      </c>
      <c r="AG34" s="265">
        <v>2.4900000000000002</v>
      </c>
      <c r="AH34" s="265">
        <v>0.08</v>
      </c>
      <c r="AI34" s="13">
        <v>0</v>
      </c>
      <c r="AJ34" s="12">
        <v>23</v>
      </c>
      <c r="AK34" s="13">
        <v>329</v>
      </c>
      <c r="AL34" s="265">
        <v>13.914</v>
      </c>
      <c r="AM34" s="265">
        <v>4.2000000000000003E-2</v>
      </c>
      <c r="AN34" s="13">
        <v>6.5</v>
      </c>
      <c r="AO34" s="308"/>
      <c r="AP34" s="308"/>
      <c r="AQ34" s="308"/>
      <c r="AR34" s="308"/>
      <c r="AS34" s="12">
        <f>Table1[[#This Row],[Object_A_._head_time]]+Table1[[#This Row],[Object_B_._head_time]]</f>
        <v>79.2</v>
      </c>
      <c r="AT34" s="282"/>
      <c r="AU34" s="282"/>
      <c r="AV34" s="283"/>
      <c r="AW34" s="282"/>
      <c r="AX34" s="308">
        <f>(Table1[[#This Row],[Object_A_._head_time]]/(Table1[[#This Row],[Object_A_._head_time]]+Table1[[#This Row],[Object_B_._head_time]]))</f>
        <v>0.44444444444444448</v>
      </c>
      <c r="AY34" s="264" t="s">
        <v>487</v>
      </c>
      <c r="AZ34" s="264" t="s">
        <v>476</v>
      </c>
      <c r="BA34" s="12" t="s">
        <v>475</v>
      </c>
      <c r="BB34" s="12">
        <v>68</v>
      </c>
      <c r="BC34" s="12">
        <v>2.2666666666666666</v>
      </c>
      <c r="BD34" s="12" t="s">
        <v>474</v>
      </c>
      <c r="BE34" s="284">
        <v>5</v>
      </c>
      <c r="BF34" s="12" t="s">
        <v>465</v>
      </c>
      <c r="BG34" s="279"/>
      <c r="BH34" s="279"/>
      <c r="BI34" s="279"/>
      <c r="BJ34" s="279"/>
      <c r="BK34" s="279"/>
      <c r="BL34" s="279"/>
      <c r="BM34" s="279"/>
      <c r="BN34" s="279"/>
      <c r="BO34" s="279"/>
      <c r="BP34" s="279"/>
      <c r="BQ34" s="279"/>
      <c r="BR34" s="279"/>
      <c r="BS34" s="279"/>
      <c r="BT34" s="279"/>
      <c r="BU34" s="279"/>
      <c r="BV34" s="279"/>
      <c r="BW34" s="279"/>
      <c r="BX34" s="279"/>
      <c r="BY34" s="279"/>
      <c r="BZ34" s="279"/>
      <c r="CA34" s="279"/>
      <c r="CB34" s="279"/>
      <c r="CC34" s="279"/>
      <c r="CD34" s="279"/>
      <c r="CE34" s="279"/>
      <c r="CF34" s="279"/>
      <c r="CG34" s="279"/>
      <c r="CH34" s="279"/>
      <c r="CI34" s="279"/>
      <c r="CJ34" s="279"/>
      <c r="CK34" s="279"/>
      <c r="CL34" s="279"/>
      <c r="CM34" s="279"/>
      <c r="CN34" s="279"/>
      <c r="CO34" s="279"/>
      <c r="CP34" s="279"/>
      <c r="CQ34" s="279"/>
      <c r="CR34" s="279"/>
      <c r="CS34" s="279"/>
      <c r="CT34" s="279"/>
      <c r="CU34" s="279"/>
      <c r="CV34" s="279"/>
      <c r="CW34" s="279"/>
      <c r="CX34" s="279"/>
      <c r="CY34" s="279"/>
      <c r="CZ34" s="279"/>
      <c r="DA34" s="279"/>
      <c r="DB34" s="279"/>
      <c r="DC34" s="279"/>
      <c r="DD34" s="279"/>
      <c r="DE34" s="279"/>
      <c r="DF34" s="279"/>
      <c r="DG34" s="279"/>
      <c r="DH34" s="279"/>
      <c r="DI34" s="279"/>
      <c r="DJ34" s="279"/>
      <c r="DK34" s="279"/>
      <c r="DL34" s="279"/>
      <c r="DM34" s="279"/>
      <c r="DN34" s="279"/>
      <c r="DO34" s="279"/>
      <c r="DP34" s="279"/>
      <c r="DQ34" s="279"/>
      <c r="DR34" s="279"/>
      <c r="DS34" s="279"/>
      <c r="DT34" s="279"/>
      <c r="DU34" s="279"/>
      <c r="DV34" s="279"/>
      <c r="DW34" s="279"/>
      <c r="DX34" s="279"/>
      <c r="DY34" s="279"/>
      <c r="DZ34" s="279"/>
      <c r="EA34" s="279"/>
      <c r="EB34" s="285"/>
    </row>
    <row r="35" spans="1:132" s="286" customFormat="1" ht="12" customHeight="1" x14ac:dyDescent="0.15">
      <c r="A35" s="264">
        <v>80</v>
      </c>
      <c r="B35" s="281" t="s">
        <v>121</v>
      </c>
      <c r="C35" s="264" t="s">
        <v>211</v>
      </c>
      <c r="D35" s="264" t="s">
        <v>46</v>
      </c>
      <c r="E35" s="264" t="s">
        <v>151</v>
      </c>
      <c r="F35" s="264" t="s">
        <v>252</v>
      </c>
      <c r="G35" s="264" t="s">
        <v>254</v>
      </c>
      <c r="H35" s="13">
        <v>360</v>
      </c>
      <c r="I35" s="265">
        <v>10.773</v>
      </c>
      <c r="J35" s="265">
        <v>0.03</v>
      </c>
      <c r="K35" s="265">
        <v>0.29799999999999999</v>
      </c>
      <c r="L35" s="13">
        <v>52.4</v>
      </c>
      <c r="M35" s="12">
        <v>17</v>
      </c>
      <c r="N35" s="13">
        <v>25.1</v>
      </c>
      <c r="O35" s="265">
        <v>1.4279999999999999</v>
      </c>
      <c r="P35" s="265">
        <v>5.7000000000000002E-2</v>
      </c>
      <c r="Q35" s="265">
        <v>0.20300000000000001</v>
      </c>
      <c r="R35" s="13">
        <v>6.4</v>
      </c>
      <c r="S35" s="12">
        <v>2146</v>
      </c>
      <c r="T35" s="13">
        <v>0</v>
      </c>
      <c r="U35" s="13">
        <v>5.5</v>
      </c>
      <c r="V35" s="12">
        <v>21</v>
      </c>
      <c r="W35" s="13">
        <v>45.2</v>
      </c>
      <c r="X35" s="265">
        <v>1.5189999999999999</v>
      </c>
      <c r="Y35" s="265">
        <v>3.4000000000000002E-2</v>
      </c>
      <c r="Z35" s="265">
        <v>0.245</v>
      </c>
      <c r="AA35" s="13">
        <v>6.5</v>
      </c>
      <c r="AB35" s="12">
        <v>2447</v>
      </c>
      <c r="AC35" s="13">
        <v>9.5</v>
      </c>
      <c r="AD35" s="13">
        <v>22.7</v>
      </c>
      <c r="AE35" s="12">
        <v>9</v>
      </c>
      <c r="AF35" s="13">
        <v>10.6</v>
      </c>
      <c r="AG35" s="265">
        <v>1.1819999999999999</v>
      </c>
      <c r="AH35" s="265">
        <v>0.111</v>
      </c>
      <c r="AI35" s="13">
        <v>0</v>
      </c>
      <c r="AJ35" s="12">
        <v>10</v>
      </c>
      <c r="AK35" s="13">
        <v>349.4</v>
      </c>
      <c r="AL35" s="265">
        <v>9.5909999999999993</v>
      </c>
      <c r="AM35" s="265">
        <v>2.7E-2</v>
      </c>
      <c r="AN35" s="13">
        <v>52.4</v>
      </c>
      <c r="AO35" s="308"/>
      <c r="AP35" s="308"/>
      <c r="AQ35" s="308"/>
      <c r="AR35" s="308"/>
      <c r="AS35" s="12">
        <f>Table1[[#This Row],[Object_A_._head_time]]+Table1[[#This Row],[Object_B_._head_time]]</f>
        <v>70.300000000000011</v>
      </c>
      <c r="AT35" s="282"/>
      <c r="AU35" s="282"/>
      <c r="AV35" s="283"/>
      <c r="AW35" s="282"/>
      <c r="AX35" s="308">
        <f>(Table1[[#This Row],[Object_A_._head_time]]/(Table1[[#This Row],[Object_A_._head_time]]+Table1[[#This Row],[Object_B_._head_time]]))</f>
        <v>0.35704125177809387</v>
      </c>
      <c r="AY35" s="264" t="s">
        <v>486</v>
      </c>
      <c r="AZ35" s="264" t="s">
        <v>472</v>
      </c>
      <c r="BA35" s="12" t="s">
        <v>475</v>
      </c>
      <c r="BB35" s="12">
        <v>61</v>
      </c>
      <c r="BC35" s="12">
        <v>2.0333333333333332</v>
      </c>
      <c r="BD35" s="12" t="s">
        <v>474</v>
      </c>
      <c r="BE35" s="284">
        <v>1</v>
      </c>
      <c r="BF35" s="12" t="s">
        <v>466</v>
      </c>
      <c r="BG35" s="279"/>
      <c r="BH35" s="279"/>
      <c r="BI35" s="279"/>
      <c r="BJ35" s="279"/>
      <c r="BK35" s="279"/>
      <c r="BL35" s="279"/>
      <c r="BM35" s="279"/>
      <c r="BN35" s="279"/>
      <c r="BO35" s="279"/>
      <c r="BP35" s="279"/>
      <c r="BQ35" s="279"/>
      <c r="BR35" s="279"/>
      <c r="BS35" s="279"/>
      <c r="BT35" s="279"/>
      <c r="BU35" s="279"/>
      <c r="BV35" s="279"/>
      <c r="BW35" s="279"/>
      <c r="BX35" s="279"/>
      <c r="BY35" s="279"/>
      <c r="BZ35" s="279"/>
      <c r="CA35" s="279"/>
      <c r="CB35" s="279"/>
      <c r="CC35" s="279"/>
      <c r="CD35" s="279"/>
      <c r="CE35" s="279"/>
      <c r="CF35" s="279"/>
      <c r="CG35" s="279"/>
      <c r="CH35" s="279"/>
      <c r="CI35" s="279"/>
      <c r="CJ35" s="279"/>
      <c r="CK35" s="279"/>
      <c r="CL35" s="279"/>
      <c r="CM35" s="279"/>
      <c r="CN35" s="279"/>
      <c r="CO35" s="279"/>
      <c r="CP35" s="279"/>
      <c r="CQ35" s="279"/>
      <c r="CR35" s="279"/>
      <c r="CS35" s="279"/>
      <c r="CT35" s="279"/>
      <c r="CU35" s="279"/>
      <c r="CV35" s="279"/>
      <c r="CW35" s="279"/>
      <c r="CX35" s="279"/>
      <c r="CY35" s="279"/>
      <c r="CZ35" s="279"/>
      <c r="DA35" s="279"/>
      <c r="DB35" s="279"/>
      <c r="DC35" s="279"/>
      <c r="DD35" s="279"/>
      <c r="DE35" s="279"/>
      <c r="DF35" s="279"/>
      <c r="DG35" s="279"/>
      <c r="DH35" s="279"/>
      <c r="DI35" s="279"/>
      <c r="DJ35" s="279"/>
      <c r="DK35" s="279"/>
      <c r="DL35" s="279"/>
      <c r="DM35" s="279"/>
      <c r="DN35" s="279"/>
      <c r="DO35" s="279"/>
      <c r="DP35" s="279"/>
      <c r="DQ35" s="279"/>
      <c r="DR35" s="279"/>
      <c r="DS35" s="279"/>
      <c r="DT35" s="279"/>
      <c r="DU35" s="279"/>
      <c r="DV35" s="279"/>
      <c r="DW35" s="279"/>
      <c r="DX35" s="279"/>
      <c r="DY35" s="279"/>
      <c r="DZ35" s="279"/>
      <c r="EA35" s="279"/>
      <c r="EB35" s="285"/>
    </row>
    <row r="36" spans="1:132" s="286" customFormat="1" ht="12" customHeight="1" x14ac:dyDescent="0.15">
      <c r="A36" s="264">
        <v>82</v>
      </c>
      <c r="B36" s="281" t="s">
        <v>123</v>
      </c>
      <c r="C36" s="264" t="s">
        <v>211</v>
      </c>
      <c r="D36" s="264" t="s">
        <v>49</v>
      </c>
      <c r="E36" s="264" t="s">
        <v>151</v>
      </c>
      <c r="F36" s="264" t="s">
        <v>252</v>
      </c>
      <c r="G36" s="264" t="s">
        <v>255</v>
      </c>
      <c r="H36" s="13">
        <v>360</v>
      </c>
      <c r="I36" s="265">
        <v>68.344999999999999</v>
      </c>
      <c r="J36" s="265">
        <v>0.19</v>
      </c>
      <c r="K36" s="265">
        <v>0.47199999999999998</v>
      </c>
      <c r="L36" s="13">
        <v>4.7</v>
      </c>
      <c r="M36" s="12">
        <v>102</v>
      </c>
      <c r="N36" s="13">
        <v>70.400000000000006</v>
      </c>
      <c r="O36" s="265">
        <v>9.36</v>
      </c>
      <c r="P36" s="265">
        <v>0.13300000000000001</v>
      </c>
      <c r="Q36" s="265">
        <v>0.43</v>
      </c>
      <c r="R36" s="13">
        <v>24.9</v>
      </c>
      <c r="S36" s="12">
        <v>11176</v>
      </c>
      <c r="T36" s="13">
        <v>4.3</v>
      </c>
      <c r="U36" s="13">
        <v>14</v>
      </c>
      <c r="V36" s="12">
        <v>86</v>
      </c>
      <c r="W36" s="13">
        <v>57.9</v>
      </c>
      <c r="X36" s="265">
        <v>8.3420000000000005</v>
      </c>
      <c r="Y36" s="265">
        <v>0.14399999999999999</v>
      </c>
      <c r="Z36" s="265">
        <v>0.47199999999999998</v>
      </c>
      <c r="AA36" s="13">
        <v>20</v>
      </c>
      <c r="AB36" s="12">
        <v>9188</v>
      </c>
      <c r="AC36" s="13">
        <v>0</v>
      </c>
      <c r="AD36" s="13">
        <v>11.2</v>
      </c>
      <c r="AE36" s="12">
        <v>144</v>
      </c>
      <c r="AF36" s="13">
        <v>87.9</v>
      </c>
      <c r="AG36" s="265">
        <v>20.013999999999999</v>
      </c>
      <c r="AH36" s="265">
        <v>0.22800000000000001</v>
      </c>
      <c r="AI36" s="13">
        <v>0</v>
      </c>
      <c r="AJ36" s="12">
        <v>145</v>
      </c>
      <c r="AK36" s="13">
        <v>272.10000000000002</v>
      </c>
      <c r="AL36" s="265">
        <v>48.33</v>
      </c>
      <c r="AM36" s="265">
        <v>0.17799999999999999</v>
      </c>
      <c r="AN36" s="13">
        <v>4.7</v>
      </c>
      <c r="AO36" s="308"/>
      <c r="AP36" s="308"/>
      <c r="AQ36" s="308"/>
      <c r="AR36" s="308"/>
      <c r="AS36" s="12">
        <f>Table1[[#This Row],[Object_A_._head_time]]+Table1[[#This Row],[Object_B_._head_time]]</f>
        <v>128.30000000000001</v>
      </c>
      <c r="AT36" s="282"/>
      <c r="AU36" s="282"/>
      <c r="AV36" s="283"/>
      <c r="AW36" s="282"/>
      <c r="AX36" s="308">
        <f>(Table1[[#This Row],[Object_A_._head_time]]/(Table1[[#This Row],[Object_A_._head_time]]+Table1[[#This Row],[Object_B_._head_time]]))</f>
        <v>0.54871395167575998</v>
      </c>
      <c r="AY36" s="264" t="s">
        <v>486</v>
      </c>
      <c r="AZ36" s="264" t="s">
        <v>472</v>
      </c>
      <c r="BA36" s="12" t="s">
        <v>473</v>
      </c>
      <c r="BB36" s="12">
        <v>61</v>
      </c>
      <c r="BC36" s="12">
        <v>2.0333333333333332</v>
      </c>
      <c r="BD36" s="12" t="s">
        <v>477</v>
      </c>
      <c r="BE36" s="284">
        <v>4</v>
      </c>
      <c r="BF36" s="12" t="s">
        <v>467</v>
      </c>
      <c r="BG36" s="279"/>
      <c r="BH36" s="279"/>
      <c r="BI36" s="279"/>
      <c r="BJ36" s="279"/>
      <c r="BK36" s="279"/>
      <c r="BL36" s="279"/>
      <c r="BM36" s="279"/>
      <c r="BN36" s="279"/>
      <c r="BO36" s="279"/>
      <c r="BP36" s="279"/>
      <c r="BQ36" s="279"/>
      <c r="BR36" s="279"/>
      <c r="BS36" s="279"/>
      <c r="BT36" s="279"/>
      <c r="BU36" s="279"/>
      <c r="BV36" s="279"/>
      <c r="BW36" s="279"/>
      <c r="BX36" s="279"/>
      <c r="BY36" s="279"/>
      <c r="BZ36" s="279"/>
      <c r="CA36" s="279"/>
      <c r="CB36" s="279"/>
      <c r="CC36" s="279"/>
      <c r="CD36" s="279"/>
      <c r="CE36" s="279"/>
      <c r="CF36" s="279"/>
      <c r="CG36" s="279"/>
      <c r="CH36" s="279"/>
      <c r="CI36" s="279"/>
      <c r="CJ36" s="279"/>
      <c r="CK36" s="279"/>
      <c r="CL36" s="279"/>
      <c r="CM36" s="279"/>
      <c r="CN36" s="279"/>
      <c r="CO36" s="279"/>
      <c r="CP36" s="279"/>
      <c r="CQ36" s="279"/>
      <c r="CR36" s="279"/>
      <c r="CS36" s="279"/>
      <c r="CT36" s="279"/>
      <c r="CU36" s="279"/>
      <c r="CV36" s="279"/>
      <c r="CW36" s="279"/>
      <c r="CX36" s="279"/>
      <c r="CY36" s="279"/>
      <c r="CZ36" s="279"/>
      <c r="DA36" s="279"/>
      <c r="DB36" s="279"/>
      <c r="DC36" s="279"/>
      <c r="DD36" s="279"/>
      <c r="DE36" s="279"/>
      <c r="DF36" s="279"/>
      <c r="DG36" s="279"/>
      <c r="DH36" s="279"/>
      <c r="DI36" s="279"/>
      <c r="DJ36" s="279"/>
      <c r="DK36" s="279"/>
      <c r="DL36" s="279"/>
      <c r="DM36" s="279"/>
      <c r="DN36" s="279"/>
      <c r="DO36" s="279"/>
      <c r="DP36" s="279"/>
      <c r="DQ36" s="279"/>
      <c r="DR36" s="279"/>
      <c r="DS36" s="279"/>
      <c r="DT36" s="279"/>
      <c r="DU36" s="279"/>
      <c r="DV36" s="279"/>
      <c r="DW36" s="279"/>
      <c r="DX36" s="279"/>
      <c r="DY36" s="279"/>
      <c r="DZ36" s="279"/>
      <c r="EA36" s="279"/>
      <c r="EB36" s="285"/>
    </row>
    <row r="37" spans="1:132" s="286" customFormat="1" ht="12" customHeight="1" x14ac:dyDescent="0.15">
      <c r="A37" s="264">
        <v>81</v>
      </c>
      <c r="B37" s="281" t="s">
        <v>125</v>
      </c>
      <c r="C37" s="264" t="s">
        <v>211</v>
      </c>
      <c r="D37" s="264" t="s">
        <v>53</v>
      </c>
      <c r="E37" s="264" t="s">
        <v>151</v>
      </c>
      <c r="F37" s="264" t="s">
        <v>252</v>
      </c>
      <c r="G37" s="264" t="s">
        <v>256</v>
      </c>
      <c r="H37" s="13">
        <v>360</v>
      </c>
      <c r="I37" s="265">
        <v>23.363</v>
      </c>
      <c r="J37" s="265">
        <v>6.5000000000000002E-2</v>
      </c>
      <c r="K37" s="265">
        <v>0.33500000000000002</v>
      </c>
      <c r="L37" s="13">
        <v>14.4</v>
      </c>
      <c r="M37" s="12">
        <v>44</v>
      </c>
      <c r="N37" s="13">
        <v>45.1</v>
      </c>
      <c r="O37" s="265">
        <v>3.129</v>
      </c>
      <c r="P37" s="265">
        <v>6.9000000000000006E-2</v>
      </c>
      <c r="Q37" s="265">
        <v>0.317</v>
      </c>
      <c r="R37" s="13">
        <v>14.6</v>
      </c>
      <c r="S37" s="12">
        <v>4232</v>
      </c>
      <c r="T37" s="13">
        <v>0</v>
      </c>
      <c r="U37" s="13">
        <v>16.3</v>
      </c>
      <c r="V37" s="12">
        <v>31</v>
      </c>
      <c r="W37" s="13">
        <v>29.8</v>
      </c>
      <c r="X37" s="265">
        <v>2.238</v>
      </c>
      <c r="Y37" s="265">
        <v>7.4999999999999997E-2</v>
      </c>
      <c r="Z37" s="265">
        <v>0.26500000000000001</v>
      </c>
      <c r="AA37" s="13">
        <v>12</v>
      </c>
      <c r="AB37" s="12">
        <v>3114</v>
      </c>
      <c r="AC37" s="13">
        <v>0</v>
      </c>
      <c r="AD37" s="13">
        <v>10.7</v>
      </c>
      <c r="AE37" s="12">
        <v>22</v>
      </c>
      <c r="AF37" s="13">
        <v>24.5</v>
      </c>
      <c r="AG37" s="265">
        <v>3.1539999999999999</v>
      </c>
      <c r="AH37" s="265">
        <v>0.129</v>
      </c>
      <c r="AI37" s="13">
        <v>0</v>
      </c>
      <c r="AJ37" s="12">
        <v>23</v>
      </c>
      <c r="AK37" s="13">
        <v>335.5</v>
      </c>
      <c r="AL37" s="265">
        <v>20.209</v>
      </c>
      <c r="AM37" s="265">
        <v>0.06</v>
      </c>
      <c r="AN37" s="13">
        <v>14.4</v>
      </c>
      <c r="AO37" s="308"/>
      <c r="AP37" s="308"/>
      <c r="AQ37" s="308"/>
      <c r="AR37" s="308"/>
      <c r="AS37" s="12">
        <f>Table1[[#This Row],[Object_A_._head_time]]+Table1[[#This Row],[Object_B_._head_time]]</f>
        <v>74.900000000000006</v>
      </c>
      <c r="AT37" s="282"/>
      <c r="AU37" s="282"/>
      <c r="AV37" s="283"/>
      <c r="AW37" s="282"/>
      <c r="AX37" s="308">
        <f>(Table1[[#This Row],[Object_A_._head_time]]/(Table1[[#This Row],[Object_A_._head_time]]+Table1[[#This Row],[Object_B_._head_time]]))</f>
        <v>0.60213618157543392</v>
      </c>
      <c r="AY37" s="264" t="s">
        <v>486</v>
      </c>
      <c r="AZ37" s="264" t="s">
        <v>472</v>
      </c>
      <c r="BA37" s="12" t="s">
        <v>475</v>
      </c>
      <c r="BB37" s="12">
        <v>61</v>
      </c>
      <c r="BC37" s="12">
        <v>2.0333333333333332</v>
      </c>
      <c r="BD37" s="12" t="s">
        <v>477</v>
      </c>
      <c r="BE37" s="284">
        <v>2</v>
      </c>
      <c r="BF37" s="12" t="s">
        <v>466</v>
      </c>
      <c r="BG37" s="279"/>
      <c r="BH37" s="279"/>
      <c r="BI37" s="279"/>
      <c r="BJ37" s="279"/>
      <c r="BK37" s="279"/>
      <c r="BL37" s="279"/>
      <c r="BM37" s="279"/>
      <c r="BN37" s="279"/>
      <c r="BO37" s="279"/>
      <c r="BP37" s="279"/>
      <c r="BQ37" s="279"/>
      <c r="BR37" s="279"/>
      <c r="BS37" s="279"/>
      <c r="BT37" s="279"/>
      <c r="BU37" s="279"/>
      <c r="BV37" s="279"/>
      <c r="BW37" s="279"/>
      <c r="BX37" s="279"/>
      <c r="BY37" s="279"/>
      <c r="BZ37" s="279"/>
      <c r="CA37" s="279"/>
      <c r="CB37" s="279"/>
      <c r="CC37" s="279"/>
      <c r="CD37" s="279"/>
      <c r="CE37" s="279"/>
      <c r="CF37" s="279"/>
      <c r="CG37" s="279"/>
      <c r="CH37" s="279"/>
      <c r="CI37" s="279"/>
      <c r="CJ37" s="279"/>
      <c r="CK37" s="279"/>
      <c r="CL37" s="279"/>
      <c r="CM37" s="279"/>
      <c r="CN37" s="279"/>
      <c r="CO37" s="279"/>
      <c r="CP37" s="279"/>
      <c r="CQ37" s="279"/>
      <c r="CR37" s="279"/>
      <c r="CS37" s="279"/>
      <c r="CT37" s="279"/>
      <c r="CU37" s="279"/>
      <c r="CV37" s="279"/>
      <c r="CW37" s="279"/>
      <c r="CX37" s="279"/>
      <c r="CY37" s="279"/>
      <c r="CZ37" s="279"/>
      <c r="DA37" s="279"/>
      <c r="DB37" s="279"/>
      <c r="DC37" s="279"/>
      <c r="DD37" s="279"/>
      <c r="DE37" s="279"/>
      <c r="DF37" s="279"/>
      <c r="DG37" s="279"/>
      <c r="DH37" s="279"/>
      <c r="DI37" s="279"/>
      <c r="DJ37" s="279"/>
      <c r="DK37" s="279"/>
      <c r="DL37" s="279"/>
      <c r="DM37" s="279"/>
      <c r="DN37" s="279"/>
      <c r="DO37" s="279"/>
      <c r="DP37" s="279"/>
      <c r="DQ37" s="279"/>
      <c r="DR37" s="279"/>
      <c r="DS37" s="279"/>
      <c r="DT37" s="279"/>
      <c r="DU37" s="279"/>
      <c r="DV37" s="279"/>
      <c r="DW37" s="279"/>
      <c r="DX37" s="279"/>
      <c r="DY37" s="279"/>
      <c r="DZ37" s="279"/>
      <c r="EA37" s="279"/>
      <c r="EB37" s="285"/>
    </row>
    <row r="38" spans="1:132" s="286" customFormat="1" ht="12" customHeight="1" x14ac:dyDescent="0.15">
      <c r="A38" s="264">
        <v>84</v>
      </c>
      <c r="B38" s="281" t="s">
        <v>127</v>
      </c>
      <c r="C38" s="264" t="s">
        <v>211</v>
      </c>
      <c r="D38" s="264" t="s">
        <v>41</v>
      </c>
      <c r="E38" s="264" t="s">
        <v>151</v>
      </c>
      <c r="F38" s="264" t="s">
        <v>257</v>
      </c>
      <c r="G38" s="264" t="s">
        <v>258</v>
      </c>
      <c r="H38" s="13">
        <v>360</v>
      </c>
      <c r="I38" s="265">
        <v>19.808</v>
      </c>
      <c r="J38" s="265">
        <v>5.5E-2</v>
      </c>
      <c r="K38" s="265">
        <v>0.30599999999999999</v>
      </c>
      <c r="L38" s="13">
        <v>26.3</v>
      </c>
      <c r="M38" s="12">
        <v>22</v>
      </c>
      <c r="N38" s="13">
        <v>15.7</v>
      </c>
      <c r="O38" s="265">
        <v>0.56200000000000006</v>
      </c>
      <c r="P38" s="265">
        <v>3.5999999999999997E-2</v>
      </c>
      <c r="Q38" s="265">
        <v>0.17399999999999999</v>
      </c>
      <c r="R38" s="13">
        <v>9.5</v>
      </c>
      <c r="S38" s="12">
        <v>1133</v>
      </c>
      <c r="T38" s="13">
        <v>0</v>
      </c>
      <c r="U38" s="13">
        <v>13.4</v>
      </c>
      <c r="V38" s="12">
        <v>14</v>
      </c>
      <c r="W38" s="13">
        <v>10.7</v>
      </c>
      <c r="X38" s="265">
        <v>0.39200000000000002</v>
      </c>
      <c r="Y38" s="265">
        <v>3.6999999999999998E-2</v>
      </c>
      <c r="Z38" s="265">
        <v>0.183</v>
      </c>
      <c r="AA38" s="13">
        <v>5.5</v>
      </c>
      <c r="AB38" s="12">
        <v>905</v>
      </c>
      <c r="AC38" s="13">
        <v>0</v>
      </c>
      <c r="AD38" s="13">
        <v>10.199999999999999</v>
      </c>
      <c r="AE38" s="12">
        <v>6</v>
      </c>
      <c r="AF38" s="13">
        <v>5.2</v>
      </c>
      <c r="AG38" s="265">
        <v>0.58199999999999996</v>
      </c>
      <c r="AH38" s="265">
        <v>0.112</v>
      </c>
      <c r="AI38" s="13">
        <v>0</v>
      </c>
      <c r="AJ38" s="12">
        <v>7</v>
      </c>
      <c r="AK38" s="13">
        <v>354.8</v>
      </c>
      <c r="AL38" s="265">
        <v>19.225999999999999</v>
      </c>
      <c r="AM38" s="265">
        <v>5.3999999999999999E-2</v>
      </c>
      <c r="AN38" s="13">
        <v>26.3</v>
      </c>
      <c r="AO38" s="308"/>
      <c r="AP38" s="308"/>
      <c r="AQ38" s="308"/>
      <c r="AR38" s="308"/>
      <c r="AS38" s="12">
        <f>Table1[[#This Row],[Object_A_._head_time]]+Table1[[#This Row],[Object_B_._head_time]]</f>
        <v>26.4</v>
      </c>
      <c r="AT38" s="282"/>
      <c r="AU38" s="282"/>
      <c r="AV38" s="283"/>
      <c r="AW38" s="282"/>
      <c r="AX38" s="308">
        <f>(Table1[[#This Row],[Object_A_._head_time]]/(Table1[[#This Row],[Object_A_._head_time]]+Table1[[#This Row],[Object_B_._head_time]]))</f>
        <v>0.59469696969696972</v>
      </c>
      <c r="AY38" s="264" t="s">
        <v>486</v>
      </c>
      <c r="AZ38" s="264" t="s">
        <v>472</v>
      </c>
      <c r="BA38" s="12" t="s">
        <v>473</v>
      </c>
      <c r="BB38" s="12">
        <v>61</v>
      </c>
      <c r="BC38" s="12">
        <v>2.0333333333333332</v>
      </c>
      <c r="BD38" s="12" t="s">
        <v>477</v>
      </c>
      <c r="BE38" s="284">
        <v>4</v>
      </c>
      <c r="BF38" s="12"/>
      <c r="BG38" s="279"/>
      <c r="BH38" s="279"/>
      <c r="BI38" s="279"/>
      <c r="BJ38" s="279"/>
      <c r="BK38" s="279"/>
      <c r="BL38" s="279"/>
      <c r="BM38" s="279"/>
      <c r="BN38" s="279"/>
      <c r="BO38" s="279"/>
      <c r="BP38" s="279"/>
      <c r="BQ38" s="279"/>
      <c r="BR38" s="279"/>
      <c r="BS38" s="279"/>
      <c r="BT38" s="279"/>
      <c r="BU38" s="279"/>
      <c r="BV38" s="279"/>
      <c r="BW38" s="279"/>
      <c r="BX38" s="279"/>
      <c r="BY38" s="279"/>
      <c r="BZ38" s="279"/>
      <c r="CA38" s="279"/>
      <c r="CB38" s="279"/>
      <c r="CC38" s="279"/>
      <c r="CD38" s="279"/>
      <c r="CE38" s="279"/>
      <c r="CF38" s="279"/>
      <c r="CG38" s="279"/>
      <c r="CH38" s="279"/>
      <c r="CI38" s="279"/>
      <c r="CJ38" s="279"/>
      <c r="CK38" s="279"/>
      <c r="CL38" s="279"/>
      <c r="CM38" s="279"/>
      <c r="CN38" s="279"/>
      <c r="CO38" s="279"/>
      <c r="CP38" s="279"/>
      <c r="CQ38" s="279"/>
      <c r="CR38" s="279"/>
      <c r="CS38" s="279"/>
      <c r="CT38" s="279"/>
      <c r="CU38" s="279"/>
      <c r="CV38" s="279"/>
      <c r="CW38" s="279"/>
      <c r="CX38" s="279"/>
      <c r="CY38" s="279"/>
      <c r="CZ38" s="279"/>
      <c r="DA38" s="279"/>
      <c r="DB38" s="279"/>
      <c r="DC38" s="279"/>
      <c r="DD38" s="279"/>
      <c r="DE38" s="279"/>
      <c r="DF38" s="279"/>
      <c r="DG38" s="279"/>
      <c r="DH38" s="279"/>
      <c r="DI38" s="279"/>
      <c r="DJ38" s="279"/>
      <c r="DK38" s="279"/>
      <c r="DL38" s="279"/>
      <c r="DM38" s="279"/>
      <c r="DN38" s="279"/>
      <c r="DO38" s="279"/>
      <c r="DP38" s="279"/>
      <c r="DQ38" s="279"/>
      <c r="DR38" s="279"/>
      <c r="DS38" s="279"/>
      <c r="DT38" s="279"/>
      <c r="DU38" s="279"/>
      <c r="DV38" s="279"/>
      <c r="DW38" s="279"/>
      <c r="DX38" s="279"/>
      <c r="DY38" s="279"/>
      <c r="DZ38" s="279"/>
      <c r="EA38" s="279"/>
      <c r="EB38" s="285"/>
    </row>
    <row r="39" spans="1:132" s="286" customFormat="1" ht="12" customHeight="1" x14ac:dyDescent="0.15">
      <c r="A39" s="264">
        <v>83</v>
      </c>
      <c r="B39" s="281" t="s">
        <v>130</v>
      </c>
      <c r="C39" s="264" t="s">
        <v>211</v>
      </c>
      <c r="D39" s="264" t="s">
        <v>46</v>
      </c>
      <c r="E39" s="264" t="s">
        <v>151</v>
      </c>
      <c r="F39" s="264" t="s">
        <v>257</v>
      </c>
      <c r="G39" s="264" t="s">
        <v>259</v>
      </c>
      <c r="H39" s="13">
        <v>360</v>
      </c>
      <c r="I39" s="265">
        <v>13.917999999999999</v>
      </c>
      <c r="J39" s="265">
        <v>3.9E-2</v>
      </c>
      <c r="K39" s="265">
        <v>0.27400000000000002</v>
      </c>
      <c r="L39" s="13">
        <v>109.2</v>
      </c>
      <c r="M39" s="12">
        <v>13</v>
      </c>
      <c r="N39" s="13">
        <v>15.2</v>
      </c>
      <c r="O39" s="265">
        <v>1.151</v>
      </c>
      <c r="P39" s="265">
        <v>7.5999999999999998E-2</v>
      </c>
      <c r="Q39" s="265">
        <v>0.23200000000000001</v>
      </c>
      <c r="R39" s="13">
        <v>4.7</v>
      </c>
      <c r="S39" s="12">
        <v>1213</v>
      </c>
      <c r="T39" s="13">
        <v>0</v>
      </c>
      <c r="U39" s="13">
        <v>7.3</v>
      </c>
      <c r="V39" s="12">
        <v>29</v>
      </c>
      <c r="W39" s="13">
        <v>33.299999999999997</v>
      </c>
      <c r="X39" s="265">
        <v>1.9490000000000001</v>
      </c>
      <c r="Y39" s="265">
        <v>5.8000000000000003E-2</v>
      </c>
      <c r="Z39" s="265">
        <v>0.26200000000000001</v>
      </c>
      <c r="AA39" s="13">
        <v>10.9</v>
      </c>
      <c r="AB39" s="12">
        <v>2751</v>
      </c>
      <c r="AC39" s="13">
        <v>0</v>
      </c>
      <c r="AD39" s="13">
        <v>11.6</v>
      </c>
      <c r="AE39" s="12">
        <v>15</v>
      </c>
      <c r="AF39" s="13">
        <v>17.8</v>
      </c>
      <c r="AG39" s="265">
        <v>1.8819999999999999</v>
      </c>
      <c r="AH39" s="265">
        <v>0.105</v>
      </c>
      <c r="AI39" s="13">
        <v>0</v>
      </c>
      <c r="AJ39" s="12">
        <v>16</v>
      </c>
      <c r="AK39" s="13">
        <v>342.2</v>
      </c>
      <c r="AL39" s="265">
        <v>12.036</v>
      </c>
      <c r="AM39" s="265">
        <v>3.5000000000000003E-2</v>
      </c>
      <c r="AN39" s="13">
        <v>109.2</v>
      </c>
      <c r="AO39" s="308"/>
      <c r="AP39" s="308"/>
      <c r="AQ39" s="308"/>
      <c r="AR39" s="308"/>
      <c r="AS39" s="12">
        <f>Table1[[#This Row],[Object_A_._head_time]]+Table1[[#This Row],[Object_B_._head_time]]</f>
        <v>48.5</v>
      </c>
      <c r="AT39" s="282"/>
      <c r="AU39" s="282"/>
      <c r="AV39" s="283"/>
      <c r="AW39" s="282"/>
      <c r="AX39" s="308">
        <f>(Table1[[#This Row],[Object_A_._head_time]]/(Table1[[#This Row],[Object_A_._head_time]]+Table1[[#This Row],[Object_B_._head_time]]))</f>
        <v>0.3134020618556701</v>
      </c>
      <c r="AY39" s="264" t="s">
        <v>486</v>
      </c>
      <c r="AZ39" s="264" t="s">
        <v>472</v>
      </c>
      <c r="BA39" s="12" t="s">
        <v>473</v>
      </c>
      <c r="BB39" s="12">
        <v>61</v>
      </c>
      <c r="BC39" s="12">
        <v>2.0333333333333332</v>
      </c>
      <c r="BD39" s="12" t="s">
        <v>474</v>
      </c>
      <c r="BE39" s="284">
        <v>3</v>
      </c>
      <c r="BF39" s="12" t="s">
        <v>468</v>
      </c>
      <c r="BG39" s="279"/>
      <c r="BH39" s="279"/>
      <c r="BI39" s="279"/>
      <c r="BJ39" s="279"/>
      <c r="BK39" s="279"/>
      <c r="BL39" s="279"/>
      <c r="BM39" s="279"/>
      <c r="BN39" s="279"/>
      <c r="BO39" s="279"/>
      <c r="BP39" s="279"/>
      <c r="BQ39" s="279"/>
      <c r="BR39" s="279"/>
      <c r="BS39" s="279"/>
      <c r="BT39" s="279"/>
      <c r="BU39" s="279"/>
      <c r="BV39" s="279"/>
      <c r="BW39" s="279"/>
      <c r="BX39" s="279"/>
      <c r="BY39" s="279"/>
      <c r="BZ39" s="279"/>
      <c r="CA39" s="279"/>
      <c r="CB39" s="279"/>
      <c r="CC39" s="279"/>
      <c r="CD39" s="279"/>
      <c r="CE39" s="279"/>
      <c r="CF39" s="279"/>
      <c r="CG39" s="279"/>
      <c r="CH39" s="279"/>
      <c r="CI39" s="279"/>
      <c r="CJ39" s="279"/>
      <c r="CK39" s="279"/>
      <c r="CL39" s="279"/>
      <c r="CM39" s="279"/>
      <c r="CN39" s="279"/>
      <c r="CO39" s="279"/>
      <c r="CP39" s="279"/>
      <c r="CQ39" s="279"/>
      <c r="CR39" s="279"/>
      <c r="CS39" s="279"/>
      <c r="CT39" s="279"/>
      <c r="CU39" s="279"/>
      <c r="CV39" s="279"/>
      <c r="CW39" s="279"/>
      <c r="CX39" s="279"/>
      <c r="CY39" s="279"/>
      <c r="CZ39" s="279"/>
      <c r="DA39" s="279"/>
      <c r="DB39" s="279"/>
      <c r="DC39" s="279"/>
      <c r="DD39" s="279"/>
      <c r="DE39" s="279"/>
      <c r="DF39" s="279"/>
      <c r="DG39" s="279"/>
      <c r="DH39" s="279"/>
      <c r="DI39" s="279"/>
      <c r="DJ39" s="279"/>
      <c r="DK39" s="279"/>
      <c r="DL39" s="279"/>
      <c r="DM39" s="279"/>
      <c r="DN39" s="279"/>
      <c r="DO39" s="279"/>
      <c r="DP39" s="279"/>
      <c r="DQ39" s="279"/>
      <c r="DR39" s="279"/>
      <c r="DS39" s="279"/>
      <c r="DT39" s="279"/>
      <c r="DU39" s="279"/>
      <c r="DV39" s="279"/>
      <c r="DW39" s="279"/>
      <c r="DX39" s="279"/>
      <c r="DY39" s="279"/>
      <c r="DZ39" s="279"/>
      <c r="EA39" s="279"/>
      <c r="EB39" s="285"/>
    </row>
    <row r="40" spans="1:132" s="286" customFormat="1" ht="12" customHeight="1" x14ac:dyDescent="0.15">
      <c r="A40" s="264">
        <v>85</v>
      </c>
      <c r="B40" s="281" t="s">
        <v>132</v>
      </c>
      <c r="C40" s="264" t="s">
        <v>211</v>
      </c>
      <c r="D40" s="264" t="s">
        <v>49</v>
      </c>
      <c r="E40" s="264" t="s">
        <v>151</v>
      </c>
      <c r="F40" s="264" t="s">
        <v>257</v>
      </c>
      <c r="G40" s="264" t="s">
        <v>260</v>
      </c>
      <c r="H40" s="13">
        <v>360</v>
      </c>
      <c r="I40" s="265">
        <v>12.358000000000001</v>
      </c>
      <c r="J40" s="265">
        <v>3.4000000000000002E-2</v>
      </c>
      <c r="K40" s="265">
        <v>0.29199999999999998</v>
      </c>
      <c r="L40" s="13">
        <v>112.6</v>
      </c>
      <c r="M40" s="12">
        <v>18</v>
      </c>
      <c r="N40" s="13">
        <v>11.7</v>
      </c>
      <c r="O40" s="265">
        <v>0.48099999999999998</v>
      </c>
      <c r="P40" s="265">
        <v>4.1000000000000002E-2</v>
      </c>
      <c r="Q40" s="265">
        <v>0.2</v>
      </c>
      <c r="R40" s="13">
        <v>7.2</v>
      </c>
      <c r="S40" s="12">
        <v>835</v>
      </c>
      <c r="T40" s="13">
        <v>0.1</v>
      </c>
      <c r="U40" s="13">
        <v>10.5</v>
      </c>
      <c r="V40" s="12">
        <v>10</v>
      </c>
      <c r="W40" s="13">
        <v>10.1</v>
      </c>
      <c r="X40" s="265">
        <v>0.42</v>
      </c>
      <c r="Y40" s="265">
        <v>4.1000000000000002E-2</v>
      </c>
      <c r="Z40" s="265">
        <v>0.20899999999999999</v>
      </c>
      <c r="AA40" s="13">
        <v>5.8</v>
      </c>
      <c r="AB40" s="12">
        <v>702</v>
      </c>
      <c r="AC40" s="13">
        <v>0</v>
      </c>
      <c r="AD40" s="13">
        <v>8.8000000000000007</v>
      </c>
      <c r="AE40" s="12">
        <v>3</v>
      </c>
      <c r="AF40" s="13">
        <v>6.9</v>
      </c>
      <c r="AG40" s="265">
        <v>0.68300000000000005</v>
      </c>
      <c r="AH40" s="265">
        <v>9.9000000000000005E-2</v>
      </c>
      <c r="AI40" s="13">
        <v>0</v>
      </c>
      <c r="AJ40" s="12">
        <v>4</v>
      </c>
      <c r="AK40" s="13">
        <v>353.1</v>
      </c>
      <c r="AL40" s="265">
        <v>11.673999999999999</v>
      </c>
      <c r="AM40" s="265">
        <v>3.3000000000000002E-2</v>
      </c>
      <c r="AN40" s="13">
        <v>112.6</v>
      </c>
      <c r="AO40" s="308"/>
      <c r="AP40" s="308"/>
      <c r="AQ40" s="308"/>
      <c r="AR40" s="308"/>
      <c r="AS40" s="12">
        <f>Table1[[#This Row],[Object_A_._head_time]]+Table1[[#This Row],[Object_B_._head_time]]</f>
        <v>21.799999999999997</v>
      </c>
      <c r="AT40" s="282"/>
      <c r="AU40" s="282"/>
      <c r="AV40" s="283"/>
      <c r="AW40" s="282"/>
      <c r="AX40" s="308">
        <f>(Table1[[#This Row],[Object_A_._head_time]]/(Table1[[#This Row],[Object_A_._head_time]]+Table1[[#This Row],[Object_B_._head_time]]))</f>
        <v>0.53669724770642202</v>
      </c>
      <c r="AY40" s="264" t="s">
        <v>487</v>
      </c>
      <c r="AZ40" s="264" t="s">
        <v>472</v>
      </c>
      <c r="BA40" s="12" t="s">
        <v>475</v>
      </c>
      <c r="BB40" s="12">
        <v>61</v>
      </c>
      <c r="BC40" s="12">
        <v>2.0333333333333332</v>
      </c>
      <c r="BD40" s="12" t="s">
        <v>474</v>
      </c>
      <c r="BE40" s="284">
        <v>1</v>
      </c>
      <c r="BF40" s="12" t="s">
        <v>469</v>
      </c>
      <c r="BG40" s="279"/>
      <c r="BH40" s="279"/>
      <c r="BI40" s="279"/>
      <c r="BJ40" s="279"/>
      <c r="BK40" s="279"/>
      <c r="BL40" s="279"/>
      <c r="BM40" s="279"/>
      <c r="BN40" s="279"/>
      <c r="BO40" s="279"/>
      <c r="BP40" s="279"/>
      <c r="BQ40" s="279"/>
      <c r="BR40" s="279"/>
      <c r="BS40" s="279"/>
      <c r="BT40" s="279"/>
      <c r="BU40" s="279"/>
      <c r="BV40" s="279"/>
      <c r="BW40" s="279"/>
      <c r="BX40" s="279"/>
      <c r="BY40" s="279"/>
      <c r="BZ40" s="279"/>
      <c r="CA40" s="279"/>
      <c r="CB40" s="279"/>
      <c r="CC40" s="279"/>
      <c r="CD40" s="279"/>
      <c r="CE40" s="279"/>
      <c r="CF40" s="279"/>
      <c r="CG40" s="279"/>
      <c r="CH40" s="279"/>
      <c r="CI40" s="279"/>
      <c r="CJ40" s="279"/>
      <c r="CK40" s="279"/>
      <c r="CL40" s="279"/>
      <c r="CM40" s="279"/>
      <c r="CN40" s="279"/>
      <c r="CO40" s="279"/>
      <c r="CP40" s="279"/>
      <c r="CQ40" s="279"/>
      <c r="CR40" s="279"/>
      <c r="CS40" s="279"/>
      <c r="CT40" s="279"/>
      <c r="CU40" s="279"/>
      <c r="CV40" s="279"/>
      <c r="CW40" s="279"/>
      <c r="CX40" s="279"/>
      <c r="CY40" s="279"/>
      <c r="CZ40" s="279"/>
      <c r="DA40" s="279"/>
      <c r="DB40" s="279"/>
      <c r="DC40" s="279"/>
      <c r="DD40" s="279"/>
      <c r="DE40" s="279"/>
      <c r="DF40" s="279"/>
      <c r="DG40" s="279"/>
      <c r="DH40" s="279"/>
      <c r="DI40" s="279"/>
      <c r="DJ40" s="279"/>
      <c r="DK40" s="279"/>
      <c r="DL40" s="279"/>
      <c r="DM40" s="279"/>
      <c r="DN40" s="279"/>
      <c r="DO40" s="279"/>
      <c r="DP40" s="279"/>
      <c r="DQ40" s="279"/>
      <c r="DR40" s="279"/>
      <c r="DS40" s="279"/>
      <c r="DT40" s="279"/>
      <c r="DU40" s="279"/>
      <c r="DV40" s="279"/>
      <c r="DW40" s="279"/>
      <c r="DX40" s="279"/>
      <c r="DY40" s="279"/>
      <c r="DZ40" s="279"/>
      <c r="EA40" s="279"/>
      <c r="EB40" s="285"/>
    </row>
    <row r="41" spans="1:132" s="286" customFormat="1" ht="12" customHeight="1" x14ac:dyDescent="0.15">
      <c r="A41" s="264">
        <v>86</v>
      </c>
      <c r="B41" s="281" t="s">
        <v>134</v>
      </c>
      <c r="C41" s="264" t="s">
        <v>211</v>
      </c>
      <c r="D41" s="264" t="s">
        <v>53</v>
      </c>
      <c r="E41" s="264" t="s">
        <v>151</v>
      </c>
      <c r="F41" s="264" t="s">
        <v>257</v>
      </c>
      <c r="G41" s="264" t="s">
        <v>261</v>
      </c>
      <c r="H41" s="13">
        <v>360</v>
      </c>
      <c r="I41" s="265">
        <v>9.8070000000000004</v>
      </c>
      <c r="J41" s="265">
        <v>2.7E-2</v>
      </c>
      <c r="K41" s="265">
        <v>0.20200000000000001</v>
      </c>
      <c r="L41" s="13">
        <v>105</v>
      </c>
      <c r="M41" s="12">
        <v>15</v>
      </c>
      <c r="N41" s="13">
        <v>12.2</v>
      </c>
      <c r="O41" s="265">
        <v>0.57699999999999996</v>
      </c>
      <c r="P41" s="265">
        <v>4.7E-2</v>
      </c>
      <c r="Q41" s="265">
        <v>0.189</v>
      </c>
      <c r="R41" s="13">
        <v>5</v>
      </c>
      <c r="S41" s="12">
        <v>1036</v>
      </c>
      <c r="T41" s="13">
        <v>0</v>
      </c>
      <c r="U41" s="13">
        <v>6.6</v>
      </c>
      <c r="V41" s="12">
        <v>11</v>
      </c>
      <c r="W41" s="13">
        <v>13.5</v>
      </c>
      <c r="X41" s="265">
        <v>0.66300000000000003</v>
      </c>
      <c r="Y41" s="265">
        <v>4.9000000000000002E-2</v>
      </c>
      <c r="Z41" s="265">
        <v>0.154</v>
      </c>
      <c r="AA41" s="13">
        <v>5.8</v>
      </c>
      <c r="AB41" s="12">
        <v>944</v>
      </c>
      <c r="AC41" s="13">
        <v>0.9</v>
      </c>
      <c r="AD41" s="13">
        <v>4.5999999999999996</v>
      </c>
      <c r="AE41" s="12">
        <v>19</v>
      </c>
      <c r="AF41" s="13">
        <v>34.9</v>
      </c>
      <c r="AG41" s="265">
        <v>2.4590000000000001</v>
      </c>
      <c r="AH41" s="265">
        <v>7.0000000000000007E-2</v>
      </c>
      <c r="AI41" s="13">
        <v>0.3</v>
      </c>
      <c r="AJ41" s="12">
        <v>19</v>
      </c>
      <c r="AK41" s="13">
        <v>325.10000000000002</v>
      </c>
      <c r="AL41" s="265">
        <v>7.3479999999999999</v>
      </c>
      <c r="AM41" s="265">
        <v>2.3E-2</v>
      </c>
      <c r="AN41" s="13">
        <v>104.7</v>
      </c>
      <c r="AO41" s="308"/>
      <c r="AP41" s="308"/>
      <c r="AQ41" s="308"/>
      <c r="AR41" s="308"/>
      <c r="AS41" s="12">
        <f>Table1[[#This Row],[Object_A_._head_time]]+Table1[[#This Row],[Object_B_._head_time]]</f>
        <v>25.7</v>
      </c>
      <c r="AT41" s="282"/>
      <c r="AU41" s="282"/>
      <c r="AV41" s="283"/>
      <c r="AW41" s="282"/>
      <c r="AX41" s="308">
        <f>(Table1[[#This Row],[Object_A_._head_time]]/(Table1[[#This Row],[Object_A_._head_time]]+Table1[[#This Row],[Object_B_._head_time]]))</f>
        <v>0.47470817120622566</v>
      </c>
      <c r="AY41" s="264" t="s">
        <v>487</v>
      </c>
      <c r="AZ41" s="264" t="s">
        <v>472</v>
      </c>
      <c r="BA41" s="12" t="s">
        <v>473</v>
      </c>
      <c r="BB41" s="12">
        <v>61</v>
      </c>
      <c r="BC41" s="12">
        <v>2.0333333333333332</v>
      </c>
      <c r="BD41" s="12" t="s">
        <v>477</v>
      </c>
      <c r="BE41" s="284">
        <v>4</v>
      </c>
      <c r="BF41" s="12"/>
      <c r="BG41" s="279"/>
      <c r="BH41" s="279"/>
      <c r="BI41" s="279"/>
      <c r="BJ41" s="279"/>
      <c r="BK41" s="279"/>
      <c r="BL41" s="279"/>
      <c r="BM41" s="279"/>
      <c r="BN41" s="279"/>
      <c r="BO41" s="279"/>
      <c r="BP41" s="279"/>
      <c r="BQ41" s="279"/>
      <c r="BR41" s="279"/>
      <c r="BS41" s="279"/>
      <c r="BT41" s="279"/>
      <c r="BU41" s="279"/>
      <c r="BV41" s="279"/>
      <c r="BW41" s="279"/>
      <c r="BX41" s="279"/>
      <c r="BY41" s="279"/>
      <c r="BZ41" s="279"/>
      <c r="CA41" s="279"/>
      <c r="CB41" s="279"/>
      <c r="CC41" s="279"/>
      <c r="CD41" s="279"/>
      <c r="CE41" s="279"/>
      <c r="CF41" s="279"/>
      <c r="CG41" s="279"/>
      <c r="CH41" s="279"/>
      <c r="CI41" s="279"/>
      <c r="CJ41" s="279"/>
      <c r="CK41" s="279"/>
      <c r="CL41" s="279"/>
      <c r="CM41" s="279"/>
      <c r="CN41" s="279"/>
      <c r="CO41" s="279"/>
      <c r="CP41" s="279"/>
      <c r="CQ41" s="279"/>
      <c r="CR41" s="279"/>
      <c r="CS41" s="279"/>
      <c r="CT41" s="279"/>
      <c r="CU41" s="279"/>
      <c r="CV41" s="279"/>
      <c r="CW41" s="279"/>
      <c r="CX41" s="279"/>
      <c r="CY41" s="279"/>
      <c r="CZ41" s="279"/>
      <c r="DA41" s="279"/>
      <c r="DB41" s="279"/>
      <c r="DC41" s="279"/>
      <c r="DD41" s="279"/>
      <c r="DE41" s="279"/>
      <c r="DF41" s="279"/>
      <c r="DG41" s="279"/>
      <c r="DH41" s="279"/>
      <c r="DI41" s="279"/>
      <c r="DJ41" s="279"/>
      <c r="DK41" s="279"/>
      <c r="DL41" s="279"/>
      <c r="DM41" s="279"/>
      <c r="DN41" s="279"/>
      <c r="DO41" s="279"/>
      <c r="DP41" s="279"/>
      <c r="DQ41" s="279"/>
      <c r="DR41" s="279"/>
      <c r="DS41" s="279"/>
      <c r="DT41" s="279"/>
      <c r="DU41" s="279"/>
      <c r="DV41" s="279"/>
      <c r="DW41" s="279"/>
      <c r="DX41" s="279"/>
      <c r="DY41" s="279"/>
      <c r="DZ41" s="279"/>
      <c r="EA41" s="279"/>
      <c r="EB41" s="285"/>
    </row>
    <row r="42" spans="1:132" s="286" customFormat="1" ht="12" customHeight="1" x14ac:dyDescent="0.15">
      <c r="A42" s="264">
        <v>87</v>
      </c>
      <c r="B42" s="281" t="s">
        <v>136</v>
      </c>
      <c r="C42" s="264" t="s">
        <v>211</v>
      </c>
      <c r="D42" s="264" t="s">
        <v>41</v>
      </c>
      <c r="E42" s="264" t="s">
        <v>151</v>
      </c>
      <c r="F42" s="264" t="s">
        <v>262</v>
      </c>
      <c r="G42" s="264" t="s">
        <v>263</v>
      </c>
      <c r="H42" s="13">
        <v>360</v>
      </c>
      <c r="I42" s="265">
        <v>5.2709999999999999</v>
      </c>
      <c r="J42" s="265">
        <v>1.4999999999999999E-2</v>
      </c>
      <c r="K42" s="265">
        <v>0.308</v>
      </c>
      <c r="L42" s="13">
        <v>176.6</v>
      </c>
      <c r="M42" s="12">
        <v>54</v>
      </c>
      <c r="N42" s="13">
        <v>45.4</v>
      </c>
      <c r="O42" s="265">
        <v>0.51600000000000001</v>
      </c>
      <c r="P42" s="265">
        <v>1.0999999999999999E-2</v>
      </c>
      <c r="Q42" s="265">
        <v>0.27</v>
      </c>
      <c r="R42" s="13">
        <v>24</v>
      </c>
      <c r="S42" s="12">
        <v>1857</v>
      </c>
      <c r="T42" s="13">
        <v>21</v>
      </c>
      <c r="U42" s="13">
        <v>38.700000000000003</v>
      </c>
      <c r="V42" s="12">
        <v>5</v>
      </c>
      <c r="W42" s="13">
        <v>3.2</v>
      </c>
      <c r="X42" s="265">
        <v>0.29599999999999999</v>
      </c>
      <c r="Y42" s="265">
        <v>9.1999999999999998E-2</v>
      </c>
      <c r="Z42" s="265">
        <v>0.20499999999999999</v>
      </c>
      <c r="AA42" s="13">
        <v>1.7</v>
      </c>
      <c r="AB42" s="12">
        <v>274</v>
      </c>
      <c r="AC42" s="13">
        <v>0</v>
      </c>
      <c r="AD42" s="13">
        <v>2.1</v>
      </c>
      <c r="AE42" s="12">
        <v>5</v>
      </c>
      <c r="AF42" s="13">
        <v>3.1</v>
      </c>
      <c r="AG42" s="265">
        <v>0.75</v>
      </c>
      <c r="AH42" s="265">
        <v>0.23899999999999999</v>
      </c>
      <c r="AI42" s="13">
        <v>0</v>
      </c>
      <c r="AJ42" s="12">
        <v>7</v>
      </c>
      <c r="AK42" s="13">
        <v>355.5</v>
      </c>
      <c r="AL42" s="265">
        <v>4.4749999999999996</v>
      </c>
      <c r="AM42" s="265">
        <v>1.2999999999999999E-2</v>
      </c>
      <c r="AN42" s="13">
        <v>176</v>
      </c>
      <c r="AO42" s="308"/>
      <c r="AP42" s="308"/>
      <c r="AQ42" s="308"/>
      <c r="AR42" s="308"/>
      <c r="AS42" s="12">
        <f>Table1[[#This Row],[Object_A_._head_time]]+Table1[[#This Row],[Object_B_._head_time]]</f>
        <v>48.6</v>
      </c>
      <c r="AT42" s="282"/>
      <c r="AU42" s="282"/>
      <c r="AV42" s="283"/>
      <c r="AW42" s="282"/>
      <c r="AX42" s="311">
        <f>(Table1[[#This Row],[Object_A_._head_time]]/(Table1[[#This Row],[Object_A_._head_time]]+Table1[[#This Row],[Object_B_._head_time]]))</f>
        <v>0.93415637860082301</v>
      </c>
      <c r="AY42" s="264" t="s">
        <v>487</v>
      </c>
      <c r="AZ42" s="264" t="s">
        <v>472</v>
      </c>
      <c r="BA42" s="12" t="s">
        <v>475</v>
      </c>
      <c r="BB42" s="12">
        <v>61</v>
      </c>
      <c r="BC42" s="12">
        <v>2.0333333333333332</v>
      </c>
      <c r="BD42" s="12" t="s">
        <v>477</v>
      </c>
      <c r="BE42" s="284">
        <v>2</v>
      </c>
      <c r="BF42" s="12"/>
      <c r="BG42" s="279"/>
      <c r="BH42" s="279"/>
      <c r="BI42" s="279"/>
      <c r="BJ42" s="279"/>
      <c r="BK42" s="279"/>
      <c r="BL42" s="279"/>
      <c r="BM42" s="279"/>
      <c r="BN42" s="279"/>
      <c r="BO42" s="279"/>
      <c r="BP42" s="279"/>
      <c r="BQ42" s="279"/>
      <c r="BR42" s="279"/>
      <c r="BS42" s="279"/>
      <c r="BT42" s="279"/>
      <c r="BU42" s="279"/>
      <c r="BV42" s="279"/>
      <c r="BW42" s="279"/>
      <c r="BX42" s="279"/>
      <c r="BY42" s="279"/>
      <c r="BZ42" s="279"/>
      <c r="CA42" s="279"/>
      <c r="CB42" s="279"/>
      <c r="CC42" s="279"/>
      <c r="CD42" s="279"/>
      <c r="CE42" s="279"/>
      <c r="CF42" s="279"/>
      <c r="CG42" s="279"/>
      <c r="CH42" s="279"/>
      <c r="CI42" s="279"/>
      <c r="CJ42" s="279"/>
      <c r="CK42" s="279"/>
      <c r="CL42" s="279"/>
      <c r="CM42" s="279"/>
      <c r="CN42" s="279"/>
      <c r="CO42" s="279"/>
      <c r="CP42" s="279"/>
      <c r="CQ42" s="279"/>
      <c r="CR42" s="279"/>
      <c r="CS42" s="279"/>
      <c r="CT42" s="279"/>
      <c r="CU42" s="279"/>
      <c r="CV42" s="279"/>
      <c r="CW42" s="279"/>
      <c r="CX42" s="279"/>
      <c r="CY42" s="279"/>
      <c r="CZ42" s="279"/>
      <c r="DA42" s="279"/>
      <c r="DB42" s="279"/>
      <c r="DC42" s="279"/>
      <c r="DD42" s="279"/>
      <c r="DE42" s="279"/>
      <c r="DF42" s="279"/>
      <c r="DG42" s="279"/>
      <c r="DH42" s="279"/>
      <c r="DI42" s="279"/>
      <c r="DJ42" s="279"/>
      <c r="DK42" s="279"/>
      <c r="DL42" s="279"/>
      <c r="DM42" s="279"/>
      <c r="DN42" s="279"/>
      <c r="DO42" s="279"/>
      <c r="DP42" s="279"/>
      <c r="DQ42" s="279"/>
      <c r="DR42" s="279"/>
      <c r="DS42" s="279"/>
      <c r="DT42" s="279"/>
      <c r="DU42" s="279"/>
      <c r="DV42" s="279"/>
      <c r="DW42" s="279"/>
      <c r="DX42" s="279"/>
      <c r="DY42" s="279"/>
      <c r="DZ42" s="279"/>
      <c r="EA42" s="279"/>
      <c r="EB42" s="285"/>
    </row>
    <row r="43" spans="1:132" s="286" customFormat="1" ht="12" customHeight="1" x14ac:dyDescent="0.15">
      <c r="A43" s="264">
        <v>88</v>
      </c>
      <c r="B43" s="281" t="s">
        <v>139</v>
      </c>
      <c r="C43" s="264" t="s">
        <v>211</v>
      </c>
      <c r="D43" s="264" t="s">
        <v>46</v>
      </c>
      <c r="E43" s="264" t="s">
        <v>151</v>
      </c>
      <c r="F43" s="264" t="s">
        <v>262</v>
      </c>
      <c r="G43" s="264" t="s">
        <v>264</v>
      </c>
      <c r="H43" s="13">
        <v>360</v>
      </c>
      <c r="I43" s="265">
        <v>11.217000000000001</v>
      </c>
      <c r="J43" s="265">
        <v>3.1E-2</v>
      </c>
      <c r="K43" s="265">
        <v>0.24099999999999999</v>
      </c>
      <c r="L43" s="13">
        <v>46.1</v>
      </c>
      <c r="M43" s="12">
        <v>17</v>
      </c>
      <c r="N43" s="13">
        <v>15.3</v>
      </c>
      <c r="O43" s="265">
        <v>1.1819999999999999</v>
      </c>
      <c r="P43" s="265">
        <v>7.6999999999999999E-2</v>
      </c>
      <c r="Q43" s="265">
        <v>0.20699999999999999</v>
      </c>
      <c r="R43" s="13">
        <v>8.6999999999999993</v>
      </c>
      <c r="S43" s="12">
        <v>1281</v>
      </c>
      <c r="T43" s="13">
        <v>0</v>
      </c>
      <c r="U43" s="13">
        <v>6.1</v>
      </c>
      <c r="V43" s="12">
        <v>22</v>
      </c>
      <c r="W43" s="13">
        <v>22.6</v>
      </c>
      <c r="X43" s="265">
        <v>1.2649999999999999</v>
      </c>
      <c r="Y43" s="265">
        <v>5.6000000000000001E-2</v>
      </c>
      <c r="Z43" s="265">
        <v>0.20200000000000001</v>
      </c>
      <c r="AA43" s="13">
        <v>7</v>
      </c>
      <c r="AB43" s="12">
        <v>2072</v>
      </c>
      <c r="AC43" s="13">
        <v>0</v>
      </c>
      <c r="AD43" s="13">
        <v>5.6</v>
      </c>
      <c r="AE43" s="12">
        <v>8</v>
      </c>
      <c r="AF43" s="13">
        <v>10.199999999999999</v>
      </c>
      <c r="AG43" s="265">
        <v>1.4830000000000001</v>
      </c>
      <c r="AH43" s="265">
        <v>0.14499999999999999</v>
      </c>
      <c r="AI43" s="13">
        <v>0</v>
      </c>
      <c r="AJ43" s="12">
        <v>9</v>
      </c>
      <c r="AK43" s="13">
        <v>349.8</v>
      </c>
      <c r="AL43" s="265">
        <v>9.7349999999999994</v>
      </c>
      <c r="AM43" s="265">
        <v>2.8000000000000001E-2</v>
      </c>
      <c r="AN43" s="13">
        <v>46.1</v>
      </c>
      <c r="AO43" s="308"/>
      <c r="AP43" s="308"/>
      <c r="AQ43" s="308"/>
      <c r="AR43" s="308"/>
      <c r="AS43" s="12">
        <f>Table1[[#This Row],[Object_A_._head_time]]+Table1[[#This Row],[Object_B_._head_time]]</f>
        <v>37.900000000000006</v>
      </c>
      <c r="AT43" s="282"/>
      <c r="AU43" s="282"/>
      <c r="AV43" s="283"/>
      <c r="AW43" s="282"/>
      <c r="AX43" s="308">
        <f>(Table1[[#This Row],[Object_A_._head_time]]/(Table1[[#This Row],[Object_A_._head_time]]+Table1[[#This Row],[Object_B_._head_time]]))</f>
        <v>0.40369393139841686</v>
      </c>
      <c r="AY43" s="264" t="s">
        <v>486</v>
      </c>
      <c r="AZ43" s="264" t="s">
        <v>472</v>
      </c>
      <c r="BA43" s="12" t="s">
        <v>475</v>
      </c>
      <c r="BB43" s="12">
        <v>60</v>
      </c>
      <c r="BC43" s="12">
        <v>2</v>
      </c>
      <c r="BD43" s="12" t="s">
        <v>474</v>
      </c>
      <c r="BE43" s="284">
        <v>1</v>
      </c>
      <c r="BF43" s="12" t="s">
        <v>470</v>
      </c>
      <c r="BG43" s="279"/>
      <c r="BH43" s="279"/>
      <c r="BI43" s="279"/>
      <c r="BJ43" s="279"/>
      <c r="BK43" s="279"/>
      <c r="BL43" s="279"/>
      <c r="BM43" s="279"/>
      <c r="BN43" s="279"/>
      <c r="BO43" s="279"/>
      <c r="BP43" s="279"/>
      <c r="BQ43" s="279"/>
      <c r="BR43" s="279"/>
      <c r="BS43" s="279"/>
      <c r="BT43" s="279"/>
      <c r="BU43" s="279"/>
      <c r="BV43" s="279"/>
      <c r="BW43" s="279"/>
      <c r="BX43" s="279"/>
      <c r="BY43" s="279"/>
      <c r="BZ43" s="279"/>
      <c r="CA43" s="279"/>
      <c r="CB43" s="279"/>
      <c r="CC43" s="279"/>
      <c r="CD43" s="279"/>
      <c r="CE43" s="279"/>
      <c r="CF43" s="279"/>
      <c r="CG43" s="279"/>
      <c r="CH43" s="279"/>
      <c r="CI43" s="279"/>
      <c r="CJ43" s="279"/>
      <c r="CK43" s="279"/>
      <c r="CL43" s="279"/>
      <c r="CM43" s="279"/>
      <c r="CN43" s="279"/>
      <c r="CO43" s="279"/>
      <c r="CP43" s="279"/>
      <c r="CQ43" s="279"/>
      <c r="CR43" s="279"/>
      <c r="CS43" s="279"/>
      <c r="CT43" s="279"/>
      <c r="CU43" s="279"/>
      <c r="CV43" s="279"/>
      <c r="CW43" s="279"/>
      <c r="CX43" s="279"/>
      <c r="CY43" s="279"/>
      <c r="CZ43" s="279"/>
      <c r="DA43" s="279"/>
      <c r="DB43" s="279"/>
      <c r="DC43" s="279"/>
      <c r="DD43" s="279"/>
      <c r="DE43" s="279"/>
      <c r="DF43" s="279"/>
      <c r="DG43" s="279"/>
      <c r="DH43" s="279"/>
      <c r="DI43" s="279"/>
      <c r="DJ43" s="279"/>
      <c r="DK43" s="279"/>
      <c r="DL43" s="279"/>
      <c r="DM43" s="279"/>
      <c r="DN43" s="279"/>
      <c r="DO43" s="279"/>
      <c r="DP43" s="279"/>
      <c r="DQ43" s="279"/>
      <c r="DR43" s="279"/>
      <c r="DS43" s="279"/>
      <c r="DT43" s="279"/>
      <c r="DU43" s="279"/>
      <c r="DV43" s="279"/>
      <c r="DW43" s="279"/>
      <c r="DX43" s="279"/>
      <c r="DY43" s="279"/>
      <c r="DZ43" s="279"/>
      <c r="EA43" s="279"/>
      <c r="EB43" s="285"/>
    </row>
    <row r="44" spans="1:132" s="286" customFormat="1" ht="12" customHeight="1" x14ac:dyDescent="0.15">
      <c r="A44" s="264">
        <v>89</v>
      </c>
      <c r="B44" s="281" t="s">
        <v>141</v>
      </c>
      <c r="C44" s="264" t="s">
        <v>211</v>
      </c>
      <c r="D44" s="264" t="s">
        <v>49</v>
      </c>
      <c r="E44" s="264" t="s">
        <v>151</v>
      </c>
      <c r="F44" s="264" t="s">
        <v>262</v>
      </c>
      <c r="G44" s="264" t="s">
        <v>265</v>
      </c>
      <c r="H44" s="13">
        <v>360</v>
      </c>
      <c r="I44" s="265">
        <v>12.542</v>
      </c>
      <c r="J44" s="265">
        <v>3.5000000000000003E-2</v>
      </c>
      <c r="K44" s="265">
        <v>0.245</v>
      </c>
      <c r="L44" s="13">
        <v>10.3</v>
      </c>
      <c r="M44" s="12">
        <v>20</v>
      </c>
      <c r="N44" s="13">
        <v>23.4</v>
      </c>
      <c r="O44" s="265">
        <v>1.109</v>
      </c>
      <c r="P44" s="265">
        <v>4.7E-2</v>
      </c>
      <c r="Q44" s="265">
        <v>0.19700000000000001</v>
      </c>
      <c r="R44" s="13">
        <v>8.5</v>
      </c>
      <c r="S44" s="12">
        <v>1859</v>
      </c>
      <c r="T44" s="13">
        <v>0</v>
      </c>
      <c r="U44" s="13">
        <v>9.6999999999999993</v>
      </c>
      <c r="V44" s="12">
        <v>20</v>
      </c>
      <c r="W44" s="13">
        <v>24.8</v>
      </c>
      <c r="X44" s="265">
        <v>1.3220000000000001</v>
      </c>
      <c r="Y44" s="265">
        <v>5.2999999999999999E-2</v>
      </c>
      <c r="Z44" s="265">
        <v>0.189</v>
      </c>
      <c r="AA44" s="13">
        <v>12.2</v>
      </c>
      <c r="AB44" s="12">
        <v>1710</v>
      </c>
      <c r="AC44" s="13">
        <v>0</v>
      </c>
      <c r="AD44" s="13">
        <v>7.9</v>
      </c>
      <c r="AE44" s="12">
        <v>13</v>
      </c>
      <c r="AF44" s="13">
        <v>27.9</v>
      </c>
      <c r="AG44" s="265">
        <v>2.5089999999999999</v>
      </c>
      <c r="AH44" s="265">
        <v>0.09</v>
      </c>
      <c r="AI44" s="13">
        <v>0</v>
      </c>
      <c r="AJ44" s="12">
        <v>14</v>
      </c>
      <c r="AK44" s="13">
        <v>332.1</v>
      </c>
      <c r="AL44" s="265">
        <v>10.032999999999999</v>
      </c>
      <c r="AM44" s="265">
        <v>0.03</v>
      </c>
      <c r="AN44" s="13">
        <v>10.3</v>
      </c>
      <c r="AO44" s="308"/>
      <c r="AP44" s="308"/>
      <c r="AQ44" s="308"/>
      <c r="AR44" s="308"/>
      <c r="AS44" s="12">
        <f>Table1[[#This Row],[Object_A_._head_time]]+Table1[[#This Row],[Object_B_._head_time]]</f>
        <v>48.2</v>
      </c>
      <c r="AT44" s="282"/>
      <c r="AU44" s="282"/>
      <c r="AV44" s="283"/>
      <c r="AW44" s="282"/>
      <c r="AX44" s="308">
        <f>(Table1[[#This Row],[Object_A_._head_time]]/(Table1[[#This Row],[Object_A_._head_time]]+Table1[[#This Row],[Object_B_._head_time]]))</f>
        <v>0.48547717842323646</v>
      </c>
      <c r="AY44" s="264" t="s">
        <v>487</v>
      </c>
      <c r="AZ44" s="264" t="s">
        <v>472</v>
      </c>
      <c r="BA44" s="12" t="s">
        <v>475</v>
      </c>
      <c r="BB44" s="12">
        <v>53</v>
      </c>
      <c r="BC44" s="12">
        <v>1.7666666666666666</v>
      </c>
      <c r="BD44" s="12" t="s">
        <v>477</v>
      </c>
      <c r="BE44" s="284">
        <v>2</v>
      </c>
      <c r="BF44" s="12" t="s">
        <v>471</v>
      </c>
      <c r="BG44" s="279"/>
      <c r="BH44" s="279"/>
      <c r="BI44" s="279"/>
      <c r="BJ44" s="279"/>
      <c r="BK44" s="279"/>
      <c r="BL44" s="279"/>
      <c r="BM44" s="279"/>
      <c r="BN44" s="279"/>
      <c r="BO44" s="279"/>
      <c r="BP44" s="279"/>
      <c r="BQ44" s="279"/>
      <c r="BR44" s="279"/>
      <c r="BS44" s="279"/>
      <c r="BT44" s="279"/>
      <c r="BU44" s="279"/>
      <c r="BV44" s="279"/>
      <c r="BW44" s="279"/>
      <c r="BX44" s="279"/>
      <c r="BY44" s="279"/>
      <c r="BZ44" s="279"/>
      <c r="CA44" s="279"/>
      <c r="CB44" s="279"/>
      <c r="CC44" s="279"/>
      <c r="CD44" s="279"/>
      <c r="CE44" s="279"/>
      <c r="CF44" s="279"/>
      <c r="CG44" s="279"/>
      <c r="CH44" s="279"/>
      <c r="CI44" s="279"/>
      <c r="CJ44" s="279"/>
      <c r="CK44" s="279"/>
      <c r="CL44" s="279"/>
      <c r="CM44" s="279"/>
      <c r="CN44" s="279"/>
      <c r="CO44" s="279"/>
      <c r="CP44" s="279"/>
      <c r="CQ44" s="279"/>
      <c r="CR44" s="279"/>
      <c r="CS44" s="279"/>
      <c r="CT44" s="279"/>
      <c r="CU44" s="279"/>
      <c r="CV44" s="279"/>
      <c r="CW44" s="279"/>
      <c r="CX44" s="279"/>
      <c r="CY44" s="279"/>
      <c r="CZ44" s="279"/>
      <c r="DA44" s="279"/>
      <c r="DB44" s="279"/>
      <c r="DC44" s="279"/>
      <c r="DD44" s="279"/>
      <c r="DE44" s="279"/>
      <c r="DF44" s="279"/>
      <c r="DG44" s="279"/>
      <c r="DH44" s="279"/>
      <c r="DI44" s="279"/>
      <c r="DJ44" s="279"/>
      <c r="DK44" s="279"/>
      <c r="DL44" s="279"/>
      <c r="DM44" s="279"/>
      <c r="DN44" s="279"/>
      <c r="DO44" s="279"/>
      <c r="DP44" s="279"/>
      <c r="DQ44" s="279"/>
      <c r="DR44" s="279"/>
      <c r="DS44" s="279"/>
      <c r="DT44" s="279"/>
      <c r="DU44" s="279"/>
      <c r="DV44" s="279"/>
      <c r="DW44" s="279"/>
      <c r="DX44" s="279"/>
      <c r="DY44" s="279"/>
      <c r="DZ44" s="279"/>
      <c r="EA44" s="279"/>
      <c r="EB44" s="285"/>
    </row>
    <row r="45" spans="1:132" s="286" customFormat="1" ht="12" customHeight="1" x14ac:dyDescent="0.15">
      <c r="A45" s="264">
        <v>90</v>
      </c>
      <c r="B45" s="281" t="s">
        <v>143</v>
      </c>
      <c r="C45" s="264" t="s">
        <v>211</v>
      </c>
      <c r="D45" s="264" t="s">
        <v>53</v>
      </c>
      <c r="E45" s="264" t="s">
        <v>151</v>
      </c>
      <c r="F45" s="264" t="s">
        <v>262</v>
      </c>
      <c r="G45" s="264" t="s">
        <v>266</v>
      </c>
      <c r="H45" s="13">
        <v>360</v>
      </c>
      <c r="I45" s="265">
        <v>16.099</v>
      </c>
      <c r="J45" s="265">
        <v>4.4999999999999998E-2</v>
      </c>
      <c r="K45" s="265">
        <v>0.29199999999999998</v>
      </c>
      <c r="L45" s="13">
        <v>55.7</v>
      </c>
      <c r="M45" s="12">
        <v>31</v>
      </c>
      <c r="N45" s="13">
        <v>33.200000000000003</v>
      </c>
      <c r="O45" s="265">
        <v>1.891</v>
      </c>
      <c r="P45" s="265">
        <v>5.7000000000000002E-2</v>
      </c>
      <c r="Q45" s="265">
        <v>0.223</v>
      </c>
      <c r="R45" s="13">
        <v>16</v>
      </c>
      <c r="S45" s="12">
        <v>2578</v>
      </c>
      <c r="T45" s="13">
        <v>0</v>
      </c>
      <c r="U45" s="13">
        <v>19.600000000000001</v>
      </c>
      <c r="V45" s="12">
        <v>21</v>
      </c>
      <c r="W45" s="13">
        <v>28.9</v>
      </c>
      <c r="X45" s="265">
        <v>1.579</v>
      </c>
      <c r="Y45" s="265">
        <v>5.5E-2</v>
      </c>
      <c r="Z45" s="265">
        <v>0.21199999999999999</v>
      </c>
      <c r="AA45" s="13">
        <v>13.9</v>
      </c>
      <c r="AB45" s="12">
        <v>2081</v>
      </c>
      <c r="AC45" s="13">
        <v>0</v>
      </c>
      <c r="AD45" s="13">
        <v>12.4</v>
      </c>
      <c r="AE45" s="12">
        <v>15</v>
      </c>
      <c r="AF45" s="13">
        <v>20.2</v>
      </c>
      <c r="AG45" s="265">
        <v>1.768</v>
      </c>
      <c r="AH45" s="265">
        <v>8.6999999999999994E-2</v>
      </c>
      <c r="AI45" s="13">
        <v>0</v>
      </c>
      <c r="AJ45" s="12">
        <v>16</v>
      </c>
      <c r="AK45" s="13">
        <v>339.8</v>
      </c>
      <c r="AL45" s="265">
        <v>14.331</v>
      </c>
      <c r="AM45" s="265">
        <v>4.2000000000000003E-2</v>
      </c>
      <c r="AN45" s="13">
        <v>55.7</v>
      </c>
      <c r="AO45" s="308"/>
      <c r="AP45" s="308"/>
      <c r="AQ45" s="308"/>
      <c r="AR45" s="308"/>
      <c r="AS45" s="12">
        <f>Table1[[#This Row],[Object_A_._head_time]]+Table1[[#This Row],[Object_B_._head_time]]</f>
        <v>62.1</v>
      </c>
      <c r="AT45" s="282"/>
      <c r="AU45" s="282"/>
      <c r="AV45" s="283"/>
      <c r="AW45" s="282"/>
      <c r="AX45" s="308">
        <f>(Table1[[#This Row],[Object_A_._head_time]]/(Table1[[#This Row],[Object_A_._head_time]]+Table1[[#This Row],[Object_B_._head_time]]))</f>
        <v>0.53462157809983901</v>
      </c>
      <c r="AY45" s="264" t="s">
        <v>487</v>
      </c>
      <c r="AZ45" s="264" t="s">
        <v>476</v>
      </c>
      <c r="BA45" s="12" t="s">
        <v>475</v>
      </c>
      <c r="BB45" s="12">
        <v>42</v>
      </c>
      <c r="BC45" s="12">
        <v>1.4</v>
      </c>
      <c r="BD45" s="12" t="s">
        <v>474</v>
      </c>
      <c r="BE45" s="284">
        <v>5</v>
      </c>
      <c r="BF45" s="12"/>
      <c r="BG45" s="279"/>
      <c r="BH45" s="279"/>
      <c r="BI45" s="279"/>
      <c r="BJ45" s="279"/>
      <c r="BK45" s="279"/>
      <c r="BL45" s="279"/>
      <c r="BM45" s="279"/>
      <c r="BN45" s="279"/>
      <c r="BO45" s="279"/>
      <c r="BP45" s="279"/>
      <c r="BQ45" s="279"/>
      <c r="BR45" s="279"/>
      <c r="BS45" s="279"/>
      <c r="BT45" s="279"/>
      <c r="BU45" s="279"/>
      <c r="BV45" s="279"/>
      <c r="BW45" s="279"/>
      <c r="BX45" s="279"/>
      <c r="BY45" s="279"/>
      <c r="BZ45" s="279"/>
      <c r="CA45" s="279"/>
      <c r="CB45" s="279"/>
      <c r="CC45" s="279"/>
      <c r="CD45" s="279"/>
      <c r="CE45" s="279"/>
      <c r="CF45" s="279"/>
      <c r="CG45" s="279"/>
      <c r="CH45" s="279"/>
      <c r="CI45" s="279"/>
      <c r="CJ45" s="279"/>
      <c r="CK45" s="279"/>
      <c r="CL45" s="279"/>
      <c r="CM45" s="279"/>
      <c r="CN45" s="279"/>
      <c r="CO45" s="279"/>
      <c r="CP45" s="279"/>
      <c r="CQ45" s="279"/>
      <c r="CR45" s="279"/>
      <c r="CS45" s="279"/>
      <c r="CT45" s="279"/>
      <c r="CU45" s="279"/>
      <c r="CV45" s="279"/>
      <c r="CW45" s="279"/>
      <c r="CX45" s="279"/>
      <c r="CY45" s="279"/>
      <c r="CZ45" s="279"/>
      <c r="DA45" s="279"/>
      <c r="DB45" s="279"/>
      <c r="DC45" s="279"/>
      <c r="DD45" s="279"/>
      <c r="DE45" s="279"/>
      <c r="DF45" s="279"/>
      <c r="DG45" s="279"/>
      <c r="DH45" s="279"/>
      <c r="DI45" s="279"/>
      <c r="DJ45" s="279"/>
      <c r="DK45" s="279"/>
      <c r="DL45" s="279"/>
      <c r="DM45" s="279"/>
      <c r="DN45" s="279"/>
      <c r="DO45" s="279"/>
      <c r="DP45" s="279"/>
      <c r="DQ45" s="279"/>
      <c r="DR45" s="279"/>
      <c r="DS45" s="279"/>
      <c r="DT45" s="279"/>
      <c r="DU45" s="279"/>
      <c r="DV45" s="279"/>
      <c r="DW45" s="279"/>
      <c r="DX45" s="279"/>
      <c r="DY45" s="279"/>
      <c r="DZ45" s="279"/>
      <c r="EA45" s="279"/>
      <c r="EB45" s="285"/>
    </row>
    <row r="46" spans="1:132" s="286" customFormat="1" ht="12" customHeight="1" x14ac:dyDescent="0.15">
      <c r="A46" s="264">
        <v>92</v>
      </c>
      <c r="B46" s="281" t="s">
        <v>145</v>
      </c>
      <c r="C46" s="264" t="s">
        <v>211</v>
      </c>
      <c r="D46" s="264" t="s">
        <v>41</v>
      </c>
      <c r="E46" s="264" t="s">
        <v>151</v>
      </c>
      <c r="F46" s="264" t="s">
        <v>267</v>
      </c>
      <c r="G46" s="264" t="s">
        <v>268</v>
      </c>
      <c r="H46" s="13">
        <v>360</v>
      </c>
      <c r="I46" s="265">
        <v>18.149999999999999</v>
      </c>
      <c r="J46" s="265">
        <v>0.05</v>
      </c>
      <c r="K46" s="265">
        <v>0.315</v>
      </c>
      <c r="L46" s="13">
        <v>19.600000000000001</v>
      </c>
      <c r="M46" s="12">
        <v>23</v>
      </c>
      <c r="N46" s="13">
        <v>25.8</v>
      </c>
      <c r="O46" s="265">
        <v>0.64100000000000001</v>
      </c>
      <c r="P46" s="265">
        <v>2.5000000000000001E-2</v>
      </c>
      <c r="Q46" s="265">
        <v>0.19400000000000001</v>
      </c>
      <c r="R46" s="13">
        <v>18.2</v>
      </c>
      <c r="S46" s="12">
        <v>1823</v>
      </c>
      <c r="T46" s="13">
        <v>0</v>
      </c>
      <c r="U46" s="13">
        <v>21.3</v>
      </c>
      <c r="V46" s="12">
        <v>28</v>
      </c>
      <c r="W46" s="13">
        <v>25.5</v>
      </c>
      <c r="X46" s="265">
        <v>0.88700000000000001</v>
      </c>
      <c r="Y46" s="265">
        <v>3.5000000000000003E-2</v>
      </c>
      <c r="Z46" s="265">
        <v>0.24099999999999999</v>
      </c>
      <c r="AA46" s="13">
        <v>17.2</v>
      </c>
      <c r="AB46" s="12">
        <v>2159</v>
      </c>
      <c r="AC46" s="13">
        <v>0</v>
      </c>
      <c r="AD46" s="13">
        <v>20.8</v>
      </c>
      <c r="AE46" s="12">
        <v>7</v>
      </c>
      <c r="AF46" s="13">
        <v>8.5</v>
      </c>
      <c r="AG46" s="265">
        <v>0.86099999999999999</v>
      </c>
      <c r="AH46" s="265">
        <v>0.10100000000000001</v>
      </c>
      <c r="AI46" s="13">
        <v>0</v>
      </c>
      <c r="AJ46" s="12">
        <v>8</v>
      </c>
      <c r="AK46" s="13">
        <v>351.5</v>
      </c>
      <c r="AL46" s="265">
        <v>17.289000000000001</v>
      </c>
      <c r="AM46" s="265">
        <v>4.9000000000000002E-2</v>
      </c>
      <c r="AN46" s="13">
        <v>19.600000000000001</v>
      </c>
      <c r="AO46" s="308"/>
      <c r="AP46" s="308"/>
      <c r="AQ46" s="308"/>
      <c r="AR46" s="308"/>
      <c r="AS46" s="12">
        <f>Table1[[#This Row],[Object_A_._head_time]]+Table1[[#This Row],[Object_B_._head_time]]</f>
        <v>51.3</v>
      </c>
      <c r="AT46" s="282"/>
      <c r="AU46" s="282"/>
      <c r="AV46" s="283"/>
      <c r="AW46" s="282"/>
      <c r="AX46" s="308">
        <f>(Table1[[#This Row],[Object_A_._head_time]]/(Table1[[#This Row],[Object_A_._head_time]]+Table1[[#This Row],[Object_B_._head_time]]))</f>
        <v>0.50292397660818722</v>
      </c>
      <c r="AY46" s="264" t="s">
        <v>487</v>
      </c>
      <c r="AZ46" s="264" t="s">
        <v>476</v>
      </c>
      <c r="BA46" s="12" t="s">
        <v>473</v>
      </c>
      <c r="BB46" s="12">
        <v>42</v>
      </c>
      <c r="BC46" s="12">
        <v>1.4</v>
      </c>
      <c r="BD46" s="12" t="s">
        <v>477</v>
      </c>
      <c r="BE46" s="284">
        <v>8</v>
      </c>
      <c r="BF46" s="12"/>
      <c r="BG46" s="279"/>
      <c r="BH46" s="279"/>
      <c r="BI46" s="279"/>
      <c r="BJ46" s="279"/>
      <c r="BK46" s="279"/>
      <c r="BL46" s="279"/>
      <c r="BM46" s="279"/>
      <c r="BN46" s="279"/>
      <c r="BO46" s="279"/>
      <c r="BP46" s="279"/>
      <c r="BQ46" s="279"/>
      <c r="BR46" s="279"/>
      <c r="BS46" s="279"/>
      <c r="BT46" s="279"/>
      <c r="BU46" s="279"/>
      <c r="BV46" s="279"/>
      <c r="BW46" s="279"/>
      <c r="BX46" s="279"/>
      <c r="BY46" s="279"/>
      <c r="BZ46" s="279"/>
      <c r="CA46" s="279"/>
      <c r="CB46" s="279"/>
      <c r="CC46" s="279"/>
      <c r="CD46" s="279"/>
      <c r="CE46" s="279"/>
      <c r="CF46" s="279"/>
      <c r="CG46" s="279"/>
      <c r="CH46" s="279"/>
      <c r="CI46" s="279"/>
      <c r="CJ46" s="279"/>
      <c r="CK46" s="279"/>
      <c r="CL46" s="279"/>
      <c r="CM46" s="279"/>
      <c r="CN46" s="279"/>
      <c r="CO46" s="279"/>
      <c r="CP46" s="279"/>
      <c r="CQ46" s="279"/>
      <c r="CR46" s="279"/>
      <c r="CS46" s="279"/>
      <c r="CT46" s="279"/>
      <c r="CU46" s="279"/>
      <c r="CV46" s="279"/>
      <c r="CW46" s="279"/>
      <c r="CX46" s="279"/>
      <c r="CY46" s="279"/>
      <c r="CZ46" s="279"/>
      <c r="DA46" s="279"/>
      <c r="DB46" s="279"/>
      <c r="DC46" s="279"/>
      <c r="DD46" s="279"/>
      <c r="DE46" s="279"/>
      <c r="DF46" s="279"/>
      <c r="DG46" s="279"/>
      <c r="DH46" s="279"/>
      <c r="DI46" s="279"/>
      <c r="DJ46" s="279"/>
      <c r="DK46" s="279"/>
      <c r="DL46" s="279"/>
      <c r="DM46" s="279"/>
      <c r="DN46" s="279"/>
      <c r="DO46" s="279"/>
      <c r="DP46" s="279"/>
      <c r="DQ46" s="279"/>
      <c r="DR46" s="279"/>
      <c r="DS46" s="279"/>
      <c r="DT46" s="279"/>
      <c r="DU46" s="279"/>
      <c r="DV46" s="279"/>
      <c r="DW46" s="279"/>
      <c r="DX46" s="279"/>
      <c r="DY46" s="279"/>
      <c r="DZ46" s="279"/>
      <c r="EA46" s="279"/>
      <c r="EB46" s="285"/>
    </row>
    <row r="47" spans="1:132" s="286" customFormat="1" ht="12" customHeight="1" x14ac:dyDescent="0.15">
      <c r="A47" s="264">
        <v>91</v>
      </c>
      <c r="B47" s="281" t="s">
        <v>148</v>
      </c>
      <c r="C47" s="264" t="s">
        <v>211</v>
      </c>
      <c r="D47" s="264" t="s">
        <v>46</v>
      </c>
      <c r="E47" s="264" t="s">
        <v>151</v>
      </c>
      <c r="F47" s="264" t="s">
        <v>267</v>
      </c>
      <c r="G47" s="264" t="s">
        <v>269</v>
      </c>
      <c r="H47" s="13">
        <v>360</v>
      </c>
      <c r="I47" s="265">
        <v>18.547999999999998</v>
      </c>
      <c r="J47" s="265">
        <v>5.1999999999999998E-2</v>
      </c>
      <c r="K47" s="265">
        <v>0.27300000000000002</v>
      </c>
      <c r="L47" s="13">
        <v>2.7</v>
      </c>
      <c r="M47" s="12">
        <v>26</v>
      </c>
      <c r="N47" s="13">
        <v>49.7</v>
      </c>
      <c r="O47" s="265">
        <v>2.9180000000000001</v>
      </c>
      <c r="P47" s="265">
        <v>5.8999999999999997E-2</v>
      </c>
      <c r="Q47" s="265">
        <v>0.22500000000000001</v>
      </c>
      <c r="R47" s="13">
        <v>13.6</v>
      </c>
      <c r="S47" s="12">
        <v>4708</v>
      </c>
      <c r="T47" s="13">
        <v>0</v>
      </c>
      <c r="U47" s="13">
        <v>5.2</v>
      </c>
      <c r="V47" s="12">
        <v>30</v>
      </c>
      <c r="W47" s="13">
        <v>66.400000000000006</v>
      </c>
      <c r="X47" s="265">
        <v>2.9</v>
      </c>
      <c r="Y47" s="265">
        <v>4.3999999999999997E-2</v>
      </c>
      <c r="Z47" s="265">
        <v>0.245</v>
      </c>
      <c r="AA47" s="13">
        <v>15.9</v>
      </c>
      <c r="AB47" s="12">
        <v>5279</v>
      </c>
      <c r="AC47" s="13">
        <v>0</v>
      </c>
      <c r="AD47" s="13">
        <v>5.8</v>
      </c>
      <c r="AE47" s="12">
        <v>21</v>
      </c>
      <c r="AF47" s="13">
        <v>25.5</v>
      </c>
      <c r="AG47" s="265">
        <v>2.2639999999999998</v>
      </c>
      <c r="AH47" s="265">
        <v>8.8999999999999996E-2</v>
      </c>
      <c r="AI47" s="13">
        <v>0</v>
      </c>
      <c r="AJ47" s="12">
        <v>22</v>
      </c>
      <c r="AK47" s="13">
        <v>334.5</v>
      </c>
      <c r="AL47" s="265">
        <v>16.283999999999999</v>
      </c>
      <c r="AM47" s="265">
        <v>4.9000000000000002E-2</v>
      </c>
      <c r="AN47" s="13">
        <v>2.7</v>
      </c>
      <c r="AO47" s="308"/>
      <c r="AP47" s="308"/>
      <c r="AQ47" s="308"/>
      <c r="AR47" s="308"/>
      <c r="AS47" s="12">
        <f>Table1[[#This Row],[Object_A_._head_time]]+Table1[[#This Row],[Object_B_._head_time]]</f>
        <v>116.10000000000001</v>
      </c>
      <c r="AT47" s="282"/>
      <c r="AU47" s="282"/>
      <c r="AV47" s="283"/>
      <c r="AW47" s="282"/>
      <c r="AX47" s="308">
        <f>(Table1[[#This Row],[Object_A_._head_time]]/(Table1[[#This Row],[Object_A_._head_time]]+Table1[[#This Row],[Object_B_._head_time]]))</f>
        <v>0.4280792420327304</v>
      </c>
      <c r="AY47" s="8" t="s">
        <v>487</v>
      </c>
      <c r="AZ47" s="8" t="s">
        <v>476</v>
      </c>
      <c r="BA47" s="12" t="s">
        <v>473</v>
      </c>
      <c r="BB47" s="12">
        <v>42</v>
      </c>
      <c r="BC47" s="13">
        <v>1.4</v>
      </c>
      <c r="BD47" s="12" t="s">
        <v>474</v>
      </c>
      <c r="BE47" s="284">
        <v>7</v>
      </c>
      <c r="BF47" s="12"/>
      <c r="BG47" s="279"/>
      <c r="BH47" s="279"/>
      <c r="BI47" s="279"/>
      <c r="BJ47" s="279"/>
      <c r="BK47" s="279"/>
      <c r="BL47" s="279"/>
      <c r="BM47" s="279"/>
      <c r="BN47" s="279"/>
      <c r="BO47" s="279"/>
      <c r="BP47" s="279"/>
      <c r="BQ47" s="279"/>
      <c r="BR47" s="279"/>
      <c r="BS47" s="279"/>
      <c r="BT47" s="279"/>
      <c r="BU47" s="279"/>
      <c r="BV47" s="279"/>
      <c r="BW47" s="279"/>
      <c r="BX47" s="279"/>
      <c r="BY47" s="279"/>
      <c r="BZ47" s="279"/>
      <c r="CA47" s="279"/>
      <c r="CB47" s="279"/>
      <c r="CC47" s="279"/>
      <c r="CD47" s="279"/>
      <c r="CE47" s="279"/>
      <c r="CF47" s="279"/>
      <c r="CG47" s="279"/>
      <c r="CH47" s="279"/>
      <c r="CI47" s="279"/>
      <c r="CJ47" s="279"/>
      <c r="CK47" s="279"/>
      <c r="CL47" s="279"/>
      <c r="CM47" s="279"/>
      <c r="CN47" s="279"/>
      <c r="CO47" s="279"/>
      <c r="CP47" s="279"/>
      <c r="CQ47" s="279"/>
      <c r="CR47" s="279"/>
      <c r="CS47" s="279"/>
      <c r="CT47" s="279"/>
      <c r="CU47" s="279"/>
      <c r="CV47" s="279"/>
      <c r="CW47" s="279"/>
      <c r="CX47" s="279"/>
      <c r="CY47" s="279"/>
      <c r="CZ47" s="279"/>
      <c r="DA47" s="279"/>
      <c r="DB47" s="279"/>
      <c r="DC47" s="279"/>
      <c r="DD47" s="279"/>
      <c r="DE47" s="279"/>
      <c r="DF47" s="279"/>
      <c r="DG47" s="279"/>
      <c r="DH47" s="279"/>
      <c r="DI47" s="279"/>
      <c r="DJ47" s="279"/>
      <c r="DK47" s="279"/>
      <c r="DL47" s="279"/>
      <c r="DM47" s="279"/>
      <c r="DN47" s="279"/>
      <c r="DO47" s="279"/>
      <c r="DP47" s="279"/>
      <c r="DQ47" s="279"/>
      <c r="DR47" s="279"/>
      <c r="DS47" s="279"/>
      <c r="DT47" s="279"/>
      <c r="DU47" s="279"/>
      <c r="DV47" s="279"/>
      <c r="DW47" s="279"/>
      <c r="DX47" s="279"/>
      <c r="DY47" s="279"/>
      <c r="DZ47" s="279"/>
      <c r="EA47" s="279"/>
      <c r="EB47" s="285"/>
    </row>
    <row r="48" spans="1:132" s="297" customFormat="1" ht="12" customHeight="1" x14ac:dyDescent="0.15">
      <c r="A48" s="262">
        <v>96</v>
      </c>
      <c r="B48" s="293" t="s">
        <v>39</v>
      </c>
      <c r="C48" s="262" t="s">
        <v>150</v>
      </c>
      <c r="D48" s="262" t="s">
        <v>41</v>
      </c>
      <c r="E48" s="262" t="s">
        <v>151</v>
      </c>
      <c r="F48" s="262" t="s">
        <v>152</v>
      </c>
      <c r="G48" s="262" t="s">
        <v>153</v>
      </c>
      <c r="H48" s="19">
        <v>360</v>
      </c>
      <c r="I48" s="263">
        <v>11.291</v>
      </c>
      <c r="J48" s="263">
        <v>3.1E-2</v>
      </c>
      <c r="K48" s="263">
        <v>0.25800000000000001</v>
      </c>
      <c r="L48" s="19">
        <v>68.3</v>
      </c>
      <c r="M48" s="18">
        <v>15</v>
      </c>
      <c r="N48" s="19">
        <v>52.9</v>
      </c>
      <c r="O48" s="263">
        <v>0.86199999999999999</v>
      </c>
      <c r="P48" s="263">
        <v>1.6E-2</v>
      </c>
      <c r="Q48" s="263">
        <v>0.246</v>
      </c>
      <c r="R48" s="19">
        <v>18.8</v>
      </c>
      <c r="S48" s="18">
        <v>2545</v>
      </c>
      <c r="T48" s="19">
        <v>22.2</v>
      </c>
      <c r="U48" s="19">
        <v>42.8</v>
      </c>
      <c r="V48" s="18">
        <v>22</v>
      </c>
      <c r="W48" s="19">
        <v>25.9</v>
      </c>
      <c r="X48" s="263">
        <v>1.3560000000000001</v>
      </c>
      <c r="Y48" s="263">
        <v>5.1999999999999998E-2</v>
      </c>
      <c r="Z48" s="263">
        <v>0.248</v>
      </c>
      <c r="AA48" s="19">
        <v>7.7</v>
      </c>
      <c r="AB48" s="18">
        <v>1842</v>
      </c>
      <c r="AC48" s="19">
        <v>0</v>
      </c>
      <c r="AD48" s="19">
        <v>9.3000000000000007</v>
      </c>
      <c r="AE48" s="18">
        <v>12</v>
      </c>
      <c r="AF48" s="19">
        <v>16</v>
      </c>
      <c r="AG48" s="263">
        <v>1.9</v>
      </c>
      <c r="AH48" s="263">
        <v>0.11899999999999999</v>
      </c>
      <c r="AI48" s="19">
        <v>0</v>
      </c>
      <c r="AJ48" s="18">
        <v>13</v>
      </c>
      <c r="AK48" s="19">
        <v>344</v>
      </c>
      <c r="AL48" s="263">
        <v>9.391</v>
      </c>
      <c r="AM48" s="263">
        <v>2.7E-2</v>
      </c>
      <c r="AN48" s="19">
        <v>68.3</v>
      </c>
      <c r="AO48" s="309"/>
      <c r="AP48" s="309"/>
      <c r="AQ48" s="309"/>
      <c r="AR48" s="309"/>
      <c r="AS48" s="18"/>
      <c r="AT48" s="18">
        <f>Table1[[#This Row],[Object_A_._head_time]]+Table1[[#This Row],[Object_B_._head_time]]</f>
        <v>78.8</v>
      </c>
      <c r="AU48" s="18">
        <f>Table1[[#This Row],[Object_B_._head_time]]-Table1[[#This Row],[Object_A_._head_time]]</f>
        <v>-27</v>
      </c>
      <c r="AV48" s="19">
        <f>Table1[[#This Row],[D1: Absolute discrimination measure (D1 = B2- A2)]]/Table1[[#This Row],[E2: total exploration time in second trial E2 ( E2 = A2 + B2)]]</f>
        <v>-0.34263959390862947</v>
      </c>
      <c r="AW48" s="309">
        <f>Table1[[#This Row],[Object_B_._head_time]]/Table1[[#This Row],[E2: total exploration time in second trial E2 ( E2 = A2 + B2)]]</f>
        <v>0.32868020304568529</v>
      </c>
      <c r="AX48" s="294"/>
      <c r="AY48" s="14" t="s">
        <v>486</v>
      </c>
      <c r="AZ48" s="14" t="s">
        <v>472</v>
      </c>
      <c r="BA48" s="18" t="s">
        <v>473</v>
      </c>
      <c r="BB48" s="18">
        <v>99</v>
      </c>
      <c r="BC48" s="19">
        <v>3.3</v>
      </c>
      <c r="BD48" s="18" t="s">
        <v>474</v>
      </c>
      <c r="BE48" s="295">
        <v>3</v>
      </c>
      <c r="BF48" s="18"/>
      <c r="BG48" s="279"/>
      <c r="BH48" s="279"/>
      <c r="BI48" s="279"/>
      <c r="BJ48" s="279"/>
      <c r="BK48" s="279"/>
      <c r="BL48" s="279"/>
      <c r="BM48" s="279"/>
      <c r="BN48" s="279"/>
      <c r="BO48" s="279"/>
      <c r="BP48" s="279"/>
      <c r="BQ48" s="279"/>
      <c r="BR48" s="279"/>
      <c r="BS48" s="279"/>
      <c r="BT48" s="279"/>
      <c r="BU48" s="279"/>
      <c r="BV48" s="279"/>
      <c r="BW48" s="279"/>
      <c r="BX48" s="279"/>
      <c r="BY48" s="279"/>
      <c r="BZ48" s="279"/>
      <c r="CA48" s="279"/>
      <c r="CB48" s="279"/>
      <c r="CC48" s="279"/>
      <c r="CD48" s="279"/>
      <c r="CE48" s="279"/>
      <c r="CF48" s="279"/>
      <c r="CG48" s="279"/>
      <c r="CH48" s="279"/>
      <c r="CI48" s="279"/>
      <c r="CJ48" s="279"/>
      <c r="CK48" s="279"/>
      <c r="CL48" s="279"/>
      <c r="CM48" s="279"/>
      <c r="CN48" s="279"/>
      <c r="CO48" s="279"/>
      <c r="CP48" s="279"/>
      <c r="CQ48" s="279"/>
      <c r="CR48" s="279"/>
      <c r="CS48" s="279"/>
      <c r="CT48" s="279"/>
      <c r="CU48" s="279"/>
      <c r="CV48" s="279"/>
      <c r="CW48" s="279"/>
      <c r="CX48" s="279"/>
      <c r="CY48" s="279"/>
      <c r="CZ48" s="279"/>
      <c r="DA48" s="279"/>
      <c r="DB48" s="279"/>
      <c r="DC48" s="279"/>
      <c r="DD48" s="279"/>
      <c r="DE48" s="279"/>
      <c r="DF48" s="279"/>
      <c r="DG48" s="279"/>
      <c r="DH48" s="279"/>
      <c r="DI48" s="279"/>
      <c r="DJ48" s="279"/>
      <c r="DK48" s="279"/>
      <c r="DL48" s="279"/>
      <c r="DM48" s="279"/>
      <c r="DN48" s="279"/>
      <c r="DO48" s="279"/>
      <c r="DP48" s="279"/>
      <c r="DQ48" s="279"/>
      <c r="DR48" s="279"/>
      <c r="DS48" s="279"/>
      <c r="DT48" s="279"/>
      <c r="DU48" s="279"/>
      <c r="DV48" s="279"/>
      <c r="DW48" s="279"/>
      <c r="DX48" s="279"/>
      <c r="DY48" s="279"/>
      <c r="DZ48" s="279"/>
      <c r="EA48" s="279"/>
      <c r="EB48" s="296"/>
    </row>
    <row r="49" spans="1:132" s="297" customFormat="1" ht="12" customHeight="1" x14ac:dyDescent="0.15">
      <c r="A49" s="262">
        <v>93</v>
      </c>
      <c r="B49" s="293" t="s">
        <v>45</v>
      </c>
      <c r="C49" s="262" t="s">
        <v>150</v>
      </c>
      <c r="D49" s="262" t="s">
        <v>46</v>
      </c>
      <c r="E49" s="262" t="s">
        <v>151</v>
      </c>
      <c r="F49" s="262" t="s">
        <v>152</v>
      </c>
      <c r="G49" s="262" t="s">
        <v>154</v>
      </c>
      <c r="H49" s="19">
        <v>360</v>
      </c>
      <c r="I49" s="263">
        <v>8.0890000000000004</v>
      </c>
      <c r="J49" s="263">
        <v>2.1999999999999999E-2</v>
      </c>
      <c r="K49" s="263">
        <v>0.32700000000000001</v>
      </c>
      <c r="L49" s="19">
        <v>80.2</v>
      </c>
      <c r="M49" s="18">
        <v>22</v>
      </c>
      <c r="N49" s="19">
        <v>30.6</v>
      </c>
      <c r="O49" s="263">
        <v>0.76500000000000001</v>
      </c>
      <c r="P49" s="263">
        <v>2.5000000000000001E-2</v>
      </c>
      <c r="Q49" s="263">
        <v>0.27900000000000003</v>
      </c>
      <c r="R49" s="19">
        <v>3.2</v>
      </c>
      <c r="S49" s="18">
        <v>1496</v>
      </c>
      <c r="T49" s="19">
        <v>4.4000000000000004</v>
      </c>
      <c r="U49" s="19">
        <v>19.600000000000001</v>
      </c>
      <c r="V49" s="18">
        <v>17</v>
      </c>
      <c r="W49" s="19">
        <v>114.1</v>
      </c>
      <c r="X49" s="263">
        <v>1.399</v>
      </c>
      <c r="Y49" s="263">
        <v>1.2E-2</v>
      </c>
      <c r="Z49" s="263">
        <v>0.17599999999999999</v>
      </c>
      <c r="AA49" s="19">
        <v>32.299999999999997</v>
      </c>
      <c r="AB49" s="18">
        <v>4930</v>
      </c>
      <c r="AC49" s="19">
        <v>48.1</v>
      </c>
      <c r="AD49" s="19">
        <v>49.4</v>
      </c>
      <c r="AE49" s="18">
        <v>13</v>
      </c>
      <c r="AF49" s="19">
        <v>12.9</v>
      </c>
      <c r="AG49" s="263">
        <v>1.452</v>
      </c>
      <c r="AH49" s="263">
        <v>0.113</v>
      </c>
      <c r="AI49" s="19">
        <v>0</v>
      </c>
      <c r="AJ49" s="18">
        <v>13</v>
      </c>
      <c r="AK49" s="19">
        <v>347.1</v>
      </c>
      <c r="AL49" s="263">
        <v>6.6379999999999999</v>
      </c>
      <c r="AM49" s="263">
        <v>1.9E-2</v>
      </c>
      <c r="AN49" s="19">
        <v>80.2</v>
      </c>
      <c r="AO49" s="309"/>
      <c r="AP49" s="309"/>
      <c r="AQ49" s="309"/>
      <c r="AR49" s="309"/>
      <c r="AS49" s="18"/>
      <c r="AT49" s="18">
        <f>Table1[[#This Row],[Object_A_._head_time]]+Table1[[#This Row],[Object_B_._head_time]]</f>
        <v>144.69999999999999</v>
      </c>
      <c r="AU49" s="18">
        <f>Table1[[#This Row],[Object_B_._head_time]]-Table1[[#This Row],[Object_A_._head_time]]</f>
        <v>83.5</v>
      </c>
      <c r="AV49" s="19">
        <f>Table1[[#This Row],[D1: Absolute discrimination measure (D1 = B2- A2)]]/Table1[[#This Row],[E2: total exploration time in second trial E2 ( E2 = A2 + B2)]]</f>
        <v>0.57705597788527996</v>
      </c>
      <c r="AW49" s="309">
        <f>Table1[[#This Row],[Object_B_._head_time]]/Table1[[#This Row],[E2: total exploration time in second trial E2 ( E2 = A2 + B2)]]</f>
        <v>0.78852798894263998</v>
      </c>
      <c r="AX49" s="294"/>
      <c r="AY49" s="14" t="s">
        <v>487</v>
      </c>
      <c r="AZ49" s="14" t="s">
        <v>472</v>
      </c>
      <c r="BA49" s="18" t="s">
        <v>475</v>
      </c>
      <c r="BB49" s="18">
        <v>99</v>
      </c>
      <c r="BC49" s="19">
        <v>3.3</v>
      </c>
      <c r="BD49" s="18" t="s">
        <v>474</v>
      </c>
      <c r="BE49" s="295">
        <v>1</v>
      </c>
      <c r="BF49" s="18"/>
      <c r="BG49" s="279"/>
      <c r="BH49" s="279"/>
      <c r="BI49" s="279"/>
      <c r="BJ49" s="279"/>
      <c r="BK49" s="279"/>
      <c r="BL49" s="279"/>
      <c r="BM49" s="279"/>
      <c r="BN49" s="279"/>
      <c r="BO49" s="279"/>
      <c r="BP49" s="279"/>
      <c r="BQ49" s="279"/>
      <c r="BR49" s="279"/>
      <c r="BS49" s="279"/>
      <c r="BT49" s="279"/>
      <c r="BU49" s="279"/>
      <c r="BV49" s="279"/>
      <c r="BW49" s="279"/>
      <c r="BX49" s="279"/>
      <c r="BY49" s="279"/>
      <c r="BZ49" s="279"/>
      <c r="CA49" s="279"/>
      <c r="CB49" s="279"/>
      <c r="CC49" s="279"/>
      <c r="CD49" s="279"/>
      <c r="CE49" s="279"/>
      <c r="CF49" s="279"/>
      <c r="CG49" s="279"/>
      <c r="CH49" s="279"/>
      <c r="CI49" s="279"/>
      <c r="CJ49" s="279"/>
      <c r="CK49" s="279"/>
      <c r="CL49" s="279"/>
      <c r="CM49" s="279"/>
      <c r="CN49" s="279"/>
      <c r="CO49" s="279"/>
      <c r="CP49" s="279"/>
      <c r="CQ49" s="279"/>
      <c r="CR49" s="279"/>
      <c r="CS49" s="279"/>
      <c r="CT49" s="279"/>
      <c r="CU49" s="279"/>
      <c r="CV49" s="279"/>
      <c r="CW49" s="279"/>
      <c r="CX49" s="279"/>
      <c r="CY49" s="279"/>
      <c r="CZ49" s="279"/>
      <c r="DA49" s="279"/>
      <c r="DB49" s="279"/>
      <c r="DC49" s="279"/>
      <c r="DD49" s="279"/>
      <c r="DE49" s="279"/>
      <c r="DF49" s="279"/>
      <c r="DG49" s="279"/>
      <c r="DH49" s="279"/>
      <c r="DI49" s="279"/>
      <c r="DJ49" s="279"/>
      <c r="DK49" s="279"/>
      <c r="DL49" s="279"/>
      <c r="DM49" s="279"/>
      <c r="DN49" s="279"/>
      <c r="DO49" s="279"/>
      <c r="DP49" s="279"/>
      <c r="DQ49" s="279"/>
      <c r="DR49" s="279"/>
      <c r="DS49" s="279"/>
      <c r="DT49" s="279"/>
      <c r="DU49" s="279"/>
      <c r="DV49" s="279"/>
      <c r="DW49" s="279"/>
      <c r="DX49" s="279"/>
      <c r="DY49" s="279"/>
      <c r="DZ49" s="279"/>
      <c r="EA49" s="279"/>
      <c r="EB49" s="296"/>
    </row>
    <row r="50" spans="1:132" s="297" customFormat="1" ht="12" customHeight="1" x14ac:dyDescent="0.15">
      <c r="A50" s="262">
        <v>95</v>
      </c>
      <c r="B50" s="293" t="s">
        <v>48</v>
      </c>
      <c r="C50" s="262" t="s">
        <v>150</v>
      </c>
      <c r="D50" s="262" t="s">
        <v>49</v>
      </c>
      <c r="E50" s="262" t="s">
        <v>151</v>
      </c>
      <c r="F50" s="262" t="s">
        <v>152</v>
      </c>
      <c r="G50" s="262" t="s">
        <v>155</v>
      </c>
      <c r="H50" s="19">
        <v>360</v>
      </c>
      <c r="I50" s="263">
        <v>10.077</v>
      </c>
      <c r="J50" s="263">
        <v>2.8000000000000001E-2</v>
      </c>
      <c r="K50" s="263">
        <v>0.247</v>
      </c>
      <c r="L50" s="19">
        <v>40.1</v>
      </c>
      <c r="M50" s="18">
        <v>21</v>
      </c>
      <c r="N50" s="19">
        <v>62.4</v>
      </c>
      <c r="O50" s="263">
        <v>2.448</v>
      </c>
      <c r="P50" s="263">
        <v>3.9E-2</v>
      </c>
      <c r="Q50" s="263">
        <v>0.23599999999999999</v>
      </c>
      <c r="R50" s="19">
        <v>7.3</v>
      </c>
      <c r="S50" s="18">
        <v>3005</v>
      </c>
      <c r="T50" s="19">
        <v>0</v>
      </c>
      <c r="U50" s="19">
        <v>8</v>
      </c>
      <c r="V50" s="18">
        <v>18</v>
      </c>
      <c r="W50" s="19">
        <v>51.8</v>
      </c>
      <c r="X50" s="263">
        <v>1.8340000000000001</v>
      </c>
      <c r="Y50" s="263">
        <v>3.5000000000000003E-2</v>
      </c>
      <c r="Z50" s="263">
        <v>0.245</v>
      </c>
      <c r="AA50" s="19">
        <v>6.1</v>
      </c>
      <c r="AB50" s="18">
        <v>3568</v>
      </c>
      <c r="AC50" s="19">
        <v>0</v>
      </c>
      <c r="AD50" s="19">
        <v>5.4</v>
      </c>
      <c r="AE50" s="18">
        <v>24</v>
      </c>
      <c r="AF50" s="19">
        <v>51.7</v>
      </c>
      <c r="AG50" s="263">
        <v>2.48</v>
      </c>
      <c r="AH50" s="263">
        <v>4.8000000000000001E-2</v>
      </c>
      <c r="AI50" s="19">
        <v>1.2</v>
      </c>
      <c r="AJ50" s="18">
        <v>25</v>
      </c>
      <c r="AK50" s="19">
        <v>308.3</v>
      </c>
      <c r="AL50" s="263">
        <v>7.5979999999999999</v>
      </c>
      <c r="AM50" s="263">
        <v>2.5000000000000001E-2</v>
      </c>
      <c r="AN50" s="19">
        <v>38.9</v>
      </c>
      <c r="AO50" s="309"/>
      <c r="AP50" s="309"/>
      <c r="AQ50" s="309"/>
      <c r="AR50" s="309"/>
      <c r="AS50" s="18"/>
      <c r="AT50" s="18">
        <f>Table1[[#This Row],[Object_A_._head_time]]+Table1[[#This Row],[Object_B_._head_time]]</f>
        <v>114.19999999999999</v>
      </c>
      <c r="AU50" s="18">
        <f>Table1[[#This Row],[Object_B_._head_time]]-Table1[[#This Row],[Object_A_._head_time]]</f>
        <v>-10.600000000000001</v>
      </c>
      <c r="AV50" s="19">
        <f>Table1[[#This Row],[D1: Absolute discrimination measure (D1 = B2- A2)]]/Table1[[#This Row],[E2: total exploration time in second trial E2 ( E2 = A2 + B2)]]</f>
        <v>-9.2819614711033296E-2</v>
      </c>
      <c r="AW50" s="309">
        <f>Table1[[#This Row],[Object_B_._head_time]]/Table1[[#This Row],[E2: total exploration time in second trial E2 ( E2 = A2 + B2)]]</f>
        <v>0.45359019264448336</v>
      </c>
      <c r="AX50" s="294"/>
      <c r="AY50" s="14" t="s">
        <v>486</v>
      </c>
      <c r="AZ50" s="14" t="s">
        <v>476</v>
      </c>
      <c r="BA50" s="18" t="s">
        <v>475</v>
      </c>
      <c r="BB50" s="18">
        <v>94</v>
      </c>
      <c r="BC50" s="19">
        <v>3.1333333333333333</v>
      </c>
      <c r="BD50" s="18" t="s">
        <v>474</v>
      </c>
      <c r="BE50" s="295">
        <v>5</v>
      </c>
      <c r="BF50" s="18" t="s">
        <v>458</v>
      </c>
      <c r="BG50" s="279"/>
      <c r="BH50" s="279"/>
      <c r="BI50" s="279"/>
      <c r="BJ50" s="279"/>
      <c r="BK50" s="279"/>
      <c r="BL50" s="279"/>
      <c r="BM50" s="279"/>
      <c r="BN50" s="279"/>
      <c r="BO50" s="279"/>
      <c r="BP50" s="279"/>
      <c r="BQ50" s="279"/>
      <c r="BR50" s="279"/>
      <c r="BS50" s="279"/>
      <c r="BT50" s="279"/>
      <c r="BU50" s="279"/>
      <c r="BV50" s="279"/>
      <c r="BW50" s="279"/>
      <c r="BX50" s="279"/>
      <c r="BY50" s="279"/>
      <c r="BZ50" s="279"/>
      <c r="CA50" s="279"/>
      <c r="CB50" s="279"/>
      <c r="CC50" s="279"/>
      <c r="CD50" s="279"/>
      <c r="CE50" s="279"/>
      <c r="CF50" s="279"/>
      <c r="CG50" s="279"/>
      <c r="CH50" s="279"/>
      <c r="CI50" s="279"/>
      <c r="CJ50" s="279"/>
      <c r="CK50" s="279"/>
      <c r="CL50" s="279"/>
      <c r="CM50" s="279"/>
      <c r="CN50" s="279"/>
      <c r="CO50" s="279"/>
      <c r="CP50" s="279"/>
      <c r="CQ50" s="279"/>
      <c r="CR50" s="279"/>
      <c r="CS50" s="279"/>
      <c r="CT50" s="279"/>
      <c r="CU50" s="279"/>
      <c r="CV50" s="279"/>
      <c r="CW50" s="279"/>
      <c r="CX50" s="279"/>
      <c r="CY50" s="279"/>
      <c r="CZ50" s="279"/>
      <c r="DA50" s="279"/>
      <c r="DB50" s="279"/>
      <c r="DC50" s="279"/>
      <c r="DD50" s="279"/>
      <c r="DE50" s="279"/>
      <c r="DF50" s="279"/>
      <c r="DG50" s="279"/>
      <c r="DH50" s="279"/>
      <c r="DI50" s="279"/>
      <c r="DJ50" s="279"/>
      <c r="DK50" s="279"/>
      <c r="DL50" s="279"/>
      <c r="DM50" s="279"/>
      <c r="DN50" s="279"/>
      <c r="DO50" s="279"/>
      <c r="DP50" s="279"/>
      <c r="DQ50" s="279"/>
      <c r="DR50" s="279"/>
      <c r="DS50" s="279"/>
      <c r="DT50" s="279"/>
      <c r="DU50" s="279"/>
      <c r="DV50" s="279"/>
      <c r="DW50" s="279"/>
      <c r="DX50" s="279"/>
      <c r="DY50" s="279"/>
      <c r="DZ50" s="279"/>
      <c r="EA50" s="279"/>
      <c r="EB50" s="296"/>
    </row>
    <row r="51" spans="1:132" s="297" customFormat="1" ht="12" customHeight="1" x14ac:dyDescent="0.15">
      <c r="A51" s="262">
        <v>94</v>
      </c>
      <c r="B51" s="293" t="s">
        <v>52</v>
      </c>
      <c r="C51" s="262" t="s">
        <v>150</v>
      </c>
      <c r="D51" s="262" t="s">
        <v>53</v>
      </c>
      <c r="E51" s="262" t="s">
        <v>151</v>
      </c>
      <c r="F51" s="262" t="s">
        <v>152</v>
      </c>
      <c r="G51" s="262" t="s">
        <v>156</v>
      </c>
      <c r="H51" s="19">
        <v>360</v>
      </c>
      <c r="I51" s="263">
        <v>20.376999999999999</v>
      </c>
      <c r="J51" s="263">
        <v>5.7000000000000002E-2</v>
      </c>
      <c r="K51" s="263">
        <v>0.248</v>
      </c>
      <c r="L51" s="19">
        <v>8.4</v>
      </c>
      <c r="M51" s="18">
        <v>24</v>
      </c>
      <c r="N51" s="19">
        <v>53.7</v>
      </c>
      <c r="O51" s="263">
        <v>2.298</v>
      </c>
      <c r="P51" s="263">
        <v>4.2999999999999997E-2</v>
      </c>
      <c r="Q51" s="263">
        <v>0.193</v>
      </c>
      <c r="R51" s="19">
        <v>6.4</v>
      </c>
      <c r="S51" s="18">
        <v>3546</v>
      </c>
      <c r="T51" s="19">
        <v>0</v>
      </c>
      <c r="U51" s="19">
        <v>4.9000000000000004</v>
      </c>
      <c r="V51" s="18">
        <v>30</v>
      </c>
      <c r="W51" s="19">
        <v>45.7</v>
      </c>
      <c r="X51" s="263">
        <v>2.331</v>
      </c>
      <c r="Y51" s="263">
        <v>5.0999999999999997E-2</v>
      </c>
      <c r="Z51" s="263">
        <v>0.20100000000000001</v>
      </c>
      <c r="AA51" s="19">
        <v>12.1</v>
      </c>
      <c r="AB51" s="18">
        <v>2804</v>
      </c>
      <c r="AC51" s="19">
        <v>0</v>
      </c>
      <c r="AD51" s="19">
        <v>11.9</v>
      </c>
      <c r="AE51" s="18">
        <v>32</v>
      </c>
      <c r="AF51" s="19">
        <v>53.3</v>
      </c>
      <c r="AG51" s="263">
        <v>4.5549999999999997</v>
      </c>
      <c r="AH51" s="263">
        <v>8.5000000000000006E-2</v>
      </c>
      <c r="AI51" s="19">
        <v>0</v>
      </c>
      <c r="AJ51" s="18">
        <v>32</v>
      </c>
      <c r="AK51" s="19">
        <v>306.7</v>
      </c>
      <c r="AL51" s="263">
        <v>15.821999999999999</v>
      </c>
      <c r="AM51" s="263">
        <v>5.1999999999999998E-2</v>
      </c>
      <c r="AN51" s="19">
        <v>8.4</v>
      </c>
      <c r="AO51" s="309"/>
      <c r="AP51" s="309"/>
      <c r="AQ51" s="309"/>
      <c r="AR51" s="309"/>
      <c r="AS51" s="18"/>
      <c r="AT51" s="18">
        <f>Table1[[#This Row],[Object_A_._head_time]]+Table1[[#This Row],[Object_B_._head_time]]</f>
        <v>99.4</v>
      </c>
      <c r="AU51" s="18">
        <f>Table1[[#This Row],[Object_B_._head_time]]-Table1[[#This Row],[Object_A_._head_time]]</f>
        <v>-8</v>
      </c>
      <c r="AV51" s="19">
        <f>Table1[[#This Row],[D1: Absolute discrimination measure (D1 = B2- A2)]]/Table1[[#This Row],[E2: total exploration time in second trial E2 ( E2 = A2 + B2)]]</f>
        <v>-8.0482897384305835E-2</v>
      </c>
      <c r="AW51" s="309">
        <f>Table1[[#This Row],[Object_B_._head_time]]/Table1[[#This Row],[E2: total exploration time in second trial E2 ( E2 = A2 + B2)]]</f>
        <v>0.4597585513078471</v>
      </c>
      <c r="AX51" s="294"/>
      <c r="AY51" s="14" t="s">
        <v>486</v>
      </c>
      <c r="AZ51" s="14" t="s">
        <v>476</v>
      </c>
      <c r="BA51" s="18" t="s">
        <v>473</v>
      </c>
      <c r="BB51" s="18">
        <v>94</v>
      </c>
      <c r="BC51" s="19">
        <v>3.1333333333333333</v>
      </c>
      <c r="BD51" s="18" t="s">
        <v>477</v>
      </c>
      <c r="BE51" s="295">
        <v>8</v>
      </c>
      <c r="BF51" s="18"/>
      <c r="BG51" s="279"/>
      <c r="BH51" s="279"/>
      <c r="BI51" s="279"/>
      <c r="BJ51" s="279"/>
      <c r="BK51" s="279"/>
      <c r="BL51" s="279"/>
      <c r="BM51" s="279"/>
      <c r="BN51" s="279"/>
      <c r="BO51" s="279"/>
      <c r="BP51" s="279"/>
      <c r="BQ51" s="279"/>
      <c r="BR51" s="279"/>
      <c r="BS51" s="279"/>
      <c r="BT51" s="279"/>
      <c r="BU51" s="279"/>
      <c r="BV51" s="279"/>
      <c r="BW51" s="279"/>
      <c r="BX51" s="279"/>
      <c r="BY51" s="279"/>
      <c r="BZ51" s="279"/>
      <c r="CA51" s="279"/>
      <c r="CB51" s="279"/>
      <c r="CC51" s="279"/>
      <c r="CD51" s="279"/>
      <c r="CE51" s="279"/>
      <c r="CF51" s="279"/>
      <c r="CG51" s="279"/>
      <c r="CH51" s="279"/>
      <c r="CI51" s="279"/>
      <c r="CJ51" s="279"/>
      <c r="CK51" s="279"/>
      <c r="CL51" s="279"/>
      <c r="CM51" s="279"/>
      <c r="CN51" s="279"/>
      <c r="CO51" s="279"/>
      <c r="CP51" s="279"/>
      <c r="CQ51" s="279"/>
      <c r="CR51" s="279"/>
      <c r="CS51" s="279"/>
      <c r="CT51" s="279"/>
      <c r="CU51" s="279"/>
      <c r="CV51" s="279"/>
      <c r="CW51" s="279"/>
      <c r="CX51" s="279"/>
      <c r="CY51" s="279"/>
      <c r="CZ51" s="279"/>
      <c r="DA51" s="279"/>
      <c r="DB51" s="279"/>
      <c r="DC51" s="279"/>
      <c r="DD51" s="279"/>
      <c r="DE51" s="279"/>
      <c r="DF51" s="279"/>
      <c r="DG51" s="279"/>
      <c r="DH51" s="279"/>
      <c r="DI51" s="279"/>
      <c r="DJ51" s="279"/>
      <c r="DK51" s="279"/>
      <c r="DL51" s="279"/>
      <c r="DM51" s="279"/>
      <c r="DN51" s="279"/>
      <c r="DO51" s="279"/>
      <c r="DP51" s="279"/>
      <c r="DQ51" s="279"/>
      <c r="DR51" s="279"/>
      <c r="DS51" s="279"/>
      <c r="DT51" s="279"/>
      <c r="DU51" s="279"/>
      <c r="DV51" s="279"/>
      <c r="DW51" s="279"/>
      <c r="DX51" s="279"/>
      <c r="DY51" s="279"/>
      <c r="DZ51" s="279"/>
      <c r="EA51" s="279"/>
      <c r="EB51" s="296"/>
    </row>
    <row r="52" spans="1:132" s="297" customFormat="1" ht="12" customHeight="1" x14ac:dyDescent="0.15">
      <c r="A52" s="262">
        <v>99</v>
      </c>
      <c r="B52" s="293" t="s">
        <v>55</v>
      </c>
      <c r="C52" s="262" t="s">
        <v>150</v>
      </c>
      <c r="D52" s="262" t="s">
        <v>41</v>
      </c>
      <c r="E52" s="262" t="s">
        <v>151</v>
      </c>
      <c r="F52" s="262" t="s">
        <v>157</v>
      </c>
      <c r="G52" s="262" t="s">
        <v>158</v>
      </c>
      <c r="H52" s="19">
        <v>360</v>
      </c>
      <c r="I52" s="263">
        <v>8.4329999999999998</v>
      </c>
      <c r="J52" s="263">
        <v>2.3E-2</v>
      </c>
      <c r="K52" s="263">
        <v>0.20200000000000001</v>
      </c>
      <c r="L52" s="19">
        <v>38.1</v>
      </c>
      <c r="M52" s="18">
        <v>8</v>
      </c>
      <c r="N52" s="19">
        <v>12.9</v>
      </c>
      <c r="O52" s="263">
        <v>0.5</v>
      </c>
      <c r="P52" s="263">
        <v>3.9E-2</v>
      </c>
      <c r="Q52" s="263">
        <v>0.16</v>
      </c>
      <c r="R52" s="19">
        <v>1.4</v>
      </c>
      <c r="S52" s="18">
        <v>725</v>
      </c>
      <c r="T52" s="19">
        <v>0</v>
      </c>
      <c r="U52" s="19">
        <v>3.7</v>
      </c>
      <c r="V52" s="18">
        <v>14</v>
      </c>
      <c r="W52" s="19">
        <v>9.3000000000000007</v>
      </c>
      <c r="X52" s="263">
        <v>0.45100000000000001</v>
      </c>
      <c r="Y52" s="263">
        <v>4.9000000000000002E-2</v>
      </c>
      <c r="Z52" s="263">
        <v>0.13500000000000001</v>
      </c>
      <c r="AA52" s="19">
        <v>4.2</v>
      </c>
      <c r="AB52" s="18">
        <v>762</v>
      </c>
      <c r="AC52" s="19">
        <v>0</v>
      </c>
      <c r="AD52" s="19">
        <v>5.7</v>
      </c>
      <c r="AE52" s="18">
        <v>8</v>
      </c>
      <c r="AF52" s="19">
        <v>13.2</v>
      </c>
      <c r="AG52" s="263">
        <v>0.83499999999999996</v>
      </c>
      <c r="AH52" s="263">
        <v>6.3E-2</v>
      </c>
      <c r="AI52" s="19">
        <v>1</v>
      </c>
      <c r="AJ52" s="18">
        <v>8</v>
      </c>
      <c r="AK52" s="19">
        <v>346.8</v>
      </c>
      <c r="AL52" s="263">
        <v>7.5970000000000004</v>
      </c>
      <c r="AM52" s="263">
        <v>2.1999999999999999E-2</v>
      </c>
      <c r="AN52" s="19">
        <v>37.5</v>
      </c>
      <c r="AO52" s="309"/>
      <c r="AP52" s="309"/>
      <c r="AQ52" s="309"/>
      <c r="AR52" s="309"/>
      <c r="AS52" s="18"/>
      <c r="AT52" s="18">
        <f>Table1[[#This Row],[Object_A_._head_time]]+Table1[[#This Row],[Object_B_._head_time]]</f>
        <v>22.200000000000003</v>
      </c>
      <c r="AU52" s="18">
        <f>Table1[[#This Row],[Object_B_._head_time]]-Table1[[#This Row],[Object_A_._head_time]]</f>
        <v>-3.5999999999999996</v>
      </c>
      <c r="AV52" s="19">
        <f>Table1[[#This Row],[D1: Absolute discrimination measure (D1 = B2- A2)]]/Table1[[#This Row],[E2: total exploration time in second trial E2 ( E2 = A2 + B2)]]</f>
        <v>-0.16216216216216212</v>
      </c>
      <c r="AW52" s="309">
        <f>Table1[[#This Row],[Object_B_._head_time]]/Table1[[#This Row],[E2: total exploration time in second trial E2 ( E2 = A2 + B2)]]</f>
        <v>0.41891891891891891</v>
      </c>
      <c r="AX52" s="294"/>
      <c r="AY52" s="14" t="s">
        <v>486</v>
      </c>
      <c r="AZ52" s="14" t="s">
        <v>476</v>
      </c>
      <c r="BA52" s="18" t="s">
        <v>473</v>
      </c>
      <c r="BB52" s="18">
        <v>94</v>
      </c>
      <c r="BC52" s="19">
        <v>3.1333333333333333</v>
      </c>
      <c r="BD52" s="18" t="s">
        <v>474</v>
      </c>
      <c r="BE52" s="295">
        <v>7</v>
      </c>
      <c r="BF52" s="18" t="s">
        <v>458</v>
      </c>
      <c r="BG52" s="279"/>
      <c r="BH52" s="279"/>
      <c r="BI52" s="279"/>
      <c r="BJ52" s="279"/>
      <c r="BK52" s="279"/>
      <c r="BL52" s="279"/>
      <c r="BM52" s="279"/>
      <c r="BN52" s="279"/>
      <c r="BO52" s="279"/>
      <c r="BP52" s="279"/>
      <c r="BQ52" s="279"/>
      <c r="BR52" s="279"/>
      <c r="BS52" s="279"/>
      <c r="BT52" s="279"/>
      <c r="BU52" s="279"/>
      <c r="BV52" s="279"/>
      <c r="BW52" s="279"/>
      <c r="BX52" s="279"/>
      <c r="BY52" s="279"/>
      <c r="BZ52" s="279"/>
      <c r="CA52" s="279"/>
      <c r="CB52" s="279"/>
      <c r="CC52" s="279"/>
      <c r="CD52" s="279"/>
      <c r="CE52" s="279"/>
      <c r="CF52" s="279"/>
      <c r="CG52" s="279"/>
      <c r="CH52" s="279"/>
      <c r="CI52" s="279"/>
      <c r="CJ52" s="279"/>
      <c r="CK52" s="279"/>
      <c r="CL52" s="279"/>
      <c r="CM52" s="279"/>
      <c r="CN52" s="279"/>
      <c r="CO52" s="279"/>
      <c r="CP52" s="279"/>
      <c r="CQ52" s="279"/>
      <c r="CR52" s="279"/>
      <c r="CS52" s="279"/>
      <c r="CT52" s="279"/>
      <c r="CU52" s="279"/>
      <c r="CV52" s="279"/>
      <c r="CW52" s="279"/>
      <c r="CX52" s="279"/>
      <c r="CY52" s="279"/>
      <c r="CZ52" s="279"/>
      <c r="DA52" s="279"/>
      <c r="DB52" s="279"/>
      <c r="DC52" s="279"/>
      <c r="DD52" s="279"/>
      <c r="DE52" s="279"/>
      <c r="DF52" s="279"/>
      <c r="DG52" s="279"/>
      <c r="DH52" s="279"/>
      <c r="DI52" s="279"/>
      <c r="DJ52" s="279"/>
      <c r="DK52" s="279"/>
      <c r="DL52" s="279"/>
      <c r="DM52" s="279"/>
      <c r="DN52" s="279"/>
      <c r="DO52" s="279"/>
      <c r="DP52" s="279"/>
      <c r="DQ52" s="279"/>
      <c r="DR52" s="279"/>
      <c r="DS52" s="279"/>
      <c r="DT52" s="279"/>
      <c r="DU52" s="279"/>
      <c r="DV52" s="279"/>
      <c r="DW52" s="279"/>
      <c r="DX52" s="279"/>
      <c r="DY52" s="279"/>
      <c r="DZ52" s="279"/>
      <c r="EA52" s="279"/>
      <c r="EB52" s="296"/>
    </row>
    <row r="53" spans="1:132" s="297" customFormat="1" ht="12" customHeight="1" x14ac:dyDescent="0.15">
      <c r="A53" s="262">
        <v>97</v>
      </c>
      <c r="B53" s="293" t="s">
        <v>58</v>
      </c>
      <c r="C53" s="262" t="s">
        <v>150</v>
      </c>
      <c r="D53" s="262" t="s">
        <v>46</v>
      </c>
      <c r="E53" s="262" t="s">
        <v>151</v>
      </c>
      <c r="F53" s="262" t="s">
        <v>159</v>
      </c>
      <c r="G53" s="262" t="s">
        <v>160</v>
      </c>
      <c r="H53" s="19">
        <v>360</v>
      </c>
      <c r="I53" s="263">
        <v>5.8029999999999999</v>
      </c>
      <c r="J53" s="263">
        <v>1.6E-2</v>
      </c>
      <c r="K53" s="263">
        <v>0.27300000000000002</v>
      </c>
      <c r="L53" s="19">
        <v>164.9</v>
      </c>
      <c r="M53" s="18">
        <v>19</v>
      </c>
      <c r="N53" s="19">
        <v>30</v>
      </c>
      <c r="O53" s="263">
        <v>0.72799999999999998</v>
      </c>
      <c r="P53" s="263">
        <v>2.4E-2</v>
      </c>
      <c r="Q53" s="263">
        <v>0.23400000000000001</v>
      </c>
      <c r="R53" s="19">
        <v>7.9</v>
      </c>
      <c r="S53" s="18">
        <v>2271</v>
      </c>
      <c r="T53" s="19">
        <v>6.8</v>
      </c>
      <c r="U53" s="19">
        <v>16.399999999999999</v>
      </c>
      <c r="V53" s="18">
        <v>10</v>
      </c>
      <c r="W53" s="19">
        <v>6.2</v>
      </c>
      <c r="X53" s="263">
        <v>0.316</v>
      </c>
      <c r="Y53" s="263">
        <v>5.0999999999999997E-2</v>
      </c>
      <c r="Z53" s="263">
        <v>0.19800000000000001</v>
      </c>
      <c r="AA53" s="19">
        <v>0.6</v>
      </c>
      <c r="AB53" s="18">
        <v>631</v>
      </c>
      <c r="AC53" s="19">
        <v>0</v>
      </c>
      <c r="AD53" s="19">
        <v>1</v>
      </c>
      <c r="AE53" s="18">
        <v>5</v>
      </c>
      <c r="AF53" s="19">
        <v>8.4</v>
      </c>
      <c r="AG53" s="263">
        <v>0.85499999999999998</v>
      </c>
      <c r="AH53" s="263">
        <v>0.10199999999999999</v>
      </c>
      <c r="AI53" s="19">
        <v>0</v>
      </c>
      <c r="AJ53" s="18">
        <v>6</v>
      </c>
      <c r="AK53" s="19">
        <v>351.6</v>
      </c>
      <c r="AL53" s="263">
        <v>4.9480000000000004</v>
      </c>
      <c r="AM53" s="263">
        <v>1.4E-2</v>
      </c>
      <c r="AN53" s="19">
        <v>164.9</v>
      </c>
      <c r="AO53" s="309"/>
      <c r="AP53" s="309"/>
      <c r="AQ53" s="309"/>
      <c r="AR53" s="309"/>
      <c r="AS53" s="18"/>
      <c r="AT53" s="18">
        <f>Table1[[#This Row],[Object_A_._head_time]]+Table1[[#This Row],[Object_B_._head_time]]</f>
        <v>36.200000000000003</v>
      </c>
      <c r="AU53" s="18">
        <f>Table1[[#This Row],[Object_B_._head_time]]-Table1[[#This Row],[Object_A_._head_time]]</f>
        <v>-23.8</v>
      </c>
      <c r="AV53" s="19">
        <f>Table1[[#This Row],[D1: Absolute discrimination measure (D1 = B2- A2)]]/Table1[[#This Row],[E2: total exploration time in second trial E2 ( E2 = A2 + B2)]]</f>
        <v>-0.65745856353591159</v>
      </c>
      <c r="AW53" s="309">
        <f>Table1[[#This Row],[Object_B_._head_time]]/Table1[[#This Row],[E2: total exploration time in second trial E2 ( E2 = A2 + B2)]]</f>
        <v>0.17127071823204418</v>
      </c>
      <c r="AX53" s="294"/>
      <c r="AY53" s="14" t="s">
        <v>487</v>
      </c>
      <c r="AZ53" s="14" t="s">
        <v>476</v>
      </c>
      <c r="BA53" s="18" t="s">
        <v>473</v>
      </c>
      <c r="BB53" s="18">
        <v>94</v>
      </c>
      <c r="BC53" s="19">
        <v>3.1333333333333333</v>
      </c>
      <c r="BD53" s="18" t="s">
        <v>477</v>
      </c>
      <c r="BE53" s="295">
        <v>8</v>
      </c>
      <c r="BF53" s="18"/>
      <c r="BG53" s="279"/>
      <c r="BH53" s="279"/>
      <c r="BI53" s="279"/>
      <c r="BJ53" s="279"/>
      <c r="BK53" s="279"/>
      <c r="BL53" s="279"/>
      <c r="BM53" s="279"/>
      <c r="BN53" s="279"/>
      <c r="BO53" s="279"/>
      <c r="BP53" s="279"/>
      <c r="BQ53" s="279"/>
      <c r="BR53" s="279"/>
      <c r="BS53" s="279"/>
      <c r="BT53" s="279"/>
      <c r="BU53" s="279"/>
      <c r="BV53" s="279"/>
      <c r="BW53" s="279"/>
      <c r="BX53" s="279"/>
      <c r="BY53" s="279"/>
      <c r="BZ53" s="279"/>
      <c r="CA53" s="279"/>
      <c r="CB53" s="279"/>
      <c r="CC53" s="279"/>
      <c r="CD53" s="279"/>
      <c r="CE53" s="279"/>
      <c r="CF53" s="279"/>
      <c r="CG53" s="279"/>
      <c r="CH53" s="279"/>
      <c r="CI53" s="279"/>
      <c r="CJ53" s="279"/>
      <c r="CK53" s="279"/>
      <c r="CL53" s="279"/>
      <c r="CM53" s="279"/>
      <c r="CN53" s="279"/>
      <c r="CO53" s="279"/>
      <c r="CP53" s="279"/>
      <c r="CQ53" s="279"/>
      <c r="CR53" s="279"/>
      <c r="CS53" s="279"/>
      <c r="CT53" s="279"/>
      <c r="CU53" s="279"/>
      <c r="CV53" s="279"/>
      <c r="CW53" s="279"/>
      <c r="CX53" s="279"/>
      <c r="CY53" s="279"/>
      <c r="CZ53" s="279"/>
      <c r="DA53" s="279"/>
      <c r="DB53" s="279"/>
      <c r="DC53" s="279"/>
      <c r="DD53" s="279"/>
      <c r="DE53" s="279"/>
      <c r="DF53" s="279"/>
      <c r="DG53" s="279"/>
      <c r="DH53" s="279"/>
      <c r="DI53" s="279"/>
      <c r="DJ53" s="279"/>
      <c r="DK53" s="279"/>
      <c r="DL53" s="279"/>
      <c r="DM53" s="279"/>
      <c r="DN53" s="279"/>
      <c r="DO53" s="279"/>
      <c r="DP53" s="279"/>
      <c r="DQ53" s="279"/>
      <c r="DR53" s="279"/>
      <c r="DS53" s="279"/>
      <c r="DT53" s="279"/>
      <c r="DU53" s="279"/>
      <c r="DV53" s="279"/>
      <c r="DW53" s="279"/>
      <c r="DX53" s="279"/>
      <c r="DY53" s="279"/>
      <c r="DZ53" s="279"/>
      <c r="EA53" s="279"/>
      <c r="EB53" s="296"/>
    </row>
    <row r="54" spans="1:132" s="297" customFormat="1" ht="12" customHeight="1" x14ac:dyDescent="0.15">
      <c r="A54" s="262">
        <v>100</v>
      </c>
      <c r="B54" s="293" t="s">
        <v>60</v>
      </c>
      <c r="C54" s="262" t="s">
        <v>150</v>
      </c>
      <c r="D54" s="262" t="s">
        <v>49</v>
      </c>
      <c r="E54" s="262" t="s">
        <v>151</v>
      </c>
      <c r="F54" s="262" t="s">
        <v>157</v>
      </c>
      <c r="G54" s="262" t="s">
        <v>161</v>
      </c>
      <c r="H54" s="19">
        <v>360</v>
      </c>
      <c r="I54" s="263">
        <v>6.0679999999999996</v>
      </c>
      <c r="J54" s="263">
        <v>1.7000000000000001E-2</v>
      </c>
      <c r="K54" s="263">
        <v>0.216</v>
      </c>
      <c r="L54" s="19">
        <v>139.5</v>
      </c>
      <c r="M54" s="18">
        <v>13</v>
      </c>
      <c r="N54" s="19">
        <v>22.3</v>
      </c>
      <c r="O54" s="263">
        <v>0.98</v>
      </c>
      <c r="P54" s="263">
        <v>4.3999999999999997E-2</v>
      </c>
      <c r="Q54" s="263">
        <v>0.19</v>
      </c>
      <c r="R54" s="19">
        <v>7.2</v>
      </c>
      <c r="S54" s="18">
        <v>1656</v>
      </c>
      <c r="T54" s="19">
        <v>0</v>
      </c>
      <c r="U54" s="19">
        <v>7.5</v>
      </c>
      <c r="V54" s="18">
        <v>34</v>
      </c>
      <c r="W54" s="19">
        <v>59.2</v>
      </c>
      <c r="X54" s="263">
        <v>0.86099999999999999</v>
      </c>
      <c r="Y54" s="263">
        <v>1.4999999999999999E-2</v>
      </c>
      <c r="Z54" s="263">
        <v>0.216</v>
      </c>
      <c r="AA54" s="19">
        <v>21.8</v>
      </c>
      <c r="AB54" s="18">
        <v>2563</v>
      </c>
      <c r="AC54" s="19">
        <v>18.3</v>
      </c>
      <c r="AD54" s="19">
        <v>36.5</v>
      </c>
      <c r="AE54" s="18">
        <v>9</v>
      </c>
      <c r="AF54" s="19">
        <v>19.8</v>
      </c>
      <c r="AG54" s="263">
        <v>1.45</v>
      </c>
      <c r="AH54" s="263">
        <v>7.2999999999999995E-2</v>
      </c>
      <c r="AI54" s="19">
        <v>0</v>
      </c>
      <c r="AJ54" s="18">
        <v>10</v>
      </c>
      <c r="AK54" s="19">
        <v>340.2</v>
      </c>
      <c r="AL54" s="263">
        <v>4.6189999999999998</v>
      </c>
      <c r="AM54" s="263">
        <v>1.4E-2</v>
      </c>
      <c r="AN54" s="19">
        <v>140</v>
      </c>
      <c r="AO54" s="309"/>
      <c r="AP54" s="309"/>
      <c r="AQ54" s="309"/>
      <c r="AR54" s="309"/>
      <c r="AS54" s="18"/>
      <c r="AT54" s="18">
        <f>Table1[[#This Row],[Object_A_._head_time]]+Table1[[#This Row],[Object_B_._head_time]]</f>
        <v>81.5</v>
      </c>
      <c r="AU54" s="18">
        <f>Table1[[#This Row],[Object_B_._head_time]]-Table1[[#This Row],[Object_A_._head_time]]</f>
        <v>36.900000000000006</v>
      </c>
      <c r="AV54" s="19">
        <f>Table1[[#This Row],[D1: Absolute discrimination measure (D1 = B2- A2)]]/Table1[[#This Row],[E2: total exploration time in second trial E2 ( E2 = A2 + B2)]]</f>
        <v>0.45276073619631907</v>
      </c>
      <c r="AW54" s="309">
        <f>Table1[[#This Row],[Object_B_._head_time]]/Table1[[#This Row],[E2: total exploration time in second trial E2 ( E2 = A2 + B2)]]</f>
        <v>0.72638036809815953</v>
      </c>
      <c r="AX54" s="294"/>
      <c r="AY54" s="14" t="s">
        <v>487</v>
      </c>
      <c r="AZ54" s="14" t="s">
        <v>476</v>
      </c>
      <c r="BA54" s="18" t="s">
        <v>475</v>
      </c>
      <c r="BB54" s="18">
        <v>94</v>
      </c>
      <c r="BC54" s="19">
        <v>3.1333333333333333</v>
      </c>
      <c r="BD54" s="18" t="s">
        <v>474</v>
      </c>
      <c r="BE54" s="295">
        <v>5</v>
      </c>
      <c r="BF54" s="18"/>
      <c r="BG54" s="279"/>
      <c r="BH54" s="279"/>
      <c r="BI54" s="279"/>
      <c r="BJ54" s="279"/>
      <c r="BK54" s="279"/>
      <c r="BL54" s="279"/>
      <c r="BM54" s="279"/>
      <c r="BN54" s="279"/>
      <c r="BO54" s="279"/>
      <c r="BP54" s="279"/>
      <c r="BQ54" s="279"/>
      <c r="BR54" s="279"/>
      <c r="BS54" s="279"/>
      <c r="BT54" s="279"/>
      <c r="BU54" s="279"/>
      <c r="BV54" s="279"/>
      <c r="BW54" s="279"/>
      <c r="BX54" s="279"/>
      <c r="BY54" s="279"/>
      <c r="BZ54" s="279"/>
      <c r="CA54" s="279"/>
      <c r="CB54" s="279"/>
      <c r="CC54" s="279"/>
      <c r="CD54" s="279"/>
      <c r="CE54" s="279"/>
      <c r="CF54" s="279"/>
      <c r="CG54" s="279"/>
      <c r="CH54" s="279"/>
      <c r="CI54" s="279"/>
      <c r="CJ54" s="279"/>
      <c r="CK54" s="279"/>
      <c r="CL54" s="279"/>
      <c r="CM54" s="279"/>
      <c r="CN54" s="279"/>
      <c r="CO54" s="279"/>
      <c r="CP54" s="279"/>
      <c r="CQ54" s="279"/>
      <c r="CR54" s="279"/>
      <c r="CS54" s="279"/>
      <c r="CT54" s="279"/>
      <c r="CU54" s="279"/>
      <c r="CV54" s="279"/>
      <c r="CW54" s="279"/>
      <c r="CX54" s="279"/>
      <c r="CY54" s="279"/>
      <c r="CZ54" s="279"/>
      <c r="DA54" s="279"/>
      <c r="DB54" s="279"/>
      <c r="DC54" s="279"/>
      <c r="DD54" s="279"/>
      <c r="DE54" s="279"/>
      <c r="DF54" s="279"/>
      <c r="DG54" s="279"/>
      <c r="DH54" s="279"/>
      <c r="DI54" s="279"/>
      <c r="DJ54" s="279"/>
      <c r="DK54" s="279"/>
      <c r="DL54" s="279"/>
      <c r="DM54" s="279"/>
      <c r="DN54" s="279"/>
      <c r="DO54" s="279"/>
      <c r="DP54" s="279"/>
      <c r="DQ54" s="279"/>
      <c r="DR54" s="279"/>
      <c r="DS54" s="279"/>
      <c r="DT54" s="279"/>
      <c r="DU54" s="279"/>
      <c r="DV54" s="279"/>
      <c r="DW54" s="279"/>
      <c r="DX54" s="279"/>
      <c r="DY54" s="279"/>
      <c r="DZ54" s="279"/>
      <c r="EA54" s="279"/>
      <c r="EB54" s="296"/>
    </row>
    <row r="55" spans="1:132" s="297" customFormat="1" ht="12" customHeight="1" x14ac:dyDescent="0.15">
      <c r="A55" s="262">
        <v>101</v>
      </c>
      <c r="B55" s="293" t="s">
        <v>62</v>
      </c>
      <c r="C55" s="262" t="s">
        <v>150</v>
      </c>
      <c r="D55" s="262" t="s">
        <v>53</v>
      </c>
      <c r="E55" s="262" t="s">
        <v>151</v>
      </c>
      <c r="F55" s="262" t="s">
        <v>157</v>
      </c>
      <c r="G55" s="262" t="s">
        <v>162</v>
      </c>
      <c r="H55" s="19">
        <v>360</v>
      </c>
      <c r="I55" s="263">
        <v>3.5430000000000001</v>
      </c>
      <c r="J55" s="263">
        <v>0.01</v>
      </c>
      <c r="K55" s="263">
        <v>0.252</v>
      </c>
      <c r="L55" s="19">
        <v>185.1</v>
      </c>
      <c r="M55" s="18">
        <v>0</v>
      </c>
      <c r="N55" s="19">
        <v>0</v>
      </c>
      <c r="O55" s="263">
        <v>0</v>
      </c>
      <c r="P55" s="263" t="s">
        <v>51</v>
      </c>
      <c r="Q55" s="263" t="s">
        <v>51</v>
      </c>
      <c r="R55" s="19">
        <v>0</v>
      </c>
      <c r="S55" s="18">
        <v>0</v>
      </c>
      <c r="T55" s="19">
        <v>0</v>
      </c>
      <c r="U55" s="19" t="s">
        <v>51</v>
      </c>
      <c r="V55" s="18">
        <v>5</v>
      </c>
      <c r="W55" s="19">
        <v>6.9</v>
      </c>
      <c r="X55" s="263">
        <v>0.25900000000000001</v>
      </c>
      <c r="Y55" s="263">
        <v>3.6999999999999998E-2</v>
      </c>
      <c r="Z55" s="263">
        <v>0.13800000000000001</v>
      </c>
      <c r="AA55" s="19">
        <v>1.9</v>
      </c>
      <c r="AB55" s="18">
        <v>663</v>
      </c>
      <c r="AC55" s="19">
        <v>0</v>
      </c>
      <c r="AD55" s="19">
        <v>3.1</v>
      </c>
      <c r="AE55" s="18">
        <v>1</v>
      </c>
      <c r="AF55" s="19">
        <v>1.2</v>
      </c>
      <c r="AG55" s="263">
        <v>0.122</v>
      </c>
      <c r="AH55" s="263">
        <v>0.10199999999999999</v>
      </c>
      <c r="AI55" s="19">
        <v>0</v>
      </c>
      <c r="AJ55" s="18">
        <v>2</v>
      </c>
      <c r="AK55" s="19">
        <v>358.8</v>
      </c>
      <c r="AL55" s="263">
        <v>3.42</v>
      </c>
      <c r="AM55" s="263">
        <v>0.01</v>
      </c>
      <c r="AN55" s="19">
        <v>185.5</v>
      </c>
      <c r="AO55" s="309"/>
      <c r="AP55" s="309"/>
      <c r="AQ55" s="309"/>
      <c r="AR55" s="309"/>
      <c r="AS55" s="18"/>
      <c r="AT55" s="18">
        <f>Table1[[#This Row],[Object_A_._head_time]]+Table1[[#This Row],[Object_B_._head_time]]</f>
        <v>6.9</v>
      </c>
      <c r="AU55" s="18">
        <f>Table1[[#This Row],[Object_B_._head_time]]-Table1[[#This Row],[Object_A_._head_time]]</f>
        <v>6.9</v>
      </c>
      <c r="AV55" s="19">
        <f>Table1[[#This Row],[D1: Absolute discrimination measure (D1 = B2- A2)]]/Table1[[#This Row],[E2: total exploration time in second trial E2 ( E2 = A2 + B2)]]</f>
        <v>1</v>
      </c>
      <c r="AW55" s="309">
        <f>Table1[[#This Row],[Object_B_._head_time]]/Table1[[#This Row],[E2: total exploration time in second trial E2 ( E2 = A2 + B2)]]</f>
        <v>1</v>
      </c>
      <c r="AX55" s="294"/>
      <c r="AY55" s="14" t="s">
        <v>487</v>
      </c>
      <c r="AZ55" s="14" t="s">
        <v>476</v>
      </c>
      <c r="BA55" s="18" t="s">
        <v>473</v>
      </c>
      <c r="BB55" s="18">
        <v>94</v>
      </c>
      <c r="BC55" s="19">
        <v>3.1333333333333333</v>
      </c>
      <c r="BD55" s="18" t="s">
        <v>477</v>
      </c>
      <c r="BE55" s="295">
        <v>8</v>
      </c>
      <c r="BF55" s="18" t="s">
        <v>459</v>
      </c>
      <c r="BG55" s="279"/>
      <c r="BH55" s="279"/>
      <c r="BI55" s="279"/>
      <c r="BJ55" s="279"/>
      <c r="BK55" s="279"/>
      <c r="BL55" s="279"/>
      <c r="BM55" s="279"/>
      <c r="BN55" s="279"/>
      <c r="BO55" s="279"/>
      <c r="BP55" s="279"/>
      <c r="BQ55" s="279"/>
      <c r="BR55" s="279"/>
      <c r="BS55" s="279"/>
      <c r="BT55" s="279"/>
      <c r="BU55" s="279"/>
      <c r="BV55" s="279"/>
      <c r="BW55" s="279"/>
      <c r="BX55" s="279"/>
      <c r="BY55" s="279"/>
      <c r="BZ55" s="279"/>
      <c r="CA55" s="279"/>
      <c r="CB55" s="279"/>
      <c r="CC55" s="279"/>
      <c r="CD55" s="279"/>
      <c r="CE55" s="279"/>
      <c r="CF55" s="279"/>
      <c r="CG55" s="279"/>
      <c r="CH55" s="279"/>
      <c r="CI55" s="279"/>
      <c r="CJ55" s="279"/>
      <c r="CK55" s="279"/>
      <c r="CL55" s="279"/>
      <c r="CM55" s="279"/>
      <c r="CN55" s="279"/>
      <c r="CO55" s="279"/>
      <c r="CP55" s="279"/>
      <c r="CQ55" s="279"/>
      <c r="CR55" s="279"/>
      <c r="CS55" s="279"/>
      <c r="CT55" s="279"/>
      <c r="CU55" s="279"/>
      <c r="CV55" s="279"/>
      <c r="CW55" s="279"/>
      <c r="CX55" s="279"/>
      <c r="CY55" s="279"/>
      <c r="CZ55" s="279"/>
      <c r="DA55" s="279"/>
      <c r="DB55" s="279"/>
      <c r="DC55" s="279"/>
      <c r="DD55" s="279"/>
      <c r="DE55" s="279"/>
      <c r="DF55" s="279"/>
      <c r="DG55" s="279"/>
      <c r="DH55" s="279"/>
      <c r="DI55" s="279"/>
      <c r="DJ55" s="279"/>
      <c r="DK55" s="279"/>
      <c r="DL55" s="279"/>
      <c r="DM55" s="279"/>
      <c r="DN55" s="279"/>
      <c r="DO55" s="279"/>
      <c r="DP55" s="279"/>
      <c r="DQ55" s="279"/>
      <c r="DR55" s="279"/>
      <c r="DS55" s="279"/>
      <c r="DT55" s="279"/>
      <c r="DU55" s="279"/>
      <c r="DV55" s="279"/>
      <c r="DW55" s="279"/>
      <c r="DX55" s="279"/>
      <c r="DY55" s="279"/>
      <c r="DZ55" s="279"/>
      <c r="EA55" s="279"/>
      <c r="EB55" s="296"/>
    </row>
    <row r="56" spans="1:132" s="297" customFormat="1" ht="12" customHeight="1" x14ac:dyDescent="0.15">
      <c r="A56" s="262">
        <v>102</v>
      </c>
      <c r="B56" s="293" t="s">
        <v>64</v>
      </c>
      <c r="C56" s="262" t="s">
        <v>150</v>
      </c>
      <c r="D56" s="262" t="s">
        <v>41</v>
      </c>
      <c r="E56" s="262" t="s">
        <v>151</v>
      </c>
      <c r="F56" s="262" t="s">
        <v>163</v>
      </c>
      <c r="G56" s="262" t="s">
        <v>164</v>
      </c>
      <c r="H56" s="19">
        <v>360</v>
      </c>
      <c r="I56" s="263">
        <v>6.5229999999999997</v>
      </c>
      <c r="J56" s="263">
        <v>1.7999999999999999E-2</v>
      </c>
      <c r="K56" s="263">
        <v>0.217</v>
      </c>
      <c r="L56" s="19">
        <v>187.3</v>
      </c>
      <c r="M56" s="18">
        <v>7</v>
      </c>
      <c r="N56" s="19">
        <v>10</v>
      </c>
      <c r="O56" s="263">
        <v>0.41799999999999998</v>
      </c>
      <c r="P56" s="263">
        <v>4.2000000000000003E-2</v>
      </c>
      <c r="Q56" s="263">
        <v>0.18</v>
      </c>
      <c r="R56" s="19">
        <v>4.8</v>
      </c>
      <c r="S56" s="18">
        <v>576</v>
      </c>
      <c r="T56" s="19">
        <v>0</v>
      </c>
      <c r="U56" s="19">
        <v>2.2999999999999998</v>
      </c>
      <c r="V56" s="18">
        <v>10</v>
      </c>
      <c r="W56" s="19">
        <v>13.3</v>
      </c>
      <c r="X56" s="263">
        <v>0.68600000000000005</v>
      </c>
      <c r="Y56" s="263">
        <v>5.0999999999999997E-2</v>
      </c>
      <c r="Z56" s="263">
        <v>0.14499999999999999</v>
      </c>
      <c r="AA56" s="19">
        <v>4.0999999999999996</v>
      </c>
      <c r="AB56" s="18">
        <v>1081</v>
      </c>
      <c r="AC56" s="19">
        <v>0</v>
      </c>
      <c r="AD56" s="19">
        <v>4.9000000000000004</v>
      </c>
      <c r="AE56" s="18">
        <v>3</v>
      </c>
      <c r="AF56" s="19">
        <v>6.1</v>
      </c>
      <c r="AG56" s="263">
        <v>0.59</v>
      </c>
      <c r="AH56" s="263">
        <v>9.6000000000000002E-2</v>
      </c>
      <c r="AI56" s="19">
        <v>0</v>
      </c>
      <c r="AJ56" s="18">
        <v>4</v>
      </c>
      <c r="AK56" s="19">
        <v>353.9</v>
      </c>
      <c r="AL56" s="263">
        <v>5.9329999999999998</v>
      </c>
      <c r="AM56" s="263">
        <v>1.7000000000000001E-2</v>
      </c>
      <c r="AN56" s="19">
        <v>187.3</v>
      </c>
      <c r="AO56" s="309"/>
      <c r="AP56" s="309"/>
      <c r="AQ56" s="309"/>
      <c r="AR56" s="309"/>
      <c r="AS56" s="18"/>
      <c r="AT56" s="18">
        <f>Table1[[#This Row],[Object_A_._head_time]]+Table1[[#This Row],[Object_B_._head_time]]</f>
        <v>23.3</v>
      </c>
      <c r="AU56" s="18">
        <f>Table1[[#This Row],[Object_B_._head_time]]-Table1[[#This Row],[Object_A_._head_time]]</f>
        <v>3.3000000000000007</v>
      </c>
      <c r="AV56" s="19">
        <f>Table1[[#This Row],[D1: Absolute discrimination measure (D1 = B2- A2)]]/Table1[[#This Row],[E2: total exploration time in second trial E2 ( E2 = A2 + B2)]]</f>
        <v>0.14163090128755368</v>
      </c>
      <c r="AW56" s="309">
        <f>Table1[[#This Row],[Object_B_._head_time]]/Table1[[#This Row],[E2: total exploration time in second trial E2 ( E2 = A2 + B2)]]</f>
        <v>0.57081545064377681</v>
      </c>
      <c r="AX56" s="294"/>
      <c r="AY56" s="14" t="s">
        <v>487</v>
      </c>
      <c r="AZ56" s="14" t="s">
        <v>476</v>
      </c>
      <c r="BA56" s="18" t="s">
        <v>473</v>
      </c>
      <c r="BB56" s="18">
        <v>94</v>
      </c>
      <c r="BC56" s="19">
        <v>3.1333333333333333</v>
      </c>
      <c r="BD56" s="18" t="s">
        <v>474</v>
      </c>
      <c r="BE56" s="295">
        <v>7</v>
      </c>
      <c r="BF56" s="18" t="s">
        <v>460</v>
      </c>
      <c r="BG56" s="279"/>
      <c r="BH56" s="279"/>
      <c r="BI56" s="279"/>
      <c r="BJ56" s="279"/>
      <c r="BK56" s="279"/>
      <c r="BL56" s="279"/>
      <c r="BM56" s="279"/>
      <c r="BN56" s="279"/>
      <c r="BO56" s="279"/>
      <c r="BP56" s="279"/>
      <c r="BQ56" s="279"/>
      <c r="BR56" s="279"/>
      <c r="BS56" s="279"/>
      <c r="BT56" s="279"/>
      <c r="BU56" s="279"/>
      <c r="BV56" s="279"/>
      <c r="BW56" s="279"/>
      <c r="BX56" s="279"/>
      <c r="BY56" s="279"/>
      <c r="BZ56" s="279"/>
      <c r="CA56" s="279"/>
      <c r="CB56" s="279"/>
      <c r="CC56" s="279"/>
      <c r="CD56" s="279"/>
      <c r="CE56" s="279"/>
      <c r="CF56" s="279"/>
      <c r="CG56" s="279"/>
      <c r="CH56" s="279"/>
      <c r="CI56" s="279"/>
      <c r="CJ56" s="279"/>
      <c r="CK56" s="279"/>
      <c r="CL56" s="279"/>
      <c r="CM56" s="279"/>
      <c r="CN56" s="279"/>
      <c r="CO56" s="279"/>
      <c r="CP56" s="279"/>
      <c r="CQ56" s="279"/>
      <c r="CR56" s="279"/>
      <c r="CS56" s="279"/>
      <c r="CT56" s="279"/>
      <c r="CU56" s="279"/>
      <c r="CV56" s="279"/>
      <c r="CW56" s="279"/>
      <c r="CX56" s="279"/>
      <c r="CY56" s="279"/>
      <c r="CZ56" s="279"/>
      <c r="DA56" s="279"/>
      <c r="DB56" s="279"/>
      <c r="DC56" s="279"/>
      <c r="DD56" s="279"/>
      <c r="DE56" s="279"/>
      <c r="DF56" s="279"/>
      <c r="DG56" s="279"/>
      <c r="DH56" s="279"/>
      <c r="DI56" s="279"/>
      <c r="DJ56" s="279"/>
      <c r="DK56" s="279"/>
      <c r="DL56" s="279"/>
      <c r="DM56" s="279"/>
      <c r="DN56" s="279"/>
      <c r="DO56" s="279"/>
      <c r="DP56" s="279"/>
      <c r="DQ56" s="279"/>
      <c r="DR56" s="279"/>
      <c r="DS56" s="279"/>
      <c r="DT56" s="279"/>
      <c r="DU56" s="279"/>
      <c r="DV56" s="279"/>
      <c r="DW56" s="279"/>
      <c r="DX56" s="279"/>
      <c r="DY56" s="279"/>
      <c r="DZ56" s="279"/>
      <c r="EA56" s="279"/>
      <c r="EB56" s="296"/>
    </row>
    <row r="57" spans="1:132" s="297" customFormat="1" ht="12" customHeight="1" x14ac:dyDescent="0.15">
      <c r="A57" s="262">
        <v>98</v>
      </c>
      <c r="B57" s="293" t="s">
        <v>67</v>
      </c>
      <c r="C57" s="262" t="s">
        <v>150</v>
      </c>
      <c r="D57" s="262" t="s">
        <v>46</v>
      </c>
      <c r="E57" s="262" t="s">
        <v>151</v>
      </c>
      <c r="F57" s="262" t="s">
        <v>163</v>
      </c>
      <c r="G57" s="262" t="s">
        <v>165</v>
      </c>
      <c r="H57" s="19">
        <v>360</v>
      </c>
      <c r="I57" s="263">
        <v>24.497</v>
      </c>
      <c r="J57" s="263">
        <v>6.8000000000000005E-2</v>
      </c>
      <c r="K57" s="263">
        <v>0.29699999999999999</v>
      </c>
      <c r="L57" s="19">
        <v>2.4</v>
      </c>
      <c r="M57" s="18">
        <v>42</v>
      </c>
      <c r="N57" s="19">
        <v>45.2</v>
      </c>
      <c r="O57" s="263">
        <v>3.54</v>
      </c>
      <c r="P57" s="263">
        <v>7.8E-2</v>
      </c>
      <c r="Q57" s="263">
        <v>0.25700000000000001</v>
      </c>
      <c r="R57" s="19">
        <v>16.8</v>
      </c>
      <c r="S57" s="18">
        <v>5364</v>
      </c>
      <c r="T57" s="19">
        <v>2.2000000000000002</v>
      </c>
      <c r="U57" s="19">
        <v>15.1</v>
      </c>
      <c r="V57" s="18">
        <v>28</v>
      </c>
      <c r="W57" s="19">
        <v>18.3</v>
      </c>
      <c r="X57" s="263">
        <v>1.903</v>
      </c>
      <c r="Y57" s="263">
        <v>0.104</v>
      </c>
      <c r="Z57" s="263">
        <v>0.23499999999999999</v>
      </c>
      <c r="AA57" s="19">
        <v>4.8</v>
      </c>
      <c r="AB57" s="18">
        <v>3534</v>
      </c>
      <c r="AC57" s="19">
        <v>0</v>
      </c>
      <c r="AD57" s="19">
        <v>1.8</v>
      </c>
      <c r="AE57" s="18">
        <v>28</v>
      </c>
      <c r="AF57" s="19">
        <v>22.3</v>
      </c>
      <c r="AG57" s="263">
        <v>3.484</v>
      </c>
      <c r="AH57" s="263">
        <v>0.156</v>
      </c>
      <c r="AI57" s="19">
        <v>0</v>
      </c>
      <c r="AJ57" s="18">
        <v>29</v>
      </c>
      <c r="AK57" s="19">
        <v>337.7</v>
      </c>
      <c r="AL57" s="263">
        <v>21.013000000000002</v>
      </c>
      <c r="AM57" s="263">
        <v>6.2E-2</v>
      </c>
      <c r="AN57" s="19">
        <v>2.4</v>
      </c>
      <c r="AO57" s="309"/>
      <c r="AP57" s="309"/>
      <c r="AQ57" s="309"/>
      <c r="AR57" s="309"/>
      <c r="AS57" s="18"/>
      <c r="AT57" s="18">
        <f>Table1[[#This Row],[Object_A_._head_time]]+Table1[[#This Row],[Object_B_._head_time]]</f>
        <v>63.5</v>
      </c>
      <c r="AU57" s="18">
        <f>Table1[[#This Row],[Object_B_._head_time]]-Table1[[#This Row],[Object_A_._head_time]]</f>
        <v>-26.900000000000002</v>
      </c>
      <c r="AV57" s="19">
        <f>Table1[[#This Row],[D1: Absolute discrimination measure (D1 = B2- A2)]]/Table1[[#This Row],[E2: total exploration time in second trial E2 ( E2 = A2 + B2)]]</f>
        <v>-0.42362204724409452</v>
      </c>
      <c r="AW57" s="309">
        <f>Table1[[#This Row],[Object_B_._head_time]]/Table1[[#This Row],[E2: total exploration time in second trial E2 ( E2 = A2 + B2)]]</f>
        <v>0.28818897637795277</v>
      </c>
      <c r="AX57" s="294"/>
      <c r="AY57" s="14" t="s">
        <v>487</v>
      </c>
      <c r="AZ57" s="14" t="s">
        <v>476</v>
      </c>
      <c r="BA57" s="18" t="s">
        <v>475</v>
      </c>
      <c r="BB57" s="18">
        <v>94</v>
      </c>
      <c r="BC57" s="19">
        <v>3.1333333333333333</v>
      </c>
      <c r="BD57" s="18" t="s">
        <v>477</v>
      </c>
      <c r="BE57" s="295">
        <v>6</v>
      </c>
      <c r="BF57" s="18" t="s">
        <v>461</v>
      </c>
      <c r="BG57" s="279"/>
      <c r="BH57" s="279"/>
      <c r="BI57" s="279"/>
      <c r="BJ57" s="279"/>
      <c r="BK57" s="279"/>
      <c r="BL57" s="279"/>
      <c r="BM57" s="279"/>
      <c r="BN57" s="279"/>
      <c r="BO57" s="279"/>
      <c r="BP57" s="279"/>
      <c r="BQ57" s="279"/>
      <c r="BR57" s="279"/>
      <c r="BS57" s="279"/>
      <c r="BT57" s="279"/>
      <c r="BU57" s="279"/>
      <c r="BV57" s="279"/>
      <c r="BW57" s="279"/>
      <c r="BX57" s="279"/>
      <c r="BY57" s="279"/>
      <c r="BZ57" s="279"/>
      <c r="CA57" s="279"/>
      <c r="CB57" s="279"/>
      <c r="CC57" s="279"/>
      <c r="CD57" s="279"/>
      <c r="CE57" s="279"/>
      <c r="CF57" s="279"/>
      <c r="CG57" s="279"/>
      <c r="CH57" s="279"/>
      <c r="CI57" s="279"/>
      <c r="CJ57" s="279"/>
      <c r="CK57" s="279"/>
      <c r="CL57" s="279"/>
      <c r="CM57" s="279"/>
      <c r="CN57" s="279"/>
      <c r="CO57" s="279"/>
      <c r="CP57" s="279"/>
      <c r="CQ57" s="279"/>
      <c r="CR57" s="279"/>
      <c r="CS57" s="279"/>
      <c r="CT57" s="279"/>
      <c r="CU57" s="279"/>
      <c r="CV57" s="279"/>
      <c r="CW57" s="279"/>
      <c r="CX57" s="279"/>
      <c r="CY57" s="279"/>
      <c r="CZ57" s="279"/>
      <c r="DA57" s="279"/>
      <c r="DB57" s="279"/>
      <c r="DC57" s="279"/>
      <c r="DD57" s="279"/>
      <c r="DE57" s="279"/>
      <c r="DF57" s="279"/>
      <c r="DG57" s="279"/>
      <c r="DH57" s="279"/>
      <c r="DI57" s="279"/>
      <c r="DJ57" s="279"/>
      <c r="DK57" s="279"/>
      <c r="DL57" s="279"/>
      <c r="DM57" s="279"/>
      <c r="DN57" s="279"/>
      <c r="DO57" s="279"/>
      <c r="DP57" s="279"/>
      <c r="DQ57" s="279"/>
      <c r="DR57" s="279"/>
      <c r="DS57" s="279"/>
      <c r="DT57" s="279"/>
      <c r="DU57" s="279"/>
      <c r="DV57" s="279"/>
      <c r="DW57" s="279"/>
      <c r="DX57" s="279"/>
      <c r="DY57" s="279"/>
      <c r="DZ57" s="279"/>
      <c r="EA57" s="279"/>
      <c r="EB57" s="296"/>
    </row>
    <row r="58" spans="1:132" s="297" customFormat="1" ht="12" customHeight="1" x14ac:dyDescent="0.15">
      <c r="A58" s="262">
        <v>103</v>
      </c>
      <c r="B58" s="293" t="s">
        <v>69</v>
      </c>
      <c r="C58" s="262" t="s">
        <v>150</v>
      </c>
      <c r="D58" s="262" t="s">
        <v>49</v>
      </c>
      <c r="E58" s="262" t="s">
        <v>151</v>
      </c>
      <c r="F58" s="262" t="s">
        <v>163</v>
      </c>
      <c r="G58" s="262" t="s">
        <v>166</v>
      </c>
      <c r="H58" s="19">
        <v>360</v>
      </c>
      <c r="I58" s="263">
        <v>9.2850000000000001</v>
      </c>
      <c r="J58" s="263">
        <v>2.5999999999999999E-2</v>
      </c>
      <c r="K58" s="263">
        <v>0.27400000000000002</v>
      </c>
      <c r="L58" s="19">
        <v>87.9</v>
      </c>
      <c r="M58" s="18">
        <v>6</v>
      </c>
      <c r="N58" s="19">
        <v>6.5</v>
      </c>
      <c r="O58" s="263">
        <v>0.16500000000000001</v>
      </c>
      <c r="P58" s="263">
        <v>2.5000000000000001E-2</v>
      </c>
      <c r="Q58" s="263">
        <v>0.17</v>
      </c>
      <c r="R58" s="19">
        <v>3.7</v>
      </c>
      <c r="S58" s="18">
        <v>411</v>
      </c>
      <c r="T58" s="19">
        <v>0</v>
      </c>
      <c r="U58" s="19">
        <v>6.5</v>
      </c>
      <c r="V58" s="18">
        <v>24</v>
      </c>
      <c r="W58" s="19">
        <v>35.5</v>
      </c>
      <c r="X58" s="263">
        <v>0.57999999999999996</v>
      </c>
      <c r="Y58" s="263">
        <v>1.6E-2</v>
      </c>
      <c r="Z58" s="263">
        <v>0.20200000000000001</v>
      </c>
      <c r="AA58" s="19">
        <v>28.2</v>
      </c>
      <c r="AB58" s="18">
        <v>1223</v>
      </c>
      <c r="AC58" s="19">
        <v>16.100000000000001</v>
      </c>
      <c r="AD58" s="19">
        <v>28.9</v>
      </c>
      <c r="AE58" s="18">
        <v>3</v>
      </c>
      <c r="AF58" s="19">
        <v>4.8</v>
      </c>
      <c r="AG58" s="263">
        <v>0.63900000000000001</v>
      </c>
      <c r="AH58" s="263">
        <v>0.13300000000000001</v>
      </c>
      <c r="AI58" s="19">
        <v>0</v>
      </c>
      <c r="AJ58" s="18">
        <v>4</v>
      </c>
      <c r="AK58" s="19">
        <v>355.2</v>
      </c>
      <c r="AL58" s="263">
        <v>8.6460000000000008</v>
      </c>
      <c r="AM58" s="263">
        <v>2.4E-2</v>
      </c>
      <c r="AN58" s="19">
        <v>87.9</v>
      </c>
      <c r="AO58" s="309"/>
      <c r="AP58" s="309"/>
      <c r="AQ58" s="309"/>
      <c r="AR58" s="309"/>
      <c r="AS58" s="18"/>
      <c r="AT58" s="18">
        <f>Table1[[#This Row],[Object_A_._head_time]]+Table1[[#This Row],[Object_B_._head_time]]</f>
        <v>42</v>
      </c>
      <c r="AU58" s="18">
        <f>Table1[[#This Row],[Object_B_._head_time]]-Table1[[#This Row],[Object_A_._head_time]]</f>
        <v>29</v>
      </c>
      <c r="AV58" s="19">
        <f>Table1[[#This Row],[D1: Absolute discrimination measure (D1 = B2- A2)]]/Table1[[#This Row],[E2: total exploration time in second trial E2 ( E2 = A2 + B2)]]</f>
        <v>0.69047619047619047</v>
      </c>
      <c r="AW58" s="309">
        <f>Table1[[#This Row],[Object_B_._head_time]]/Table1[[#This Row],[E2: total exploration time in second trial E2 ( E2 = A2 + B2)]]</f>
        <v>0.84523809523809523</v>
      </c>
      <c r="AX58" s="294"/>
      <c r="AY58" s="14" t="s">
        <v>487</v>
      </c>
      <c r="AZ58" s="14" t="s">
        <v>476</v>
      </c>
      <c r="BA58" s="18" t="s">
        <v>475</v>
      </c>
      <c r="BB58" s="18">
        <v>94</v>
      </c>
      <c r="BC58" s="19">
        <v>3.1333333333333333</v>
      </c>
      <c r="BD58" s="18" t="s">
        <v>474</v>
      </c>
      <c r="BE58" s="295">
        <v>5</v>
      </c>
      <c r="BF58" s="18" t="s">
        <v>462</v>
      </c>
      <c r="BG58" s="279"/>
      <c r="BH58" s="279"/>
      <c r="BI58" s="279"/>
      <c r="BJ58" s="279"/>
      <c r="BK58" s="279"/>
      <c r="BL58" s="279"/>
      <c r="BM58" s="279"/>
      <c r="BN58" s="279"/>
      <c r="BO58" s="279"/>
      <c r="BP58" s="279"/>
      <c r="BQ58" s="279"/>
      <c r="BR58" s="279"/>
      <c r="BS58" s="279"/>
      <c r="BT58" s="279"/>
      <c r="BU58" s="279"/>
      <c r="BV58" s="279"/>
      <c r="BW58" s="279"/>
      <c r="BX58" s="279"/>
      <c r="BY58" s="279"/>
      <c r="BZ58" s="279"/>
      <c r="CA58" s="279"/>
      <c r="CB58" s="279"/>
      <c r="CC58" s="279"/>
      <c r="CD58" s="279"/>
      <c r="CE58" s="279"/>
      <c r="CF58" s="279"/>
      <c r="CG58" s="279"/>
      <c r="CH58" s="279"/>
      <c r="CI58" s="279"/>
      <c r="CJ58" s="279"/>
      <c r="CK58" s="279"/>
      <c r="CL58" s="279"/>
      <c r="CM58" s="279"/>
      <c r="CN58" s="279"/>
      <c r="CO58" s="279"/>
      <c r="CP58" s="279"/>
      <c r="CQ58" s="279"/>
      <c r="CR58" s="279"/>
      <c r="CS58" s="279"/>
      <c r="CT58" s="279"/>
      <c r="CU58" s="279"/>
      <c r="CV58" s="279"/>
      <c r="CW58" s="279"/>
      <c r="CX58" s="279"/>
      <c r="CY58" s="279"/>
      <c r="CZ58" s="279"/>
      <c r="DA58" s="279"/>
      <c r="DB58" s="279"/>
      <c r="DC58" s="279"/>
      <c r="DD58" s="279"/>
      <c r="DE58" s="279"/>
      <c r="DF58" s="279"/>
      <c r="DG58" s="279"/>
      <c r="DH58" s="279"/>
      <c r="DI58" s="279"/>
      <c r="DJ58" s="279"/>
      <c r="DK58" s="279"/>
      <c r="DL58" s="279"/>
      <c r="DM58" s="279"/>
      <c r="DN58" s="279"/>
      <c r="DO58" s="279"/>
      <c r="DP58" s="279"/>
      <c r="DQ58" s="279"/>
      <c r="DR58" s="279"/>
      <c r="DS58" s="279"/>
      <c r="DT58" s="279"/>
      <c r="DU58" s="279"/>
      <c r="DV58" s="279"/>
      <c r="DW58" s="279"/>
      <c r="DX58" s="279"/>
      <c r="DY58" s="279"/>
      <c r="DZ58" s="279"/>
      <c r="EA58" s="279"/>
      <c r="EB58" s="296"/>
    </row>
    <row r="59" spans="1:132" s="297" customFormat="1" ht="12" customHeight="1" x14ac:dyDescent="0.15">
      <c r="A59" s="262">
        <v>104</v>
      </c>
      <c r="B59" s="293" t="s">
        <v>71</v>
      </c>
      <c r="C59" s="262" t="s">
        <v>150</v>
      </c>
      <c r="D59" s="262" t="s">
        <v>53</v>
      </c>
      <c r="E59" s="262" t="s">
        <v>151</v>
      </c>
      <c r="F59" s="262" t="s">
        <v>163</v>
      </c>
      <c r="G59" s="262" t="s">
        <v>167</v>
      </c>
      <c r="H59" s="19">
        <v>360</v>
      </c>
      <c r="I59" s="263">
        <v>3.9940000000000002</v>
      </c>
      <c r="J59" s="263">
        <v>1.0999999999999999E-2</v>
      </c>
      <c r="K59" s="263">
        <v>0.19400000000000001</v>
      </c>
      <c r="L59" s="19">
        <v>212</v>
      </c>
      <c r="M59" s="18">
        <v>48</v>
      </c>
      <c r="N59" s="19">
        <v>165.9</v>
      </c>
      <c r="O59" s="263">
        <v>0.32700000000000001</v>
      </c>
      <c r="P59" s="263">
        <v>2E-3</v>
      </c>
      <c r="Q59" s="263">
        <v>0.16900000000000001</v>
      </c>
      <c r="R59" s="19">
        <v>152.80000000000001</v>
      </c>
      <c r="S59" s="18">
        <v>6761</v>
      </c>
      <c r="T59" s="19">
        <v>141.5</v>
      </c>
      <c r="U59" s="19">
        <v>155.30000000000001</v>
      </c>
      <c r="V59" s="18">
        <v>18</v>
      </c>
      <c r="W59" s="19">
        <v>24.7</v>
      </c>
      <c r="X59" s="263">
        <v>0.41299999999999998</v>
      </c>
      <c r="Y59" s="263">
        <v>1.7000000000000001E-2</v>
      </c>
      <c r="Z59" s="263">
        <v>0.191</v>
      </c>
      <c r="AA59" s="19">
        <v>8.1999999999999993</v>
      </c>
      <c r="AB59" s="18">
        <v>879</v>
      </c>
      <c r="AC59" s="19">
        <v>1.2</v>
      </c>
      <c r="AD59" s="19">
        <v>8.5</v>
      </c>
      <c r="AE59" s="18">
        <v>2</v>
      </c>
      <c r="AF59" s="19">
        <v>7.1</v>
      </c>
      <c r="AG59" s="263">
        <v>0.56200000000000006</v>
      </c>
      <c r="AH59" s="263">
        <v>7.9000000000000001E-2</v>
      </c>
      <c r="AI59" s="19">
        <v>0</v>
      </c>
      <c r="AJ59" s="18">
        <v>3</v>
      </c>
      <c r="AK59" s="19">
        <v>352.9</v>
      </c>
      <c r="AL59" s="263">
        <v>3.4319999999999999</v>
      </c>
      <c r="AM59" s="263">
        <v>0.01</v>
      </c>
      <c r="AN59" s="19">
        <v>212</v>
      </c>
      <c r="AO59" s="309"/>
      <c r="AP59" s="309"/>
      <c r="AQ59" s="309"/>
      <c r="AR59" s="309"/>
      <c r="AS59" s="18"/>
      <c r="AT59" s="18">
        <f>Table1[[#This Row],[Object_A_._head_time]]+Table1[[#This Row],[Object_B_._head_time]]</f>
        <v>190.6</v>
      </c>
      <c r="AU59" s="18">
        <f>Table1[[#This Row],[Object_B_._head_time]]-Table1[[#This Row],[Object_A_._head_time]]</f>
        <v>-141.20000000000002</v>
      </c>
      <c r="AV59" s="19">
        <f>Table1[[#This Row],[D1: Absolute discrimination measure (D1 = B2- A2)]]/Table1[[#This Row],[E2: total exploration time in second trial E2 ( E2 = A2 + B2)]]</f>
        <v>-0.74081846799580287</v>
      </c>
      <c r="AW59" s="309">
        <f>Table1[[#This Row],[Object_B_._head_time]]/Table1[[#This Row],[E2: total exploration time in second trial E2 ( E2 = A2 + B2)]]</f>
        <v>0.12959076600209862</v>
      </c>
      <c r="AX59" s="294"/>
      <c r="AY59" s="14" t="s">
        <v>487</v>
      </c>
      <c r="AZ59" s="14" t="s">
        <v>476</v>
      </c>
      <c r="BA59" s="18" t="s">
        <v>475</v>
      </c>
      <c r="BB59" s="18">
        <v>94</v>
      </c>
      <c r="BC59" s="19">
        <v>3.1333333333333333</v>
      </c>
      <c r="BD59" s="18" t="s">
        <v>477</v>
      </c>
      <c r="BE59" s="295">
        <v>6</v>
      </c>
      <c r="BF59" s="18"/>
      <c r="BG59" s="279"/>
      <c r="BH59" s="279"/>
      <c r="BI59" s="279"/>
      <c r="BJ59" s="279"/>
      <c r="BK59" s="279"/>
      <c r="BL59" s="279"/>
      <c r="BM59" s="279"/>
      <c r="BN59" s="279"/>
      <c r="BO59" s="279"/>
      <c r="BP59" s="279"/>
      <c r="BQ59" s="279"/>
      <c r="BR59" s="279"/>
      <c r="BS59" s="279"/>
      <c r="BT59" s="279"/>
      <c r="BU59" s="279"/>
      <c r="BV59" s="279"/>
      <c r="BW59" s="279"/>
      <c r="BX59" s="279"/>
      <c r="BY59" s="279"/>
      <c r="BZ59" s="279"/>
      <c r="CA59" s="279"/>
      <c r="CB59" s="279"/>
      <c r="CC59" s="279"/>
      <c r="CD59" s="279"/>
      <c r="CE59" s="279"/>
      <c r="CF59" s="279"/>
      <c r="CG59" s="279"/>
      <c r="CH59" s="279"/>
      <c r="CI59" s="279"/>
      <c r="CJ59" s="279"/>
      <c r="CK59" s="279"/>
      <c r="CL59" s="279"/>
      <c r="CM59" s="279"/>
      <c r="CN59" s="279"/>
      <c r="CO59" s="279"/>
      <c r="CP59" s="279"/>
      <c r="CQ59" s="279"/>
      <c r="CR59" s="279"/>
      <c r="CS59" s="279"/>
      <c r="CT59" s="279"/>
      <c r="CU59" s="279"/>
      <c r="CV59" s="279"/>
      <c r="CW59" s="279"/>
      <c r="CX59" s="279"/>
      <c r="CY59" s="279"/>
      <c r="CZ59" s="279"/>
      <c r="DA59" s="279"/>
      <c r="DB59" s="279"/>
      <c r="DC59" s="279"/>
      <c r="DD59" s="279"/>
      <c r="DE59" s="279"/>
      <c r="DF59" s="279"/>
      <c r="DG59" s="279"/>
      <c r="DH59" s="279"/>
      <c r="DI59" s="279"/>
      <c r="DJ59" s="279"/>
      <c r="DK59" s="279"/>
      <c r="DL59" s="279"/>
      <c r="DM59" s="279"/>
      <c r="DN59" s="279"/>
      <c r="DO59" s="279"/>
      <c r="DP59" s="279"/>
      <c r="DQ59" s="279"/>
      <c r="DR59" s="279"/>
      <c r="DS59" s="279"/>
      <c r="DT59" s="279"/>
      <c r="DU59" s="279"/>
      <c r="DV59" s="279"/>
      <c r="DW59" s="279"/>
      <c r="DX59" s="279"/>
      <c r="DY59" s="279"/>
      <c r="DZ59" s="279"/>
      <c r="EA59" s="279"/>
      <c r="EB59" s="296"/>
    </row>
    <row r="60" spans="1:132" s="302" customFormat="1" ht="12" customHeight="1" x14ac:dyDescent="0.15">
      <c r="A60" s="267">
        <v>107</v>
      </c>
      <c r="B60" s="298" t="s">
        <v>73</v>
      </c>
      <c r="C60" s="267" t="s">
        <v>150</v>
      </c>
      <c r="D60" s="267" t="s">
        <v>41</v>
      </c>
      <c r="E60" s="267" t="s">
        <v>151</v>
      </c>
      <c r="F60" s="267" t="s">
        <v>168</v>
      </c>
      <c r="G60" s="267" t="s">
        <v>169</v>
      </c>
      <c r="H60" s="24">
        <v>360</v>
      </c>
      <c r="I60" s="299">
        <v>11.622</v>
      </c>
      <c r="J60" s="299">
        <v>3.2000000000000001E-2</v>
      </c>
      <c r="K60" s="299">
        <v>0.26</v>
      </c>
      <c r="L60" s="24">
        <v>25.7</v>
      </c>
      <c r="M60" s="23">
        <v>14</v>
      </c>
      <c r="N60" s="24">
        <v>21.3</v>
      </c>
      <c r="O60" s="299">
        <v>1.113</v>
      </c>
      <c r="P60" s="299">
        <v>5.1999999999999998E-2</v>
      </c>
      <c r="Q60" s="299">
        <v>0.23</v>
      </c>
      <c r="R60" s="24">
        <v>4.4000000000000004</v>
      </c>
      <c r="S60" s="23">
        <v>1244</v>
      </c>
      <c r="T60" s="24">
        <v>0</v>
      </c>
      <c r="U60" s="24">
        <v>4.5</v>
      </c>
      <c r="V60" s="23">
        <v>27</v>
      </c>
      <c r="W60" s="24">
        <v>34.5</v>
      </c>
      <c r="X60" s="299">
        <v>1.107</v>
      </c>
      <c r="Y60" s="299">
        <v>3.2000000000000001E-2</v>
      </c>
      <c r="Z60" s="299">
        <v>0.21</v>
      </c>
      <c r="AA60" s="24">
        <v>8.1999999999999993</v>
      </c>
      <c r="AB60" s="23">
        <v>2147</v>
      </c>
      <c r="AC60" s="24">
        <v>1.5</v>
      </c>
      <c r="AD60" s="24">
        <v>19.3</v>
      </c>
      <c r="AE60" s="23">
        <v>10</v>
      </c>
      <c r="AF60" s="24">
        <v>10.8</v>
      </c>
      <c r="AG60" s="299">
        <v>1.2729999999999999</v>
      </c>
      <c r="AH60" s="299">
        <v>0.11799999999999999</v>
      </c>
      <c r="AI60" s="24">
        <v>0</v>
      </c>
      <c r="AJ60" s="23">
        <v>10</v>
      </c>
      <c r="AK60" s="24">
        <v>349.2</v>
      </c>
      <c r="AL60" s="299">
        <v>10.348000000000001</v>
      </c>
      <c r="AM60" s="299">
        <v>0.03</v>
      </c>
      <c r="AN60" s="24">
        <v>25.7</v>
      </c>
      <c r="AO60" s="312"/>
      <c r="AP60" s="312"/>
      <c r="AQ60" s="312"/>
      <c r="AR60" s="312"/>
      <c r="AS60" s="18"/>
      <c r="AT60" s="23">
        <f>Table1[[#This Row],[Object_A_._head_time]]+Table1[[#This Row],[Object_B_._head_time]]</f>
        <v>55.8</v>
      </c>
      <c r="AU60" s="23">
        <f>Table1[[#This Row],[Object_B_._head_time]]-Table1[[#This Row],[Object_A_._head_time]]</f>
        <v>13.2</v>
      </c>
      <c r="AV60" s="24">
        <f>Table1[[#This Row],[D1: Absolute discrimination measure (D1 = B2- A2)]]/Table1[[#This Row],[E2: total exploration time in second trial E2 ( E2 = A2 + B2)]]</f>
        <v>0.23655913978494625</v>
      </c>
      <c r="AW60" s="309">
        <f>Table1[[#This Row],[Object_B_._head_time]]/Table1[[#This Row],[E2: total exploration time in second trial E2 ( E2 = A2 + B2)]]</f>
        <v>0.61827956989247312</v>
      </c>
      <c r="AX60" s="23"/>
      <c r="AY60" s="25" t="s">
        <v>486</v>
      </c>
      <c r="AZ60" s="25" t="s">
        <v>472</v>
      </c>
      <c r="BA60" s="25" t="s">
        <v>475</v>
      </c>
      <c r="BB60" s="25">
        <v>93</v>
      </c>
      <c r="BC60" s="26">
        <v>3.1</v>
      </c>
      <c r="BD60" s="23"/>
      <c r="BE60" s="300"/>
      <c r="BF60" s="23"/>
      <c r="BG60" s="290"/>
      <c r="BH60" s="290"/>
      <c r="BI60" s="290"/>
      <c r="BJ60" s="290"/>
      <c r="BK60" s="290"/>
      <c r="BL60" s="290"/>
      <c r="BM60" s="290"/>
      <c r="BN60" s="290"/>
      <c r="BO60" s="290"/>
      <c r="BP60" s="290"/>
      <c r="BQ60" s="290"/>
      <c r="BR60" s="290"/>
      <c r="BS60" s="290"/>
      <c r="BT60" s="290"/>
      <c r="BU60" s="290"/>
      <c r="BV60" s="290"/>
      <c r="BW60" s="290"/>
      <c r="BX60" s="290"/>
      <c r="BY60" s="290"/>
      <c r="BZ60" s="290"/>
      <c r="CA60" s="290"/>
      <c r="CB60" s="290"/>
      <c r="CC60" s="290"/>
      <c r="CD60" s="290"/>
      <c r="CE60" s="290"/>
      <c r="CF60" s="290"/>
      <c r="CG60" s="290"/>
      <c r="CH60" s="290"/>
      <c r="CI60" s="290"/>
      <c r="CJ60" s="290"/>
      <c r="CK60" s="290"/>
      <c r="CL60" s="290"/>
      <c r="CM60" s="290"/>
      <c r="CN60" s="290"/>
      <c r="CO60" s="290"/>
      <c r="CP60" s="290"/>
      <c r="CQ60" s="290"/>
      <c r="CR60" s="290"/>
      <c r="CS60" s="290"/>
      <c r="CT60" s="290"/>
      <c r="CU60" s="290"/>
      <c r="CV60" s="290"/>
      <c r="CW60" s="290"/>
      <c r="CX60" s="290"/>
      <c r="CY60" s="290"/>
      <c r="CZ60" s="290"/>
      <c r="DA60" s="290"/>
      <c r="DB60" s="290"/>
      <c r="DC60" s="290"/>
      <c r="DD60" s="290"/>
      <c r="DE60" s="290"/>
      <c r="DF60" s="290"/>
      <c r="DG60" s="290"/>
      <c r="DH60" s="290"/>
      <c r="DI60" s="290"/>
      <c r="DJ60" s="290"/>
      <c r="DK60" s="290"/>
      <c r="DL60" s="290"/>
      <c r="DM60" s="290"/>
      <c r="DN60" s="290"/>
      <c r="DO60" s="290"/>
      <c r="DP60" s="290"/>
      <c r="DQ60" s="290"/>
      <c r="DR60" s="290"/>
      <c r="DS60" s="290"/>
      <c r="DT60" s="290"/>
      <c r="DU60" s="290"/>
      <c r="DV60" s="290"/>
      <c r="DW60" s="290"/>
      <c r="DX60" s="290"/>
      <c r="DY60" s="290"/>
      <c r="DZ60" s="290"/>
      <c r="EA60" s="290"/>
      <c r="EB60" s="301"/>
    </row>
    <row r="61" spans="1:132" s="297" customFormat="1" ht="12" customHeight="1" x14ac:dyDescent="0.15">
      <c r="A61" s="262">
        <v>106</v>
      </c>
      <c r="B61" s="293" t="s">
        <v>76</v>
      </c>
      <c r="C61" s="262" t="s">
        <v>150</v>
      </c>
      <c r="D61" s="262" t="s">
        <v>46</v>
      </c>
      <c r="E61" s="262" t="s">
        <v>151</v>
      </c>
      <c r="F61" s="262" t="s">
        <v>168</v>
      </c>
      <c r="G61" s="262" t="s">
        <v>170</v>
      </c>
      <c r="H61" s="19">
        <v>360</v>
      </c>
      <c r="I61" s="263">
        <v>11.958</v>
      </c>
      <c r="J61" s="263">
        <v>3.3000000000000002E-2</v>
      </c>
      <c r="K61" s="263">
        <v>0.25800000000000001</v>
      </c>
      <c r="L61" s="19">
        <v>34.799999999999997</v>
      </c>
      <c r="M61" s="18">
        <v>15</v>
      </c>
      <c r="N61" s="19">
        <v>31.4</v>
      </c>
      <c r="O61" s="263">
        <v>1.3959999999999999</v>
      </c>
      <c r="P61" s="263">
        <v>4.3999999999999997E-2</v>
      </c>
      <c r="Q61" s="263">
        <v>0.253</v>
      </c>
      <c r="R61" s="19">
        <v>6.9</v>
      </c>
      <c r="S61" s="18">
        <v>1615</v>
      </c>
      <c r="T61" s="19">
        <v>1.9</v>
      </c>
      <c r="U61" s="19">
        <v>2.5</v>
      </c>
      <c r="V61" s="18">
        <v>25</v>
      </c>
      <c r="W61" s="19">
        <v>105.3</v>
      </c>
      <c r="X61" s="263">
        <v>1.1970000000000001</v>
      </c>
      <c r="Y61" s="263">
        <v>1.0999999999999999E-2</v>
      </c>
      <c r="Z61" s="263">
        <v>0.185</v>
      </c>
      <c r="AA61" s="19">
        <v>21.9</v>
      </c>
      <c r="AB61" s="18">
        <v>5932</v>
      </c>
      <c r="AC61" s="19">
        <v>21.6</v>
      </c>
      <c r="AD61" s="19">
        <v>26.4</v>
      </c>
      <c r="AE61" s="18">
        <v>11</v>
      </c>
      <c r="AF61" s="19">
        <v>17.5</v>
      </c>
      <c r="AG61" s="263">
        <v>1.4370000000000001</v>
      </c>
      <c r="AH61" s="263">
        <v>8.2000000000000003E-2</v>
      </c>
      <c r="AI61" s="19">
        <v>0</v>
      </c>
      <c r="AJ61" s="18">
        <v>12</v>
      </c>
      <c r="AK61" s="19">
        <v>342.5</v>
      </c>
      <c r="AL61" s="263">
        <v>10.521000000000001</v>
      </c>
      <c r="AM61" s="263">
        <v>3.1E-2</v>
      </c>
      <c r="AN61" s="19">
        <v>34.799999999999997</v>
      </c>
      <c r="AO61" s="309"/>
      <c r="AP61" s="309"/>
      <c r="AQ61" s="309"/>
      <c r="AR61" s="309"/>
      <c r="AS61" s="18"/>
      <c r="AT61" s="18">
        <f>Table1[[#This Row],[Object_A_._head_time]]+Table1[[#This Row],[Object_B_._head_time]]</f>
        <v>136.69999999999999</v>
      </c>
      <c r="AU61" s="18">
        <f>Table1[[#This Row],[Object_B_._head_time]]-Table1[[#This Row],[Object_A_._head_time]]</f>
        <v>73.900000000000006</v>
      </c>
      <c r="AV61" s="19">
        <f>Table1[[#This Row],[D1: Absolute discrimination measure (D1 = B2- A2)]]/Table1[[#This Row],[E2: total exploration time in second trial E2 ( E2 = A2 + B2)]]</f>
        <v>0.54059985369422103</v>
      </c>
      <c r="AW61" s="309">
        <f>Table1[[#This Row],[Object_B_._head_time]]/Table1[[#This Row],[E2: total exploration time in second trial E2 ( E2 = A2 + B2)]]</f>
        <v>0.77029992684711046</v>
      </c>
      <c r="AX61" s="294"/>
      <c r="AY61" s="262" t="s">
        <v>486</v>
      </c>
      <c r="AZ61" s="262" t="s">
        <v>472</v>
      </c>
      <c r="BA61" s="18" t="s">
        <v>473</v>
      </c>
      <c r="BB61" s="18">
        <v>86</v>
      </c>
      <c r="BC61" s="18">
        <v>2.8666666666666667</v>
      </c>
      <c r="BD61" s="18" t="s">
        <v>477</v>
      </c>
      <c r="BE61" s="295">
        <v>4</v>
      </c>
      <c r="BF61" s="18" t="s">
        <v>463</v>
      </c>
      <c r="BG61" s="279"/>
      <c r="BH61" s="279"/>
      <c r="BI61" s="279"/>
      <c r="BJ61" s="279"/>
      <c r="BK61" s="279"/>
      <c r="BL61" s="279"/>
      <c r="BM61" s="279"/>
      <c r="BN61" s="279"/>
      <c r="BO61" s="279"/>
      <c r="BP61" s="279"/>
      <c r="BQ61" s="279"/>
      <c r="BR61" s="279"/>
      <c r="BS61" s="279"/>
      <c r="BT61" s="279"/>
      <c r="BU61" s="279"/>
      <c r="BV61" s="279"/>
      <c r="BW61" s="279"/>
      <c r="BX61" s="279"/>
      <c r="BY61" s="279"/>
      <c r="BZ61" s="279"/>
      <c r="CA61" s="279"/>
      <c r="CB61" s="279"/>
      <c r="CC61" s="279"/>
      <c r="CD61" s="279"/>
      <c r="CE61" s="279"/>
      <c r="CF61" s="279"/>
      <c r="CG61" s="279"/>
      <c r="CH61" s="279"/>
      <c r="CI61" s="279"/>
      <c r="CJ61" s="279"/>
      <c r="CK61" s="279"/>
      <c r="CL61" s="279"/>
      <c r="CM61" s="279"/>
      <c r="CN61" s="279"/>
      <c r="CO61" s="279"/>
      <c r="CP61" s="279"/>
      <c r="CQ61" s="279"/>
      <c r="CR61" s="279"/>
      <c r="CS61" s="279"/>
      <c r="CT61" s="279"/>
      <c r="CU61" s="279"/>
      <c r="CV61" s="279"/>
      <c r="CW61" s="279"/>
      <c r="CX61" s="279"/>
      <c r="CY61" s="279"/>
      <c r="CZ61" s="279"/>
      <c r="DA61" s="279"/>
      <c r="DB61" s="279"/>
      <c r="DC61" s="279"/>
      <c r="DD61" s="279"/>
      <c r="DE61" s="279"/>
      <c r="DF61" s="279"/>
      <c r="DG61" s="279"/>
      <c r="DH61" s="279"/>
      <c r="DI61" s="279"/>
      <c r="DJ61" s="279"/>
      <c r="DK61" s="279"/>
      <c r="DL61" s="279"/>
      <c r="DM61" s="279"/>
      <c r="DN61" s="279"/>
      <c r="DO61" s="279"/>
      <c r="DP61" s="279"/>
      <c r="DQ61" s="279"/>
      <c r="DR61" s="279"/>
      <c r="DS61" s="279"/>
      <c r="DT61" s="279"/>
      <c r="DU61" s="279"/>
      <c r="DV61" s="279"/>
      <c r="DW61" s="279"/>
      <c r="DX61" s="279"/>
      <c r="DY61" s="279"/>
      <c r="DZ61" s="279"/>
      <c r="EA61" s="279"/>
      <c r="EB61" s="296"/>
    </row>
    <row r="62" spans="1:132" s="297" customFormat="1" ht="12" customHeight="1" x14ac:dyDescent="0.15">
      <c r="A62" s="262">
        <v>105</v>
      </c>
      <c r="B62" s="293" t="s">
        <v>78</v>
      </c>
      <c r="C62" s="262" t="s">
        <v>150</v>
      </c>
      <c r="D62" s="262" t="s">
        <v>49</v>
      </c>
      <c r="E62" s="262" t="s">
        <v>151</v>
      </c>
      <c r="F62" s="262" t="s">
        <v>168</v>
      </c>
      <c r="G62" s="262" t="s">
        <v>171</v>
      </c>
      <c r="H62" s="19">
        <v>360</v>
      </c>
      <c r="I62" s="263">
        <v>5.2240000000000002</v>
      </c>
      <c r="J62" s="263">
        <v>1.4999999999999999E-2</v>
      </c>
      <c r="K62" s="263">
        <v>0.26100000000000001</v>
      </c>
      <c r="L62" s="19">
        <v>232.5</v>
      </c>
      <c r="M62" s="18">
        <v>4</v>
      </c>
      <c r="N62" s="19">
        <v>2.5</v>
      </c>
      <c r="O62" s="263">
        <v>0.157</v>
      </c>
      <c r="P62" s="263">
        <v>6.2E-2</v>
      </c>
      <c r="Q62" s="263">
        <v>0.14699999999999999</v>
      </c>
      <c r="R62" s="19">
        <v>1.8</v>
      </c>
      <c r="S62" s="18">
        <v>190</v>
      </c>
      <c r="T62" s="19">
        <v>0</v>
      </c>
      <c r="U62" s="19">
        <v>2.1</v>
      </c>
      <c r="V62" s="18">
        <v>1</v>
      </c>
      <c r="W62" s="19">
        <v>1.3</v>
      </c>
      <c r="X62" s="263">
        <v>4.8000000000000001E-2</v>
      </c>
      <c r="Y62" s="263">
        <v>3.5999999999999997E-2</v>
      </c>
      <c r="Z62" s="263">
        <v>4.8000000000000001E-2</v>
      </c>
      <c r="AA62" s="19">
        <v>1.2</v>
      </c>
      <c r="AB62" s="18">
        <v>171</v>
      </c>
      <c r="AC62" s="19">
        <v>0</v>
      </c>
      <c r="AD62" s="19">
        <v>0.4</v>
      </c>
      <c r="AE62" s="18">
        <v>0</v>
      </c>
      <c r="AF62" s="19">
        <v>0</v>
      </c>
      <c r="AG62" s="263">
        <v>0</v>
      </c>
      <c r="AH62" s="263" t="s">
        <v>51</v>
      </c>
      <c r="AI62" s="19">
        <v>0</v>
      </c>
      <c r="AJ62" s="18">
        <v>1</v>
      </c>
      <c r="AK62" s="19">
        <v>360</v>
      </c>
      <c r="AL62" s="263">
        <v>5.2240000000000002</v>
      </c>
      <c r="AM62" s="263">
        <v>1.4999999999999999E-2</v>
      </c>
      <c r="AN62" s="19">
        <v>232.5</v>
      </c>
      <c r="AO62" s="309"/>
      <c r="AP62" s="309"/>
      <c r="AQ62" s="309"/>
      <c r="AR62" s="309"/>
      <c r="AS62" s="18"/>
      <c r="AT62" s="18">
        <f>Table1[[#This Row],[Object_A_._head_time]]+Table1[[#This Row],[Object_B_._head_time]]</f>
        <v>3.8</v>
      </c>
      <c r="AU62" s="18">
        <f>Table1[[#This Row],[Object_B_._head_time]]-Table1[[#This Row],[Object_A_._head_time]]</f>
        <v>-1.2</v>
      </c>
      <c r="AV62" s="19">
        <f>Table1[[#This Row],[D1: Absolute discrimination measure (D1 = B2- A2)]]/Table1[[#This Row],[E2: total exploration time in second trial E2 ( E2 = A2 + B2)]]</f>
        <v>-0.31578947368421051</v>
      </c>
      <c r="AW62" s="309">
        <f>Table1[[#This Row],[Object_B_._head_time]]/Table1[[#This Row],[E2: total exploration time in second trial E2 ( E2 = A2 + B2)]]</f>
        <v>0.34210526315789475</v>
      </c>
      <c r="AX62" s="294"/>
      <c r="AY62" s="262" t="s">
        <v>487</v>
      </c>
      <c r="AZ62" s="262" t="s">
        <v>472</v>
      </c>
      <c r="BA62" s="18" t="s">
        <v>475</v>
      </c>
      <c r="BB62" s="18">
        <v>86</v>
      </c>
      <c r="BC62" s="18">
        <v>2.8666666666666667</v>
      </c>
      <c r="BD62" s="18" t="s">
        <v>474</v>
      </c>
      <c r="BE62" s="295">
        <v>1</v>
      </c>
      <c r="BF62" s="18"/>
      <c r="BG62" s="279"/>
      <c r="BH62" s="279"/>
      <c r="BI62" s="279"/>
      <c r="BJ62" s="279"/>
      <c r="BK62" s="279"/>
      <c r="BL62" s="279"/>
      <c r="BM62" s="279"/>
      <c r="BN62" s="279"/>
      <c r="BO62" s="279"/>
      <c r="BP62" s="279"/>
      <c r="BQ62" s="279"/>
      <c r="BR62" s="279"/>
      <c r="BS62" s="279"/>
      <c r="BT62" s="279"/>
      <c r="BU62" s="279"/>
      <c r="BV62" s="279"/>
      <c r="BW62" s="279"/>
      <c r="BX62" s="279"/>
      <c r="BY62" s="279"/>
      <c r="BZ62" s="279"/>
      <c r="CA62" s="279"/>
      <c r="CB62" s="279"/>
      <c r="CC62" s="279"/>
      <c r="CD62" s="279"/>
      <c r="CE62" s="279"/>
      <c r="CF62" s="279"/>
      <c r="CG62" s="279"/>
      <c r="CH62" s="279"/>
      <c r="CI62" s="279"/>
      <c r="CJ62" s="279"/>
      <c r="CK62" s="279"/>
      <c r="CL62" s="279"/>
      <c r="CM62" s="279"/>
      <c r="CN62" s="279"/>
      <c r="CO62" s="279"/>
      <c r="CP62" s="279"/>
      <c r="CQ62" s="279"/>
      <c r="CR62" s="279"/>
      <c r="CS62" s="279"/>
      <c r="CT62" s="279"/>
      <c r="CU62" s="279"/>
      <c r="CV62" s="279"/>
      <c r="CW62" s="279"/>
      <c r="CX62" s="279"/>
      <c r="CY62" s="279"/>
      <c r="CZ62" s="279"/>
      <c r="DA62" s="279"/>
      <c r="DB62" s="279"/>
      <c r="DC62" s="279"/>
      <c r="DD62" s="279"/>
      <c r="DE62" s="279"/>
      <c r="DF62" s="279"/>
      <c r="DG62" s="279"/>
      <c r="DH62" s="279"/>
      <c r="DI62" s="279"/>
      <c r="DJ62" s="279"/>
      <c r="DK62" s="279"/>
      <c r="DL62" s="279"/>
      <c r="DM62" s="279"/>
      <c r="DN62" s="279"/>
      <c r="DO62" s="279"/>
      <c r="DP62" s="279"/>
      <c r="DQ62" s="279"/>
      <c r="DR62" s="279"/>
      <c r="DS62" s="279"/>
      <c r="DT62" s="279"/>
      <c r="DU62" s="279"/>
      <c r="DV62" s="279"/>
      <c r="DW62" s="279"/>
      <c r="DX62" s="279"/>
      <c r="DY62" s="279"/>
      <c r="DZ62" s="279"/>
      <c r="EA62" s="279"/>
      <c r="EB62" s="296"/>
    </row>
    <row r="63" spans="1:132" s="297" customFormat="1" ht="12" customHeight="1" x14ac:dyDescent="0.15">
      <c r="A63" s="262">
        <v>108</v>
      </c>
      <c r="B63" s="293" t="s">
        <v>80</v>
      </c>
      <c r="C63" s="262" t="s">
        <v>150</v>
      </c>
      <c r="D63" s="262" t="s">
        <v>53</v>
      </c>
      <c r="E63" s="262" t="s">
        <v>151</v>
      </c>
      <c r="F63" s="262" t="s">
        <v>168</v>
      </c>
      <c r="G63" s="262" t="s">
        <v>172</v>
      </c>
      <c r="H63" s="19">
        <v>360</v>
      </c>
      <c r="I63" s="263">
        <v>22.835999999999999</v>
      </c>
      <c r="J63" s="263">
        <v>6.3E-2</v>
      </c>
      <c r="K63" s="263">
        <v>0.308</v>
      </c>
      <c r="L63" s="19">
        <v>19.2</v>
      </c>
      <c r="M63" s="18">
        <v>33</v>
      </c>
      <c r="N63" s="19">
        <v>34.200000000000003</v>
      </c>
      <c r="O63" s="263">
        <v>2.161</v>
      </c>
      <c r="P63" s="263">
        <v>6.3E-2</v>
      </c>
      <c r="Q63" s="263">
        <v>0.29199999999999998</v>
      </c>
      <c r="R63" s="19">
        <v>13.5</v>
      </c>
      <c r="S63" s="18">
        <v>2365</v>
      </c>
      <c r="T63" s="19">
        <v>1.5</v>
      </c>
      <c r="U63" s="19">
        <v>10.9</v>
      </c>
      <c r="V63" s="18">
        <v>37</v>
      </c>
      <c r="W63" s="19">
        <v>40.700000000000003</v>
      </c>
      <c r="X63" s="263">
        <v>2.3940000000000001</v>
      </c>
      <c r="Y63" s="263">
        <v>5.8999999999999997E-2</v>
      </c>
      <c r="Z63" s="263">
        <v>0.25700000000000001</v>
      </c>
      <c r="AA63" s="19">
        <v>12.7</v>
      </c>
      <c r="AB63" s="18">
        <v>3463</v>
      </c>
      <c r="AC63" s="19">
        <v>0</v>
      </c>
      <c r="AD63" s="19">
        <v>24</v>
      </c>
      <c r="AE63" s="18">
        <v>19</v>
      </c>
      <c r="AF63" s="19">
        <v>15.9</v>
      </c>
      <c r="AG63" s="263">
        <v>2.6659999999999999</v>
      </c>
      <c r="AH63" s="263">
        <v>0.16700000000000001</v>
      </c>
      <c r="AI63" s="19">
        <v>0</v>
      </c>
      <c r="AJ63" s="18">
        <v>20</v>
      </c>
      <c r="AK63" s="19">
        <v>344.1</v>
      </c>
      <c r="AL63" s="263">
        <v>20.170000000000002</v>
      </c>
      <c r="AM63" s="263">
        <v>5.8999999999999997E-2</v>
      </c>
      <c r="AN63" s="19">
        <v>19.2</v>
      </c>
      <c r="AO63" s="309"/>
      <c r="AP63" s="309"/>
      <c r="AQ63" s="309"/>
      <c r="AR63" s="309"/>
      <c r="AS63" s="18"/>
      <c r="AT63" s="18">
        <f>Table1[[#This Row],[Object_A_._head_time]]+Table1[[#This Row],[Object_B_._head_time]]</f>
        <v>74.900000000000006</v>
      </c>
      <c r="AU63" s="18">
        <f>Table1[[#This Row],[Object_B_._head_time]]-Table1[[#This Row],[Object_A_._head_time]]</f>
        <v>6.5</v>
      </c>
      <c r="AV63" s="19">
        <f>Table1[[#This Row],[D1: Absolute discrimination measure (D1 = B2- A2)]]/Table1[[#This Row],[E2: total exploration time in second trial E2 ( E2 = A2 + B2)]]</f>
        <v>8.678237650200267E-2</v>
      </c>
      <c r="AW63" s="309">
        <f>Table1[[#This Row],[Object_B_._head_time]]/Table1[[#This Row],[E2: total exploration time in second trial E2 ( E2 = A2 + B2)]]</f>
        <v>0.5433911882510013</v>
      </c>
      <c r="AX63" s="294"/>
      <c r="AY63" s="262" t="s">
        <v>487</v>
      </c>
      <c r="AZ63" s="262" t="s">
        <v>476</v>
      </c>
      <c r="BA63" s="18" t="s">
        <v>473</v>
      </c>
      <c r="BB63" s="18">
        <v>86</v>
      </c>
      <c r="BC63" s="18">
        <v>2.8666666666666667</v>
      </c>
      <c r="BD63" s="18" t="s">
        <v>474</v>
      </c>
      <c r="BE63" s="295">
        <v>7</v>
      </c>
      <c r="BF63" s="18"/>
      <c r="BG63" s="279"/>
      <c r="BH63" s="279"/>
      <c r="BI63" s="279"/>
      <c r="BJ63" s="279"/>
      <c r="BK63" s="279"/>
      <c r="BL63" s="279"/>
      <c r="BM63" s="279"/>
      <c r="BN63" s="279"/>
      <c r="BO63" s="279"/>
      <c r="BP63" s="279"/>
      <c r="BQ63" s="279"/>
      <c r="BR63" s="279"/>
      <c r="BS63" s="279"/>
      <c r="BT63" s="279"/>
      <c r="BU63" s="279"/>
      <c r="BV63" s="279"/>
      <c r="BW63" s="279"/>
      <c r="BX63" s="279"/>
      <c r="BY63" s="279"/>
      <c r="BZ63" s="279"/>
      <c r="CA63" s="279"/>
      <c r="CB63" s="279"/>
      <c r="CC63" s="279"/>
      <c r="CD63" s="279"/>
      <c r="CE63" s="279"/>
      <c r="CF63" s="279"/>
      <c r="CG63" s="279"/>
      <c r="CH63" s="279"/>
      <c r="CI63" s="279"/>
      <c r="CJ63" s="279"/>
      <c r="CK63" s="279"/>
      <c r="CL63" s="279"/>
      <c r="CM63" s="279"/>
      <c r="CN63" s="279"/>
      <c r="CO63" s="279"/>
      <c r="CP63" s="279"/>
      <c r="CQ63" s="279"/>
      <c r="CR63" s="279"/>
      <c r="CS63" s="279"/>
      <c r="CT63" s="279"/>
      <c r="CU63" s="279"/>
      <c r="CV63" s="279"/>
      <c r="CW63" s="279"/>
      <c r="CX63" s="279"/>
      <c r="CY63" s="279"/>
      <c r="CZ63" s="279"/>
      <c r="DA63" s="279"/>
      <c r="DB63" s="279"/>
      <c r="DC63" s="279"/>
      <c r="DD63" s="279"/>
      <c r="DE63" s="279"/>
      <c r="DF63" s="279"/>
      <c r="DG63" s="279"/>
      <c r="DH63" s="279"/>
      <c r="DI63" s="279"/>
      <c r="DJ63" s="279"/>
      <c r="DK63" s="279"/>
      <c r="DL63" s="279"/>
      <c r="DM63" s="279"/>
      <c r="DN63" s="279"/>
      <c r="DO63" s="279"/>
      <c r="DP63" s="279"/>
      <c r="DQ63" s="279"/>
      <c r="DR63" s="279"/>
      <c r="DS63" s="279"/>
      <c r="DT63" s="279"/>
      <c r="DU63" s="279"/>
      <c r="DV63" s="279"/>
      <c r="DW63" s="279"/>
      <c r="DX63" s="279"/>
      <c r="DY63" s="279"/>
      <c r="DZ63" s="279"/>
      <c r="EA63" s="279"/>
      <c r="EB63" s="296"/>
    </row>
    <row r="64" spans="1:132" s="297" customFormat="1" ht="12" customHeight="1" x14ac:dyDescent="0.15">
      <c r="A64" s="262">
        <v>109</v>
      </c>
      <c r="B64" s="293" t="s">
        <v>82</v>
      </c>
      <c r="C64" s="262" t="s">
        <v>150</v>
      </c>
      <c r="D64" s="262" t="s">
        <v>41</v>
      </c>
      <c r="E64" s="262" t="s">
        <v>151</v>
      </c>
      <c r="F64" s="262" t="s">
        <v>173</v>
      </c>
      <c r="G64" s="262" t="s">
        <v>174</v>
      </c>
      <c r="H64" s="19">
        <v>360</v>
      </c>
      <c r="I64" s="263">
        <v>2.3069999999999999</v>
      </c>
      <c r="J64" s="263">
        <v>6.0000000000000001E-3</v>
      </c>
      <c r="K64" s="263">
        <v>0.224</v>
      </c>
      <c r="L64" s="19">
        <v>113.4</v>
      </c>
      <c r="M64" s="18">
        <v>1</v>
      </c>
      <c r="N64" s="19">
        <v>0.6</v>
      </c>
      <c r="O64" s="263">
        <v>2.8000000000000001E-2</v>
      </c>
      <c r="P64" s="263">
        <v>4.5999999999999999E-2</v>
      </c>
      <c r="Q64" s="263">
        <v>5.1999999999999998E-2</v>
      </c>
      <c r="R64" s="19">
        <v>0.5</v>
      </c>
      <c r="S64" s="18">
        <v>34</v>
      </c>
      <c r="T64" s="19">
        <v>0</v>
      </c>
      <c r="U64" s="19">
        <v>0.6</v>
      </c>
      <c r="V64" s="18">
        <v>2</v>
      </c>
      <c r="W64" s="19">
        <v>4.3</v>
      </c>
      <c r="X64" s="263">
        <v>2.5999999999999999E-2</v>
      </c>
      <c r="Y64" s="263">
        <v>6.0000000000000001E-3</v>
      </c>
      <c r="Z64" s="263">
        <v>7.5999999999999998E-2</v>
      </c>
      <c r="AA64" s="19">
        <v>2.1</v>
      </c>
      <c r="AB64" s="18">
        <v>230</v>
      </c>
      <c r="AC64" s="19">
        <v>0</v>
      </c>
      <c r="AD64" s="19">
        <v>4.3</v>
      </c>
      <c r="AE64" s="18">
        <v>0</v>
      </c>
      <c r="AF64" s="19">
        <v>0</v>
      </c>
      <c r="AG64" s="263">
        <v>0</v>
      </c>
      <c r="AH64" s="263" t="s">
        <v>51</v>
      </c>
      <c r="AI64" s="19">
        <v>0</v>
      </c>
      <c r="AJ64" s="18">
        <v>1</v>
      </c>
      <c r="AK64" s="19">
        <v>360</v>
      </c>
      <c r="AL64" s="263">
        <v>2.3069999999999999</v>
      </c>
      <c r="AM64" s="263">
        <v>6.0000000000000001E-3</v>
      </c>
      <c r="AN64" s="19">
        <v>113.4</v>
      </c>
      <c r="AO64" s="309"/>
      <c r="AP64" s="309"/>
      <c r="AQ64" s="309"/>
      <c r="AR64" s="309"/>
      <c r="AS64" s="18"/>
      <c r="AT64" s="18">
        <f>Table1[[#This Row],[Object_A_._head_time]]+Table1[[#This Row],[Object_B_._head_time]]</f>
        <v>4.8999999999999995</v>
      </c>
      <c r="AU64" s="18">
        <f>Table1[[#This Row],[Object_B_._head_time]]-Table1[[#This Row],[Object_A_._head_time]]</f>
        <v>3.6999999999999997</v>
      </c>
      <c r="AV64" s="19">
        <f>Table1[[#This Row],[D1: Absolute discrimination measure (D1 = B2- A2)]]/Table1[[#This Row],[E2: total exploration time in second trial E2 ( E2 = A2 + B2)]]</f>
        <v>0.75510204081632659</v>
      </c>
      <c r="AW64" s="309">
        <f>Table1[[#This Row],[Object_B_._head_time]]/Table1[[#This Row],[E2: total exploration time in second trial E2 ( E2 = A2 + B2)]]</f>
        <v>0.87755102040816335</v>
      </c>
      <c r="AX64" s="294"/>
      <c r="AY64" s="262" t="s">
        <v>487</v>
      </c>
      <c r="AZ64" s="262" t="s">
        <v>472</v>
      </c>
      <c r="BA64" s="18" t="s">
        <v>473</v>
      </c>
      <c r="BB64" s="18">
        <v>86</v>
      </c>
      <c r="BC64" s="18">
        <v>2.8666666666666667</v>
      </c>
      <c r="BD64" s="18" t="s">
        <v>474</v>
      </c>
      <c r="BE64" s="295">
        <v>3</v>
      </c>
      <c r="BF64" s="18"/>
      <c r="BG64" s="279"/>
      <c r="BH64" s="279"/>
      <c r="BI64" s="279"/>
      <c r="BJ64" s="279"/>
      <c r="BK64" s="279"/>
      <c r="BL64" s="279"/>
      <c r="BM64" s="279"/>
      <c r="BN64" s="279"/>
      <c r="BO64" s="279"/>
      <c r="BP64" s="279"/>
      <c r="BQ64" s="279"/>
      <c r="BR64" s="279"/>
      <c r="BS64" s="279"/>
      <c r="BT64" s="279"/>
      <c r="BU64" s="279"/>
      <c r="BV64" s="279"/>
      <c r="BW64" s="279"/>
      <c r="BX64" s="279"/>
      <c r="BY64" s="279"/>
      <c r="BZ64" s="279"/>
      <c r="CA64" s="279"/>
      <c r="CB64" s="279"/>
      <c r="CC64" s="279"/>
      <c r="CD64" s="279"/>
      <c r="CE64" s="279"/>
      <c r="CF64" s="279"/>
      <c r="CG64" s="279"/>
      <c r="CH64" s="279"/>
      <c r="CI64" s="279"/>
      <c r="CJ64" s="279"/>
      <c r="CK64" s="279"/>
      <c r="CL64" s="279"/>
      <c r="CM64" s="279"/>
      <c r="CN64" s="279"/>
      <c r="CO64" s="279"/>
      <c r="CP64" s="279"/>
      <c r="CQ64" s="279"/>
      <c r="CR64" s="279"/>
      <c r="CS64" s="279"/>
      <c r="CT64" s="279"/>
      <c r="CU64" s="279"/>
      <c r="CV64" s="279"/>
      <c r="CW64" s="279"/>
      <c r="CX64" s="279"/>
      <c r="CY64" s="279"/>
      <c r="CZ64" s="279"/>
      <c r="DA64" s="279"/>
      <c r="DB64" s="279"/>
      <c r="DC64" s="279"/>
      <c r="DD64" s="279"/>
      <c r="DE64" s="279"/>
      <c r="DF64" s="279"/>
      <c r="DG64" s="279"/>
      <c r="DH64" s="279"/>
      <c r="DI64" s="279"/>
      <c r="DJ64" s="279"/>
      <c r="DK64" s="279"/>
      <c r="DL64" s="279"/>
      <c r="DM64" s="279"/>
      <c r="DN64" s="279"/>
      <c r="DO64" s="279"/>
      <c r="DP64" s="279"/>
      <c r="DQ64" s="279"/>
      <c r="DR64" s="279"/>
      <c r="DS64" s="279"/>
      <c r="DT64" s="279"/>
      <c r="DU64" s="279"/>
      <c r="DV64" s="279"/>
      <c r="DW64" s="279"/>
      <c r="DX64" s="279"/>
      <c r="DY64" s="279"/>
      <c r="DZ64" s="279"/>
      <c r="EA64" s="279"/>
      <c r="EB64" s="296"/>
    </row>
    <row r="65" spans="1:132" s="297" customFormat="1" ht="12" customHeight="1" x14ac:dyDescent="0.15">
      <c r="A65" s="262">
        <v>110</v>
      </c>
      <c r="B65" s="293" t="s">
        <v>85</v>
      </c>
      <c r="C65" s="262" t="s">
        <v>150</v>
      </c>
      <c r="D65" s="262" t="s">
        <v>46</v>
      </c>
      <c r="E65" s="262" t="s">
        <v>151</v>
      </c>
      <c r="F65" s="262" t="s">
        <v>173</v>
      </c>
      <c r="G65" s="262" t="s">
        <v>175</v>
      </c>
      <c r="H65" s="19">
        <v>360</v>
      </c>
      <c r="I65" s="263">
        <v>14.929</v>
      </c>
      <c r="J65" s="263">
        <v>4.1000000000000002E-2</v>
      </c>
      <c r="K65" s="263">
        <v>0.30199999999999999</v>
      </c>
      <c r="L65" s="19">
        <v>21.9</v>
      </c>
      <c r="M65" s="18">
        <v>49</v>
      </c>
      <c r="N65" s="19">
        <v>65.099999999999994</v>
      </c>
      <c r="O65" s="263">
        <v>2.863</v>
      </c>
      <c r="P65" s="263">
        <v>4.3999999999999997E-2</v>
      </c>
      <c r="Q65" s="263">
        <v>0.28899999999999998</v>
      </c>
      <c r="R65" s="19">
        <v>11.1</v>
      </c>
      <c r="S65" s="18">
        <v>5938</v>
      </c>
      <c r="T65" s="19">
        <v>2.5</v>
      </c>
      <c r="U65" s="19">
        <v>16</v>
      </c>
      <c r="V65" s="18">
        <v>19</v>
      </c>
      <c r="W65" s="19">
        <v>28.6</v>
      </c>
      <c r="X65" s="263">
        <v>1.8180000000000001</v>
      </c>
      <c r="Y65" s="263">
        <v>6.4000000000000001E-2</v>
      </c>
      <c r="Z65" s="263">
        <v>0.26100000000000001</v>
      </c>
      <c r="AA65" s="19">
        <v>5.5</v>
      </c>
      <c r="AB65" s="18">
        <v>2163</v>
      </c>
      <c r="AC65" s="19">
        <v>0</v>
      </c>
      <c r="AD65" s="19">
        <v>4.9000000000000004</v>
      </c>
      <c r="AE65" s="18">
        <v>19</v>
      </c>
      <c r="AF65" s="19">
        <v>21.3</v>
      </c>
      <c r="AG65" s="263">
        <v>2.5129999999999999</v>
      </c>
      <c r="AH65" s="263">
        <v>0.11799999999999999</v>
      </c>
      <c r="AI65" s="19">
        <v>0</v>
      </c>
      <c r="AJ65" s="18">
        <v>20</v>
      </c>
      <c r="AK65" s="19">
        <v>338.7</v>
      </c>
      <c r="AL65" s="263">
        <v>12.416</v>
      </c>
      <c r="AM65" s="263">
        <v>3.6999999999999998E-2</v>
      </c>
      <c r="AN65" s="19">
        <v>21.9</v>
      </c>
      <c r="AO65" s="309"/>
      <c r="AP65" s="309"/>
      <c r="AQ65" s="309"/>
      <c r="AR65" s="309"/>
      <c r="AS65" s="18"/>
      <c r="AT65" s="18">
        <f>Table1[[#This Row],[Object_A_._head_time]]+Table1[[#This Row],[Object_B_._head_time]]</f>
        <v>93.699999999999989</v>
      </c>
      <c r="AU65" s="18">
        <f>Table1[[#This Row],[Object_B_._head_time]]-Table1[[#This Row],[Object_A_._head_time]]</f>
        <v>-36.499999999999993</v>
      </c>
      <c r="AV65" s="19">
        <f>Table1[[#This Row],[D1: Absolute discrimination measure (D1 = B2- A2)]]/Table1[[#This Row],[E2: total exploration time in second trial E2 ( E2 = A2 + B2)]]</f>
        <v>-0.38954108858057629</v>
      </c>
      <c r="AW65" s="309">
        <f>Table1[[#This Row],[Object_B_._head_time]]/Table1[[#This Row],[E2: total exploration time in second trial E2 ( E2 = A2 + B2)]]</f>
        <v>0.30522945570971188</v>
      </c>
      <c r="AX65" s="294"/>
      <c r="AY65" s="262" t="s">
        <v>486</v>
      </c>
      <c r="AZ65" s="262" t="s">
        <v>472</v>
      </c>
      <c r="BA65" s="18" t="s">
        <v>473</v>
      </c>
      <c r="BB65" s="18">
        <v>76</v>
      </c>
      <c r="BC65" s="18">
        <v>2.5333333333333332</v>
      </c>
      <c r="BD65" s="18" t="s">
        <v>474</v>
      </c>
      <c r="BE65" s="295">
        <v>3</v>
      </c>
      <c r="BF65" s="18"/>
      <c r="BG65" s="279"/>
      <c r="BH65" s="279"/>
      <c r="BI65" s="279"/>
      <c r="BJ65" s="279"/>
      <c r="BK65" s="279"/>
      <c r="BL65" s="279"/>
      <c r="BM65" s="279"/>
      <c r="BN65" s="279"/>
      <c r="BO65" s="279"/>
      <c r="BP65" s="279"/>
      <c r="BQ65" s="279"/>
      <c r="BR65" s="279"/>
      <c r="BS65" s="279"/>
      <c r="BT65" s="279"/>
      <c r="BU65" s="279"/>
      <c r="BV65" s="279"/>
      <c r="BW65" s="279"/>
      <c r="BX65" s="279"/>
      <c r="BY65" s="279"/>
      <c r="BZ65" s="279"/>
      <c r="CA65" s="279"/>
      <c r="CB65" s="279"/>
      <c r="CC65" s="279"/>
      <c r="CD65" s="279"/>
      <c r="CE65" s="279"/>
      <c r="CF65" s="279"/>
      <c r="CG65" s="279"/>
      <c r="CH65" s="279"/>
      <c r="CI65" s="279"/>
      <c r="CJ65" s="279"/>
      <c r="CK65" s="279"/>
      <c r="CL65" s="279"/>
      <c r="CM65" s="279"/>
      <c r="CN65" s="279"/>
      <c r="CO65" s="279"/>
      <c r="CP65" s="279"/>
      <c r="CQ65" s="279"/>
      <c r="CR65" s="279"/>
      <c r="CS65" s="279"/>
      <c r="CT65" s="279"/>
      <c r="CU65" s="279"/>
      <c r="CV65" s="279"/>
      <c r="CW65" s="279"/>
      <c r="CX65" s="279"/>
      <c r="CY65" s="279"/>
      <c r="CZ65" s="279"/>
      <c r="DA65" s="279"/>
      <c r="DB65" s="279"/>
      <c r="DC65" s="279"/>
      <c r="DD65" s="279"/>
      <c r="DE65" s="279"/>
      <c r="DF65" s="279"/>
      <c r="DG65" s="279"/>
      <c r="DH65" s="279"/>
      <c r="DI65" s="279"/>
      <c r="DJ65" s="279"/>
      <c r="DK65" s="279"/>
      <c r="DL65" s="279"/>
      <c r="DM65" s="279"/>
      <c r="DN65" s="279"/>
      <c r="DO65" s="279"/>
      <c r="DP65" s="279"/>
      <c r="DQ65" s="279"/>
      <c r="DR65" s="279"/>
      <c r="DS65" s="279"/>
      <c r="DT65" s="279"/>
      <c r="DU65" s="279"/>
      <c r="DV65" s="279"/>
      <c r="DW65" s="279"/>
      <c r="DX65" s="279"/>
      <c r="DY65" s="279"/>
      <c r="DZ65" s="279"/>
      <c r="EA65" s="279"/>
      <c r="EB65" s="296"/>
    </row>
    <row r="66" spans="1:132" s="297" customFormat="1" ht="12" customHeight="1" x14ac:dyDescent="0.15">
      <c r="A66" s="262">
        <v>111</v>
      </c>
      <c r="B66" s="293" t="s">
        <v>87</v>
      </c>
      <c r="C66" s="262" t="s">
        <v>150</v>
      </c>
      <c r="D66" s="262" t="s">
        <v>49</v>
      </c>
      <c r="E66" s="262" t="s">
        <v>151</v>
      </c>
      <c r="F66" s="262" t="s">
        <v>173</v>
      </c>
      <c r="G66" s="262" t="s">
        <v>176</v>
      </c>
      <c r="H66" s="19">
        <v>360</v>
      </c>
      <c r="I66" s="263">
        <v>6.8639999999999999</v>
      </c>
      <c r="J66" s="263">
        <v>1.9E-2</v>
      </c>
      <c r="K66" s="263">
        <v>0.23699999999999999</v>
      </c>
      <c r="L66" s="19">
        <v>57.7</v>
      </c>
      <c r="M66" s="18">
        <v>18</v>
      </c>
      <c r="N66" s="19">
        <v>25.2</v>
      </c>
      <c r="O66" s="263">
        <v>0.54700000000000004</v>
      </c>
      <c r="P66" s="263">
        <v>2.1999999999999999E-2</v>
      </c>
      <c r="Q66" s="263">
        <v>0.17899999999999999</v>
      </c>
      <c r="R66" s="19">
        <v>14.3</v>
      </c>
      <c r="S66" s="18">
        <v>1229</v>
      </c>
      <c r="T66" s="19">
        <v>7</v>
      </c>
      <c r="U66" s="19">
        <v>18.5</v>
      </c>
      <c r="V66" s="18">
        <v>7</v>
      </c>
      <c r="W66" s="19">
        <v>5.4</v>
      </c>
      <c r="X66" s="263">
        <v>0.36199999999999999</v>
      </c>
      <c r="Y66" s="263">
        <v>6.7000000000000004E-2</v>
      </c>
      <c r="Z66" s="263">
        <v>0.20499999999999999</v>
      </c>
      <c r="AA66" s="19">
        <v>1.4</v>
      </c>
      <c r="AB66" s="18">
        <v>410</v>
      </c>
      <c r="AC66" s="19">
        <v>0</v>
      </c>
      <c r="AD66" s="19">
        <v>2.8</v>
      </c>
      <c r="AE66" s="18">
        <v>3</v>
      </c>
      <c r="AF66" s="19">
        <v>3.9</v>
      </c>
      <c r="AG66" s="263">
        <v>0.32900000000000001</v>
      </c>
      <c r="AH66" s="263">
        <v>8.4000000000000005E-2</v>
      </c>
      <c r="AI66" s="19">
        <v>0</v>
      </c>
      <c r="AJ66" s="18">
        <v>4</v>
      </c>
      <c r="AK66" s="19">
        <v>356.1</v>
      </c>
      <c r="AL66" s="263">
        <v>6.5350000000000001</v>
      </c>
      <c r="AM66" s="263">
        <v>1.7999999999999999E-2</v>
      </c>
      <c r="AN66" s="19">
        <v>57.7</v>
      </c>
      <c r="AO66" s="309"/>
      <c r="AP66" s="309"/>
      <c r="AQ66" s="309"/>
      <c r="AR66" s="309"/>
      <c r="AS66" s="18"/>
      <c r="AT66" s="18">
        <f>Table1[[#This Row],[Object_A_._head_time]]+Table1[[#This Row],[Object_B_._head_time]]</f>
        <v>30.6</v>
      </c>
      <c r="AU66" s="18">
        <f>Table1[[#This Row],[Object_B_._head_time]]-Table1[[#This Row],[Object_A_._head_time]]</f>
        <v>-19.799999999999997</v>
      </c>
      <c r="AV66" s="19">
        <f>Table1[[#This Row],[D1: Absolute discrimination measure (D1 = B2- A2)]]/Table1[[#This Row],[E2: total exploration time in second trial E2 ( E2 = A2 + B2)]]</f>
        <v>-0.64705882352941169</v>
      </c>
      <c r="AW66" s="309">
        <f>Table1[[#This Row],[Object_B_._head_time]]/Table1[[#This Row],[E2: total exploration time in second trial E2 ( E2 = A2 + B2)]]</f>
        <v>0.17647058823529413</v>
      </c>
      <c r="AX66" s="294"/>
      <c r="AY66" s="262" t="s">
        <v>486</v>
      </c>
      <c r="AZ66" s="262" t="s">
        <v>476</v>
      </c>
      <c r="BA66" s="18" t="s">
        <v>473</v>
      </c>
      <c r="BB66" s="18">
        <v>76</v>
      </c>
      <c r="BC66" s="18">
        <v>2.5333333333333332</v>
      </c>
      <c r="BD66" s="18" t="s">
        <v>477</v>
      </c>
      <c r="BE66" s="295">
        <v>8</v>
      </c>
      <c r="BF66" s="18"/>
      <c r="BG66" s="279"/>
      <c r="BH66" s="279"/>
      <c r="BI66" s="279"/>
      <c r="BJ66" s="279"/>
      <c r="BK66" s="279"/>
      <c r="BL66" s="279"/>
      <c r="BM66" s="279"/>
      <c r="BN66" s="279"/>
      <c r="BO66" s="279"/>
      <c r="BP66" s="279"/>
      <c r="BQ66" s="279"/>
      <c r="BR66" s="279"/>
      <c r="BS66" s="279"/>
      <c r="BT66" s="279"/>
      <c r="BU66" s="279"/>
      <c r="BV66" s="279"/>
      <c r="BW66" s="279"/>
      <c r="BX66" s="279"/>
      <c r="BY66" s="279"/>
      <c r="BZ66" s="279"/>
      <c r="CA66" s="279"/>
      <c r="CB66" s="279"/>
      <c r="CC66" s="279"/>
      <c r="CD66" s="279"/>
      <c r="CE66" s="279"/>
      <c r="CF66" s="279"/>
      <c r="CG66" s="279"/>
      <c r="CH66" s="279"/>
      <c r="CI66" s="279"/>
      <c r="CJ66" s="279"/>
      <c r="CK66" s="279"/>
      <c r="CL66" s="279"/>
      <c r="CM66" s="279"/>
      <c r="CN66" s="279"/>
      <c r="CO66" s="279"/>
      <c r="CP66" s="279"/>
      <c r="CQ66" s="279"/>
      <c r="CR66" s="279"/>
      <c r="CS66" s="279"/>
      <c r="CT66" s="279"/>
      <c r="CU66" s="279"/>
      <c r="CV66" s="279"/>
      <c r="CW66" s="279"/>
      <c r="CX66" s="279"/>
      <c r="CY66" s="279"/>
      <c r="CZ66" s="279"/>
      <c r="DA66" s="279"/>
      <c r="DB66" s="279"/>
      <c r="DC66" s="279"/>
      <c r="DD66" s="279"/>
      <c r="DE66" s="279"/>
      <c r="DF66" s="279"/>
      <c r="DG66" s="279"/>
      <c r="DH66" s="279"/>
      <c r="DI66" s="279"/>
      <c r="DJ66" s="279"/>
      <c r="DK66" s="279"/>
      <c r="DL66" s="279"/>
      <c r="DM66" s="279"/>
      <c r="DN66" s="279"/>
      <c r="DO66" s="279"/>
      <c r="DP66" s="279"/>
      <c r="DQ66" s="279"/>
      <c r="DR66" s="279"/>
      <c r="DS66" s="279"/>
      <c r="DT66" s="279"/>
      <c r="DU66" s="279"/>
      <c r="DV66" s="279"/>
      <c r="DW66" s="279"/>
      <c r="DX66" s="279"/>
      <c r="DY66" s="279"/>
      <c r="DZ66" s="279"/>
      <c r="EA66" s="279"/>
      <c r="EB66" s="296"/>
    </row>
    <row r="67" spans="1:132" s="297" customFormat="1" ht="12" customHeight="1" x14ac:dyDescent="0.15">
      <c r="A67" s="262">
        <v>112</v>
      </c>
      <c r="B67" s="293" t="s">
        <v>89</v>
      </c>
      <c r="C67" s="262" t="s">
        <v>150</v>
      </c>
      <c r="D67" s="262" t="s">
        <v>53</v>
      </c>
      <c r="E67" s="262" t="s">
        <v>151</v>
      </c>
      <c r="F67" s="262" t="s">
        <v>173</v>
      </c>
      <c r="G67" s="262" t="s">
        <v>177</v>
      </c>
      <c r="H67" s="19">
        <v>360</v>
      </c>
      <c r="I67" s="263">
        <v>7.4829999999999997</v>
      </c>
      <c r="J67" s="263">
        <v>2.1000000000000001E-2</v>
      </c>
      <c r="K67" s="263">
        <v>0.28299999999999997</v>
      </c>
      <c r="L67" s="19">
        <v>116.4</v>
      </c>
      <c r="M67" s="18">
        <v>10</v>
      </c>
      <c r="N67" s="19">
        <v>11.7</v>
      </c>
      <c r="O67" s="263">
        <v>0.36699999999999999</v>
      </c>
      <c r="P67" s="263">
        <v>3.1E-2</v>
      </c>
      <c r="Q67" s="263">
        <v>0.186</v>
      </c>
      <c r="R67" s="19">
        <v>5.3</v>
      </c>
      <c r="S67" s="18">
        <v>924</v>
      </c>
      <c r="T67" s="19">
        <v>0</v>
      </c>
      <c r="U67" s="19">
        <v>8.8000000000000007</v>
      </c>
      <c r="V67" s="18">
        <v>26</v>
      </c>
      <c r="W67" s="19">
        <v>25.4</v>
      </c>
      <c r="X67" s="263">
        <v>0.33500000000000002</v>
      </c>
      <c r="Y67" s="263">
        <v>1.2999999999999999E-2</v>
      </c>
      <c r="Z67" s="263">
        <v>0.114</v>
      </c>
      <c r="AA67" s="19">
        <v>17.100000000000001</v>
      </c>
      <c r="AB67" s="18">
        <v>1478</v>
      </c>
      <c r="AC67" s="19">
        <v>7.7</v>
      </c>
      <c r="AD67" s="19">
        <v>21</v>
      </c>
      <c r="AE67" s="18">
        <v>1</v>
      </c>
      <c r="AF67" s="19">
        <v>0.2</v>
      </c>
      <c r="AG67" s="263">
        <v>3.4000000000000002E-2</v>
      </c>
      <c r="AH67" s="263">
        <v>0.17599999999999999</v>
      </c>
      <c r="AI67" s="19">
        <v>0</v>
      </c>
      <c r="AJ67" s="18">
        <v>2</v>
      </c>
      <c r="AK67" s="19">
        <v>359.8</v>
      </c>
      <c r="AL67" s="263">
        <v>7.45</v>
      </c>
      <c r="AM67" s="263">
        <v>2.1000000000000001E-2</v>
      </c>
      <c r="AN67" s="19">
        <v>116.4</v>
      </c>
      <c r="AO67" s="309"/>
      <c r="AP67" s="309"/>
      <c r="AQ67" s="309"/>
      <c r="AR67" s="309"/>
      <c r="AS67" s="18"/>
      <c r="AT67" s="18">
        <f>Table1[[#This Row],[Object_A_._head_time]]+Table1[[#This Row],[Object_B_._head_time]]</f>
        <v>37.099999999999994</v>
      </c>
      <c r="AU67" s="18">
        <f>Table1[[#This Row],[Object_B_._head_time]]-Table1[[#This Row],[Object_A_._head_time]]</f>
        <v>13.7</v>
      </c>
      <c r="AV67" s="19">
        <f>Table1[[#This Row],[D1: Absolute discrimination measure (D1 = B2- A2)]]/Table1[[#This Row],[E2: total exploration time in second trial E2 ( E2 = A2 + B2)]]</f>
        <v>0.36927223719676555</v>
      </c>
      <c r="AW67" s="309">
        <f>Table1[[#This Row],[Object_B_._head_time]]/Table1[[#This Row],[E2: total exploration time in second trial E2 ( E2 = A2 + B2)]]</f>
        <v>0.6846361185983828</v>
      </c>
      <c r="AX67" s="294"/>
      <c r="AY67" s="262" t="s">
        <v>487</v>
      </c>
      <c r="AZ67" s="262" t="s">
        <v>472</v>
      </c>
      <c r="BA67" s="18" t="s">
        <v>473</v>
      </c>
      <c r="BB67" s="18">
        <v>76</v>
      </c>
      <c r="BC67" s="18">
        <v>2.5333333333333332</v>
      </c>
      <c r="BD67" s="18" t="s">
        <v>474</v>
      </c>
      <c r="BE67" s="295">
        <v>3</v>
      </c>
      <c r="BF67" s="18"/>
      <c r="BG67" s="279"/>
      <c r="BH67" s="279"/>
      <c r="BI67" s="279"/>
      <c r="BJ67" s="279"/>
      <c r="BK67" s="279"/>
      <c r="BL67" s="279"/>
      <c r="BM67" s="279"/>
      <c r="BN67" s="279"/>
      <c r="BO67" s="279"/>
      <c r="BP67" s="279"/>
      <c r="BQ67" s="279"/>
      <c r="BR67" s="279"/>
      <c r="BS67" s="279"/>
      <c r="BT67" s="279"/>
      <c r="BU67" s="279"/>
      <c r="BV67" s="279"/>
      <c r="BW67" s="279"/>
      <c r="BX67" s="279"/>
      <c r="BY67" s="279"/>
      <c r="BZ67" s="279"/>
      <c r="CA67" s="279"/>
      <c r="CB67" s="279"/>
      <c r="CC67" s="279"/>
      <c r="CD67" s="279"/>
      <c r="CE67" s="279"/>
      <c r="CF67" s="279"/>
      <c r="CG67" s="279"/>
      <c r="CH67" s="279"/>
      <c r="CI67" s="279"/>
      <c r="CJ67" s="279"/>
      <c r="CK67" s="279"/>
      <c r="CL67" s="279"/>
      <c r="CM67" s="279"/>
      <c r="CN67" s="279"/>
      <c r="CO67" s="279"/>
      <c r="CP67" s="279"/>
      <c r="CQ67" s="279"/>
      <c r="CR67" s="279"/>
      <c r="CS67" s="279"/>
      <c r="CT67" s="279"/>
      <c r="CU67" s="279"/>
      <c r="CV67" s="279"/>
      <c r="CW67" s="279"/>
      <c r="CX67" s="279"/>
      <c r="CY67" s="279"/>
      <c r="CZ67" s="279"/>
      <c r="DA67" s="279"/>
      <c r="DB67" s="279"/>
      <c r="DC67" s="279"/>
      <c r="DD67" s="279"/>
      <c r="DE67" s="279"/>
      <c r="DF67" s="279"/>
      <c r="DG67" s="279"/>
      <c r="DH67" s="279"/>
      <c r="DI67" s="279"/>
      <c r="DJ67" s="279"/>
      <c r="DK67" s="279"/>
      <c r="DL67" s="279"/>
      <c r="DM67" s="279"/>
      <c r="DN67" s="279"/>
      <c r="DO67" s="279"/>
      <c r="DP67" s="279"/>
      <c r="DQ67" s="279"/>
      <c r="DR67" s="279"/>
      <c r="DS67" s="279"/>
      <c r="DT67" s="279"/>
      <c r="DU67" s="279"/>
      <c r="DV67" s="279"/>
      <c r="DW67" s="279"/>
      <c r="DX67" s="279"/>
      <c r="DY67" s="279"/>
      <c r="DZ67" s="279"/>
      <c r="EA67" s="279"/>
      <c r="EB67" s="296"/>
    </row>
    <row r="68" spans="1:132" s="297" customFormat="1" ht="12" customHeight="1" x14ac:dyDescent="0.15">
      <c r="A68" s="262">
        <v>116</v>
      </c>
      <c r="B68" s="293" t="s">
        <v>91</v>
      </c>
      <c r="C68" s="262" t="s">
        <v>150</v>
      </c>
      <c r="D68" s="262" t="s">
        <v>41</v>
      </c>
      <c r="E68" s="262" t="s">
        <v>151</v>
      </c>
      <c r="F68" s="262" t="s">
        <v>178</v>
      </c>
      <c r="G68" s="262" t="s">
        <v>179</v>
      </c>
      <c r="H68" s="19">
        <v>360</v>
      </c>
      <c r="I68" s="263">
        <v>15.304</v>
      </c>
      <c r="J68" s="263">
        <v>4.2999999999999997E-2</v>
      </c>
      <c r="K68" s="263">
        <v>0.29799999999999999</v>
      </c>
      <c r="L68" s="19">
        <v>16.5</v>
      </c>
      <c r="M68" s="18">
        <v>15</v>
      </c>
      <c r="N68" s="19">
        <v>8.1</v>
      </c>
      <c r="O68" s="263">
        <v>0.17699999999999999</v>
      </c>
      <c r="P68" s="263">
        <v>2.1999999999999999E-2</v>
      </c>
      <c r="Q68" s="263">
        <v>0.17299999999999999</v>
      </c>
      <c r="R68" s="19">
        <v>4.5999999999999996</v>
      </c>
      <c r="S68" s="18">
        <v>698</v>
      </c>
      <c r="T68" s="19">
        <v>0</v>
      </c>
      <c r="U68" s="19">
        <v>8.1</v>
      </c>
      <c r="V68" s="18">
        <v>13</v>
      </c>
      <c r="W68" s="19">
        <v>7.9</v>
      </c>
      <c r="X68" s="263">
        <v>0.216</v>
      </c>
      <c r="Y68" s="263">
        <v>2.7E-2</v>
      </c>
      <c r="Z68" s="263">
        <v>0.19900000000000001</v>
      </c>
      <c r="AA68" s="19">
        <v>7.6</v>
      </c>
      <c r="AB68" s="18">
        <v>752</v>
      </c>
      <c r="AC68" s="19">
        <v>0</v>
      </c>
      <c r="AD68" s="19">
        <v>7.7</v>
      </c>
      <c r="AE68" s="18">
        <v>2</v>
      </c>
      <c r="AF68" s="19">
        <v>3.3</v>
      </c>
      <c r="AG68" s="263">
        <v>0.36599999999999999</v>
      </c>
      <c r="AH68" s="263">
        <v>0.112</v>
      </c>
      <c r="AI68" s="19">
        <v>0</v>
      </c>
      <c r="AJ68" s="18">
        <v>3</v>
      </c>
      <c r="AK68" s="19">
        <v>356.7</v>
      </c>
      <c r="AL68" s="263">
        <v>14.936999999999999</v>
      </c>
      <c r="AM68" s="263">
        <v>4.2000000000000003E-2</v>
      </c>
      <c r="AN68" s="19">
        <v>16.5</v>
      </c>
      <c r="AO68" s="309"/>
      <c r="AP68" s="309"/>
      <c r="AQ68" s="309"/>
      <c r="AR68" s="309"/>
      <c r="AS68" s="18"/>
      <c r="AT68" s="18">
        <f>Table1[[#This Row],[Object_A_._head_time]]+Table1[[#This Row],[Object_B_._head_time]]</f>
        <v>16</v>
      </c>
      <c r="AU68" s="18">
        <f>Table1[[#This Row],[Object_B_._head_time]]-Table1[[#This Row],[Object_A_._head_time]]</f>
        <v>-0.19999999999999929</v>
      </c>
      <c r="AV68" s="19">
        <f>Table1[[#This Row],[D1: Absolute discrimination measure (D1 = B2- A2)]]/Table1[[#This Row],[E2: total exploration time in second trial E2 ( E2 = A2 + B2)]]</f>
        <v>-1.2499999999999956E-2</v>
      </c>
      <c r="AW68" s="309">
        <f>Table1[[#This Row],[Object_B_._head_time]]/Table1[[#This Row],[E2: total exploration time in second trial E2 ( E2 = A2 + B2)]]</f>
        <v>0.49375000000000002</v>
      </c>
      <c r="AX68" s="294"/>
      <c r="AY68" s="262" t="s">
        <v>487</v>
      </c>
      <c r="AZ68" s="262" t="s">
        <v>476</v>
      </c>
      <c r="BA68" s="18" t="s">
        <v>475</v>
      </c>
      <c r="BB68" s="18">
        <v>76</v>
      </c>
      <c r="BC68" s="18">
        <v>2.5333333333333332</v>
      </c>
      <c r="BD68" s="18" t="s">
        <v>474</v>
      </c>
      <c r="BE68" s="295">
        <v>5</v>
      </c>
      <c r="BF68" s="18"/>
      <c r="BG68" s="279"/>
      <c r="BH68" s="279"/>
      <c r="BI68" s="279"/>
      <c r="BJ68" s="279"/>
      <c r="BK68" s="279"/>
      <c r="BL68" s="279"/>
      <c r="BM68" s="279"/>
      <c r="BN68" s="279"/>
      <c r="BO68" s="279"/>
      <c r="BP68" s="279"/>
      <c r="BQ68" s="279"/>
      <c r="BR68" s="279"/>
      <c r="BS68" s="279"/>
      <c r="BT68" s="279"/>
      <c r="BU68" s="279"/>
      <c r="BV68" s="279"/>
      <c r="BW68" s="279"/>
      <c r="BX68" s="279"/>
      <c r="BY68" s="279"/>
      <c r="BZ68" s="279"/>
      <c r="CA68" s="279"/>
      <c r="CB68" s="279"/>
      <c r="CC68" s="279"/>
      <c r="CD68" s="279"/>
      <c r="CE68" s="279"/>
      <c r="CF68" s="279"/>
      <c r="CG68" s="279"/>
      <c r="CH68" s="279"/>
      <c r="CI68" s="279"/>
      <c r="CJ68" s="279"/>
      <c r="CK68" s="279"/>
      <c r="CL68" s="279"/>
      <c r="CM68" s="279"/>
      <c r="CN68" s="279"/>
      <c r="CO68" s="279"/>
      <c r="CP68" s="279"/>
      <c r="CQ68" s="279"/>
      <c r="CR68" s="279"/>
      <c r="CS68" s="279"/>
      <c r="CT68" s="279"/>
      <c r="CU68" s="279"/>
      <c r="CV68" s="279"/>
      <c r="CW68" s="279"/>
      <c r="CX68" s="279"/>
      <c r="CY68" s="279"/>
      <c r="CZ68" s="279"/>
      <c r="DA68" s="279"/>
      <c r="DB68" s="279"/>
      <c r="DC68" s="279"/>
      <c r="DD68" s="279"/>
      <c r="DE68" s="279"/>
      <c r="DF68" s="279"/>
      <c r="DG68" s="279"/>
      <c r="DH68" s="279"/>
      <c r="DI68" s="279"/>
      <c r="DJ68" s="279"/>
      <c r="DK68" s="279"/>
      <c r="DL68" s="279"/>
      <c r="DM68" s="279"/>
      <c r="DN68" s="279"/>
      <c r="DO68" s="279"/>
      <c r="DP68" s="279"/>
      <c r="DQ68" s="279"/>
      <c r="DR68" s="279"/>
      <c r="DS68" s="279"/>
      <c r="DT68" s="279"/>
      <c r="DU68" s="279"/>
      <c r="DV68" s="279"/>
      <c r="DW68" s="279"/>
      <c r="DX68" s="279"/>
      <c r="DY68" s="279"/>
      <c r="DZ68" s="279"/>
      <c r="EA68" s="279"/>
      <c r="EB68" s="296"/>
    </row>
    <row r="69" spans="1:132" s="302" customFormat="1" ht="12" customHeight="1" x14ac:dyDescent="0.15">
      <c r="A69" s="267">
        <v>114</v>
      </c>
      <c r="B69" s="298" t="s">
        <v>94</v>
      </c>
      <c r="C69" s="267" t="s">
        <v>150</v>
      </c>
      <c r="D69" s="267" t="s">
        <v>46</v>
      </c>
      <c r="E69" s="267" t="s">
        <v>151</v>
      </c>
      <c r="F69" s="267" t="s">
        <v>178</v>
      </c>
      <c r="G69" s="267" t="s">
        <v>180</v>
      </c>
      <c r="H69" s="24">
        <v>360</v>
      </c>
      <c r="I69" s="299">
        <v>7.1970000000000001</v>
      </c>
      <c r="J69" s="299">
        <v>0.02</v>
      </c>
      <c r="K69" s="299">
        <v>0.26500000000000001</v>
      </c>
      <c r="L69" s="24">
        <v>104.2</v>
      </c>
      <c r="M69" s="23">
        <v>16</v>
      </c>
      <c r="N69" s="24">
        <v>27.8</v>
      </c>
      <c r="O69" s="299">
        <v>8.2000000000000003E-2</v>
      </c>
      <c r="P69" s="299">
        <v>3.0000000000000001E-3</v>
      </c>
      <c r="Q69" s="299">
        <v>0.112</v>
      </c>
      <c r="R69" s="24">
        <v>23</v>
      </c>
      <c r="S69" s="23">
        <v>508</v>
      </c>
      <c r="T69" s="24">
        <v>15.6</v>
      </c>
      <c r="U69" s="24">
        <v>25.2</v>
      </c>
      <c r="V69" s="23">
        <v>10</v>
      </c>
      <c r="W69" s="24">
        <v>6.1</v>
      </c>
      <c r="X69" s="299">
        <v>7.5999999999999998E-2</v>
      </c>
      <c r="Y69" s="299">
        <v>1.2E-2</v>
      </c>
      <c r="Z69" s="299">
        <v>0.13200000000000001</v>
      </c>
      <c r="AA69" s="24">
        <v>4.3</v>
      </c>
      <c r="AB69" s="23">
        <v>253</v>
      </c>
      <c r="AC69" s="24">
        <v>2.4</v>
      </c>
      <c r="AD69" s="24">
        <v>6.1</v>
      </c>
      <c r="AE69" s="23">
        <v>1</v>
      </c>
      <c r="AF69" s="24">
        <v>2.4</v>
      </c>
      <c r="AG69" s="299">
        <v>0.245</v>
      </c>
      <c r="AH69" s="299">
        <v>0.10199999999999999</v>
      </c>
      <c r="AI69" s="24">
        <v>0</v>
      </c>
      <c r="AJ69" s="23">
        <v>6</v>
      </c>
      <c r="AK69" s="24">
        <v>354.7</v>
      </c>
      <c r="AL69" s="299">
        <v>6.91</v>
      </c>
      <c r="AM69" s="299">
        <v>1.9E-2</v>
      </c>
      <c r="AN69" s="24">
        <v>104.4</v>
      </c>
      <c r="AO69" s="312"/>
      <c r="AP69" s="312"/>
      <c r="AQ69" s="312"/>
      <c r="AR69" s="312"/>
      <c r="AS69" s="18"/>
      <c r="AT69" s="23">
        <f>Table1[[#This Row],[Object_A_._head_time]]+Table1[[#This Row],[Object_B_._head_time]]</f>
        <v>33.9</v>
      </c>
      <c r="AU69" s="23">
        <f>Table1[[#This Row],[Object_B_._head_time]]-Table1[[#This Row],[Object_A_._head_time]]</f>
        <v>-21.700000000000003</v>
      </c>
      <c r="AV69" s="24">
        <f>Table1[[#This Row],[D1: Absolute discrimination measure (D1 = B2- A2)]]/Table1[[#This Row],[E2: total exploration time in second trial E2 ( E2 = A2 + B2)]]</f>
        <v>-0.64011799410029513</v>
      </c>
      <c r="AW69" s="309">
        <f>Table1[[#This Row],[Object_B_._head_time]]/Table1[[#This Row],[E2: total exploration time in second trial E2 ( E2 = A2 + B2)]]</f>
        <v>0.17994100294985249</v>
      </c>
      <c r="AX69" s="23"/>
      <c r="AY69" s="267" t="s">
        <v>487</v>
      </c>
      <c r="AZ69" s="267" t="s">
        <v>472</v>
      </c>
      <c r="BA69" s="267" t="s">
        <v>475</v>
      </c>
      <c r="BB69" s="267">
        <v>81</v>
      </c>
      <c r="BC69" s="24">
        <v>2.7</v>
      </c>
      <c r="BD69" s="23"/>
      <c r="BE69" s="300"/>
      <c r="BF69" s="23"/>
      <c r="BG69" s="290"/>
      <c r="BH69" s="290"/>
      <c r="BI69" s="290"/>
      <c r="BJ69" s="290"/>
      <c r="BK69" s="290"/>
      <c r="BL69" s="290"/>
      <c r="BM69" s="290"/>
      <c r="BN69" s="290"/>
      <c r="BO69" s="290"/>
      <c r="BP69" s="290"/>
      <c r="BQ69" s="290"/>
      <c r="BR69" s="290"/>
      <c r="BS69" s="290"/>
      <c r="BT69" s="290"/>
      <c r="BU69" s="290"/>
      <c r="BV69" s="290"/>
      <c r="BW69" s="290"/>
      <c r="BX69" s="290"/>
      <c r="BY69" s="290"/>
      <c r="BZ69" s="290"/>
      <c r="CA69" s="290"/>
      <c r="CB69" s="290"/>
      <c r="CC69" s="290"/>
      <c r="CD69" s="290"/>
      <c r="CE69" s="290"/>
      <c r="CF69" s="290"/>
      <c r="CG69" s="290"/>
      <c r="CH69" s="290"/>
      <c r="CI69" s="290"/>
      <c r="CJ69" s="290"/>
      <c r="CK69" s="290"/>
      <c r="CL69" s="290"/>
      <c r="CM69" s="290"/>
      <c r="CN69" s="290"/>
      <c r="CO69" s="290"/>
      <c r="CP69" s="290"/>
      <c r="CQ69" s="290"/>
      <c r="CR69" s="290"/>
      <c r="CS69" s="290"/>
      <c r="CT69" s="290"/>
      <c r="CU69" s="290"/>
      <c r="CV69" s="290"/>
      <c r="CW69" s="290"/>
      <c r="CX69" s="290"/>
      <c r="CY69" s="290"/>
      <c r="CZ69" s="290"/>
      <c r="DA69" s="290"/>
      <c r="DB69" s="290"/>
      <c r="DC69" s="290"/>
      <c r="DD69" s="290"/>
      <c r="DE69" s="290"/>
      <c r="DF69" s="290"/>
      <c r="DG69" s="290"/>
      <c r="DH69" s="290"/>
      <c r="DI69" s="290"/>
      <c r="DJ69" s="290"/>
      <c r="DK69" s="290"/>
      <c r="DL69" s="290"/>
      <c r="DM69" s="290"/>
      <c r="DN69" s="290"/>
      <c r="DO69" s="290"/>
      <c r="DP69" s="290"/>
      <c r="DQ69" s="290"/>
      <c r="DR69" s="290"/>
      <c r="DS69" s="290"/>
      <c r="DT69" s="290"/>
      <c r="DU69" s="290"/>
      <c r="DV69" s="290"/>
      <c r="DW69" s="290"/>
      <c r="DX69" s="290"/>
      <c r="DY69" s="290"/>
      <c r="DZ69" s="290"/>
      <c r="EA69" s="290"/>
      <c r="EB69" s="301"/>
    </row>
    <row r="70" spans="1:132" s="297" customFormat="1" ht="12" customHeight="1" x14ac:dyDescent="0.15">
      <c r="A70" s="262">
        <v>113</v>
      </c>
      <c r="B70" s="293" t="s">
        <v>96</v>
      </c>
      <c r="C70" s="262" t="s">
        <v>150</v>
      </c>
      <c r="D70" s="262" t="s">
        <v>49</v>
      </c>
      <c r="E70" s="262" t="s">
        <v>151</v>
      </c>
      <c r="F70" s="262" t="s">
        <v>178</v>
      </c>
      <c r="G70" s="262" t="s">
        <v>181</v>
      </c>
      <c r="H70" s="19">
        <v>360</v>
      </c>
      <c r="I70" s="263">
        <v>5.6989999999999998</v>
      </c>
      <c r="J70" s="263">
        <v>1.6E-2</v>
      </c>
      <c r="K70" s="263">
        <v>0.24199999999999999</v>
      </c>
      <c r="L70" s="19">
        <v>107.7</v>
      </c>
      <c r="M70" s="18">
        <v>14</v>
      </c>
      <c r="N70" s="19">
        <v>52.9</v>
      </c>
      <c r="O70" s="263">
        <v>0.68</v>
      </c>
      <c r="P70" s="263">
        <v>1.2999999999999999E-2</v>
      </c>
      <c r="Q70" s="263">
        <v>0.19400000000000001</v>
      </c>
      <c r="R70" s="19">
        <v>37.1</v>
      </c>
      <c r="S70" s="18">
        <v>2314</v>
      </c>
      <c r="T70" s="19">
        <v>20.3</v>
      </c>
      <c r="U70" s="19">
        <v>42.8</v>
      </c>
      <c r="V70" s="18">
        <v>67</v>
      </c>
      <c r="W70" s="19">
        <v>25.6</v>
      </c>
      <c r="X70" s="263">
        <v>0.56799999999999995</v>
      </c>
      <c r="Y70" s="263">
        <v>2.1999999999999999E-2</v>
      </c>
      <c r="Z70" s="263">
        <v>0.214</v>
      </c>
      <c r="AA70" s="19">
        <v>20.9</v>
      </c>
      <c r="AB70" s="18">
        <v>1956</v>
      </c>
      <c r="AC70" s="19">
        <v>8.5</v>
      </c>
      <c r="AD70" s="19">
        <v>20.399999999999999</v>
      </c>
      <c r="AE70" s="18">
        <v>5</v>
      </c>
      <c r="AF70" s="19">
        <v>7.5</v>
      </c>
      <c r="AG70" s="263">
        <v>0.871</v>
      </c>
      <c r="AH70" s="263">
        <v>0.11600000000000001</v>
      </c>
      <c r="AI70" s="19">
        <v>0</v>
      </c>
      <c r="AJ70" s="18">
        <v>6</v>
      </c>
      <c r="AK70" s="19">
        <v>352.5</v>
      </c>
      <c r="AL70" s="263">
        <v>4.8280000000000003</v>
      </c>
      <c r="AM70" s="263">
        <v>1.4E-2</v>
      </c>
      <c r="AN70" s="19">
        <v>107.7</v>
      </c>
      <c r="AO70" s="309"/>
      <c r="AP70" s="309"/>
      <c r="AQ70" s="309"/>
      <c r="AR70" s="309"/>
      <c r="AS70" s="18"/>
      <c r="AT70" s="18">
        <f>Table1[[#This Row],[Object_A_._head_time]]+Table1[[#This Row],[Object_B_._head_time]]</f>
        <v>78.5</v>
      </c>
      <c r="AU70" s="18">
        <f>Table1[[#This Row],[Object_B_._head_time]]-Table1[[#This Row],[Object_A_._head_time]]</f>
        <v>-27.299999999999997</v>
      </c>
      <c r="AV70" s="19">
        <f>Table1[[#This Row],[D1: Absolute discrimination measure (D1 = B2- A2)]]/Table1[[#This Row],[E2: total exploration time in second trial E2 ( E2 = A2 + B2)]]</f>
        <v>-0.34777070063694265</v>
      </c>
      <c r="AW70" s="309">
        <f>Table1[[#This Row],[Object_B_._head_time]]/Table1[[#This Row],[E2: total exploration time in second trial E2 ( E2 = A2 + B2)]]</f>
        <v>0.3261146496815287</v>
      </c>
      <c r="AX70" s="294"/>
      <c r="AY70" s="262" t="s">
        <v>486</v>
      </c>
      <c r="AZ70" s="262" t="s">
        <v>476</v>
      </c>
      <c r="BA70" s="18" t="s">
        <v>475</v>
      </c>
      <c r="BB70" s="18">
        <v>68</v>
      </c>
      <c r="BC70" s="18">
        <v>2.2666666666666666</v>
      </c>
      <c r="BD70" s="18" t="s">
        <v>477</v>
      </c>
      <c r="BE70" s="295">
        <v>6</v>
      </c>
      <c r="BF70" s="18"/>
      <c r="BG70" s="279"/>
      <c r="BH70" s="279"/>
      <c r="BI70" s="279"/>
      <c r="BJ70" s="279"/>
      <c r="BK70" s="279"/>
      <c r="BL70" s="279"/>
      <c r="BM70" s="279"/>
      <c r="BN70" s="279"/>
      <c r="BO70" s="279"/>
      <c r="BP70" s="279"/>
      <c r="BQ70" s="279"/>
      <c r="BR70" s="279"/>
      <c r="BS70" s="279"/>
      <c r="BT70" s="279"/>
      <c r="BU70" s="279"/>
      <c r="BV70" s="279"/>
      <c r="BW70" s="279"/>
      <c r="BX70" s="279"/>
      <c r="BY70" s="279"/>
      <c r="BZ70" s="279"/>
      <c r="CA70" s="279"/>
      <c r="CB70" s="279"/>
      <c r="CC70" s="279"/>
      <c r="CD70" s="279"/>
      <c r="CE70" s="279"/>
      <c r="CF70" s="279"/>
      <c r="CG70" s="279"/>
      <c r="CH70" s="279"/>
      <c r="CI70" s="279"/>
      <c r="CJ70" s="279"/>
      <c r="CK70" s="279"/>
      <c r="CL70" s="279"/>
      <c r="CM70" s="279"/>
      <c r="CN70" s="279"/>
      <c r="CO70" s="279"/>
      <c r="CP70" s="279"/>
      <c r="CQ70" s="279"/>
      <c r="CR70" s="279"/>
      <c r="CS70" s="279"/>
      <c r="CT70" s="279"/>
      <c r="CU70" s="279"/>
      <c r="CV70" s="279"/>
      <c r="CW70" s="279"/>
      <c r="CX70" s="279"/>
      <c r="CY70" s="279"/>
      <c r="CZ70" s="279"/>
      <c r="DA70" s="279"/>
      <c r="DB70" s="279"/>
      <c r="DC70" s="279"/>
      <c r="DD70" s="279"/>
      <c r="DE70" s="279"/>
      <c r="DF70" s="279"/>
      <c r="DG70" s="279"/>
      <c r="DH70" s="279"/>
      <c r="DI70" s="279"/>
      <c r="DJ70" s="279"/>
      <c r="DK70" s="279"/>
      <c r="DL70" s="279"/>
      <c r="DM70" s="279"/>
      <c r="DN70" s="279"/>
      <c r="DO70" s="279"/>
      <c r="DP70" s="279"/>
      <c r="DQ70" s="279"/>
      <c r="DR70" s="279"/>
      <c r="DS70" s="279"/>
      <c r="DT70" s="279"/>
      <c r="DU70" s="279"/>
      <c r="DV70" s="279"/>
      <c r="DW70" s="279"/>
      <c r="DX70" s="279"/>
      <c r="DY70" s="279"/>
      <c r="DZ70" s="279"/>
      <c r="EA70" s="279"/>
      <c r="EB70" s="296"/>
    </row>
    <row r="71" spans="1:132" s="297" customFormat="1" ht="12" customHeight="1" x14ac:dyDescent="0.15">
      <c r="A71" s="262">
        <v>115</v>
      </c>
      <c r="B71" s="293" t="s">
        <v>98</v>
      </c>
      <c r="C71" s="262" t="s">
        <v>150</v>
      </c>
      <c r="D71" s="262" t="s">
        <v>53</v>
      </c>
      <c r="E71" s="262" t="s">
        <v>151</v>
      </c>
      <c r="F71" s="262" t="s">
        <v>178</v>
      </c>
      <c r="G71" s="262" t="s">
        <v>182</v>
      </c>
      <c r="H71" s="19">
        <v>360</v>
      </c>
      <c r="I71" s="263">
        <v>9.3710000000000004</v>
      </c>
      <c r="J71" s="263">
        <v>2.5999999999999999E-2</v>
      </c>
      <c r="K71" s="263">
        <v>0.29099999999999998</v>
      </c>
      <c r="L71" s="19">
        <v>45.6</v>
      </c>
      <c r="M71" s="18">
        <v>15</v>
      </c>
      <c r="N71" s="19">
        <v>14.1</v>
      </c>
      <c r="O71" s="263">
        <v>0.55900000000000005</v>
      </c>
      <c r="P71" s="263">
        <v>0.04</v>
      </c>
      <c r="Q71" s="263">
        <v>0.189</v>
      </c>
      <c r="R71" s="19">
        <v>5.3</v>
      </c>
      <c r="S71" s="18">
        <v>984</v>
      </c>
      <c r="T71" s="19">
        <v>0.4</v>
      </c>
      <c r="U71" s="19">
        <v>5.2</v>
      </c>
      <c r="V71" s="18">
        <v>18</v>
      </c>
      <c r="W71" s="19">
        <v>47.5</v>
      </c>
      <c r="X71" s="263">
        <v>1.387</v>
      </c>
      <c r="Y71" s="263">
        <v>2.9000000000000001E-2</v>
      </c>
      <c r="Z71" s="263">
        <v>0.221</v>
      </c>
      <c r="AA71" s="19">
        <v>11.8</v>
      </c>
      <c r="AB71" s="18">
        <v>2252</v>
      </c>
      <c r="AC71" s="19">
        <v>6.7</v>
      </c>
      <c r="AD71" s="19">
        <v>26.2</v>
      </c>
      <c r="AE71" s="18">
        <v>10</v>
      </c>
      <c r="AF71" s="19">
        <v>12.8</v>
      </c>
      <c r="AG71" s="263">
        <v>1.1060000000000001</v>
      </c>
      <c r="AH71" s="263">
        <v>8.5999999999999993E-2</v>
      </c>
      <c r="AI71" s="19">
        <v>0</v>
      </c>
      <c r="AJ71" s="18">
        <v>11</v>
      </c>
      <c r="AK71" s="19">
        <v>347.2</v>
      </c>
      <c r="AL71" s="263">
        <v>8.2650000000000006</v>
      </c>
      <c r="AM71" s="263">
        <v>2.4E-2</v>
      </c>
      <c r="AN71" s="19">
        <v>45.6</v>
      </c>
      <c r="AO71" s="309"/>
      <c r="AP71" s="309"/>
      <c r="AQ71" s="309"/>
      <c r="AR71" s="309"/>
      <c r="AS71" s="18"/>
      <c r="AT71" s="18">
        <f>Table1[[#This Row],[Object_A_._head_time]]+Table1[[#This Row],[Object_B_._head_time]]</f>
        <v>61.6</v>
      </c>
      <c r="AU71" s="18">
        <f>Table1[[#This Row],[Object_B_._head_time]]-Table1[[#This Row],[Object_A_._head_time]]</f>
        <v>33.4</v>
      </c>
      <c r="AV71" s="19">
        <f>Table1[[#This Row],[D1: Absolute discrimination measure (D1 = B2- A2)]]/Table1[[#This Row],[E2: total exploration time in second trial E2 ( E2 = A2 + B2)]]</f>
        <v>0.54220779220779214</v>
      </c>
      <c r="AW71" s="309">
        <f>Table1[[#This Row],[Object_B_._head_time]]/Table1[[#This Row],[E2: total exploration time in second trial E2 ( E2 = A2 + B2)]]</f>
        <v>0.77110389610389607</v>
      </c>
      <c r="AX71" s="294"/>
      <c r="AY71" s="262" t="s">
        <v>486</v>
      </c>
      <c r="AZ71" s="262" t="s">
        <v>476</v>
      </c>
      <c r="BA71" s="18" t="s">
        <v>475</v>
      </c>
      <c r="BB71" s="18">
        <v>68</v>
      </c>
      <c r="BC71" s="18">
        <v>2.2666666666666666</v>
      </c>
      <c r="BD71" s="18" t="s">
        <v>474</v>
      </c>
      <c r="BE71" s="295">
        <v>5</v>
      </c>
      <c r="BF71" s="18"/>
      <c r="BG71" s="279"/>
      <c r="BH71" s="279"/>
      <c r="BI71" s="279"/>
      <c r="BJ71" s="279"/>
      <c r="BK71" s="279"/>
      <c r="BL71" s="279"/>
      <c r="BM71" s="279"/>
      <c r="BN71" s="279"/>
      <c r="BO71" s="279"/>
      <c r="BP71" s="279"/>
      <c r="BQ71" s="279"/>
      <c r="BR71" s="279"/>
      <c r="BS71" s="279"/>
      <c r="BT71" s="279"/>
      <c r="BU71" s="279"/>
      <c r="BV71" s="279"/>
      <c r="BW71" s="279"/>
      <c r="BX71" s="279"/>
      <c r="BY71" s="279"/>
      <c r="BZ71" s="279"/>
      <c r="CA71" s="279"/>
      <c r="CB71" s="279"/>
      <c r="CC71" s="279"/>
      <c r="CD71" s="279"/>
      <c r="CE71" s="279"/>
      <c r="CF71" s="279"/>
      <c r="CG71" s="279"/>
      <c r="CH71" s="279"/>
      <c r="CI71" s="279"/>
      <c r="CJ71" s="279"/>
      <c r="CK71" s="279"/>
      <c r="CL71" s="279"/>
      <c r="CM71" s="279"/>
      <c r="CN71" s="279"/>
      <c r="CO71" s="279"/>
      <c r="CP71" s="279"/>
      <c r="CQ71" s="279"/>
      <c r="CR71" s="279"/>
      <c r="CS71" s="279"/>
      <c r="CT71" s="279"/>
      <c r="CU71" s="279"/>
      <c r="CV71" s="279"/>
      <c r="CW71" s="279"/>
      <c r="CX71" s="279"/>
      <c r="CY71" s="279"/>
      <c r="CZ71" s="279"/>
      <c r="DA71" s="279"/>
      <c r="DB71" s="279"/>
      <c r="DC71" s="279"/>
      <c r="DD71" s="279"/>
      <c r="DE71" s="279"/>
      <c r="DF71" s="279"/>
      <c r="DG71" s="279"/>
      <c r="DH71" s="279"/>
      <c r="DI71" s="279"/>
      <c r="DJ71" s="279"/>
      <c r="DK71" s="279"/>
      <c r="DL71" s="279"/>
      <c r="DM71" s="279"/>
      <c r="DN71" s="279"/>
      <c r="DO71" s="279"/>
      <c r="DP71" s="279"/>
      <c r="DQ71" s="279"/>
      <c r="DR71" s="279"/>
      <c r="DS71" s="279"/>
      <c r="DT71" s="279"/>
      <c r="DU71" s="279"/>
      <c r="DV71" s="279"/>
      <c r="DW71" s="279"/>
      <c r="DX71" s="279"/>
      <c r="DY71" s="279"/>
      <c r="DZ71" s="279"/>
      <c r="EA71" s="279"/>
      <c r="EB71" s="296"/>
    </row>
    <row r="72" spans="1:132" s="302" customFormat="1" ht="12" customHeight="1" x14ac:dyDescent="0.15">
      <c r="A72" s="267">
        <v>119</v>
      </c>
      <c r="B72" s="298" t="s">
        <v>100</v>
      </c>
      <c r="C72" s="267" t="s">
        <v>150</v>
      </c>
      <c r="D72" s="267" t="s">
        <v>41</v>
      </c>
      <c r="E72" s="267" t="s">
        <v>151</v>
      </c>
      <c r="F72" s="267" t="s">
        <v>183</v>
      </c>
      <c r="G72" s="267" t="s">
        <v>184</v>
      </c>
      <c r="H72" s="24">
        <v>360</v>
      </c>
      <c r="I72" s="299">
        <v>5.6280000000000001</v>
      </c>
      <c r="J72" s="299">
        <v>1.6E-2</v>
      </c>
      <c r="K72" s="299">
        <v>0.22800000000000001</v>
      </c>
      <c r="L72" s="24">
        <v>83</v>
      </c>
      <c r="M72" s="23">
        <v>6</v>
      </c>
      <c r="N72" s="24">
        <v>11.7</v>
      </c>
      <c r="O72" s="299">
        <v>0.39400000000000002</v>
      </c>
      <c r="P72" s="299">
        <v>3.4000000000000002E-2</v>
      </c>
      <c r="Q72" s="299">
        <v>0.14799999999999999</v>
      </c>
      <c r="R72" s="24">
        <v>2.9</v>
      </c>
      <c r="S72" s="23">
        <v>756</v>
      </c>
      <c r="T72" s="24">
        <v>0</v>
      </c>
      <c r="U72" s="24">
        <v>5.6</v>
      </c>
      <c r="V72" s="23">
        <v>6</v>
      </c>
      <c r="W72" s="24">
        <v>15.3</v>
      </c>
      <c r="X72" s="299">
        <v>0.29799999999999999</v>
      </c>
      <c r="Y72" s="299">
        <v>0.02</v>
      </c>
      <c r="Z72" s="299">
        <v>0.19700000000000001</v>
      </c>
      <c r="AA72" s="24">
        <v>6.2</v>
      </c>
      <c r="AB72" s="23">
        <v>1386</v>
      </c>
      <c r="AC72" s="24">
        <v>0</v>
      </c>
      <c r="AD72" s="24">
        <v>2.4</v>
      </c>
      <c r="AE72" s="23">
        <v>3</v>
      </c>
      <c r="AF72" s="24">
        <v>6</v>
      </c>
      <c r="AG72" s="299">
        <v>0.54500000000000004</v>
      </c>
      <c r="AH72" s="299">
        <v>0.09</v>
      </c>
      <c r="AI72" s="24">
        <v>0</v>
      </c>
      <c r="AJ72" s="23">
        <v>4</v>
      </c>
      <c r="AK72" s="24">
        <v>354</v>
      </c>
      <c r="AL72" s="299">
        <v>5.0830000000000002</v>
      </c>
      <c r="AM72" s="299">
        <v>1.4E-2</v>
      </c>
      <c r="AN72" s="24">
        <v>83</v>
      </c>
      <c r="AO72" s="312"/>
      <c r="AP72" s="312"/>
      <c r="AQ72" s="312"/>
      <c r="AR72" s="312"/>
      <c r="AS72" s="18"/>
      <c r="AT72" s="23">
        <f>Table1[[#This Row],[Object_A_._head_time]]+Table1[[#This Row],[Object_B_._head_time]]</f>
        <v>27</v>
      </c>
      <c r="AU72" s="23">
        <f>Table1[[#This Row],[Object_B_._head_time]]-Table1[[#This Row],[Object_A_._head_time]]</f>
        <v>3.6000000000000014</v>
      </c>
      <c r="AV72" s="24">
        <f>Table1[[#This Row],[D1: Absolute discrimination measure (D1 = B2- A2)]]/Table1[[#This Row],[E2: total exploration time in second trial E2 ( E2 = A2 + B2)]]</f>
        <v>0.13333333333333339</v>
      </c>
      <c r="AW72" s="309">
        <f>Table1[[#This Row],[Object_B_._head_time]]/Table1[[#This Row],[E2: total exploration time in second trial E2 ( E2 = A2 + B2)]]</f>
        <v>0.56666666666666665</v>
      </c>
      <c r="AX72" s="23"/>
      <c r="AY72" s="267" t="s">
        <v>486</v>
      </c>
      <c r="AZ72" s="267" t="s">
        <v>476</v>
      </c>
      <c r="BA72" s="267" t="s">
        <v>473</v>
      </c>
      <c r="BB72" s="267">
        <v>73</v>
      </c>
      <c r="BC72" s="24">
        <v>2.4333333333333331</v>
      </c>
      <c r="BD72" s="23"/>
      <c r="BE72" s="300"/>
      <c r="BF72" s="23"/>
      <c r="BG72" s="290"/>
      <c r="BH72" s="290"/>
      <c r="BI72" s="290"/>
      <c r="BJ72" s="290"/>
      <c r="BK72" s="290"/>
      <c r="BL72" s="290"/>
      <c r="BM72" s="290"/>
      <c r="BN72" s="290"/>
      <c r="BO72" s="290"/>
      <c r="BP72" s="290"/>
      <c r="BQ72" s="290"/>
      <c r="BR72" s="290"/>
      <c r="BS72" s="290"/>
      <c r="BT72" s="290"/>
      <c r="BU72" s="290"/>
      <c r="BV72" s="290"/>
      <c r="BW72" s="290"/>
      <c r="BX72" s="290"/>
      <c r="BY72" s="290"/>
      <c r="BZ72" s="290"/>
      <c r="CA72" s="290"/>
      <c r="CB72" s="290"/>
      <c r="CC72" s="290"/>
      <c r="CD72" s="290"/>
      <c r="CE72" s="290"/>
      <c r="CF72" s="290"/>
      <c r="CG72" s="290"/>
      <c r="CH72" s="290"/>
      <c r="CI72" s="290"/>
      <c r="CJ72" s="290"/>
      <c r="CK72" s="290"/>
      <c r="CL72" s="290"/>
      <c r="CM72" s="290"/>
      <c r="CN72" s="290"/>
      <c r="CO72" s="290"/>
      <c r="CP72" s="290"/>
      <c r="CQ72" s="290"/>
      <c r="CR72" s="290"/>
      <c r="CS72" s="290"/>
      <c r="CT72" s="290"/>
      <c r="CU72" s="290"/>
      <c r="CV72" s="290"/>
      <c r="CW72" s="290"/>
      <c r="CX72" s="290"/>
      <c r="CY72" s="290"/>
      <c r="CZ72" s="290"/>
      <c r="DA72" s="290"/>
      <c r="DB72" s="290"/>
      <c r="DC72" s="290"/>
      <c r="DD72" s="290"/>
      <c r="DE72" s="290"/>
      <c r="DF72" s="290"/>
      <c r="DG72" s="290"/>
      <c r="DH72" s="290"/>
      <c r="DI72" s="290"/>
      <c r="DJ72" s="290"/>
      <c r="DK72" s="290"/>
      <c r="DL72" s="290"/>
      <c r="DM72" s="290"/>
      <c r="DN72" s="290"/>
      <c r="DO72" s="290"/>
      <c r="DP72" s="290"/>
      <c r="DQ72" s="290"/>
      <c r="DR72" s="290"/>
      <c r="DS72" s="290"/>
      <c r="DT72" s="290"/>
      <c r="DU72" s="290"/>
      <c r="DV72" s="290"/>
      <c r="DW72" s="290"/>
      <c r="DX72" s="290"/>
      <c r="DY72" s="290"/>
      <c r="DZ72" s="290"/>
      <c r="EA72" s="290"/>
      <c r="EB72" s="301"/>
    </row>
    <row r="73" spans="1:132" s="297" customFormat="1" ht="12" customHeight="1" x14ac:dyDescent="0.15">
      <c r="A73" s="262">
        <v>118</v>
      </c>
      <c r="B73" s="293" t="s">
        <v>103</v>
      </c>
      <c r="C73" s="262" t="s">
        <v>150</v>
      </c>
      <c r="D73" s="262" t="s">
        <v>46</v>
      </c>
      <c r="E73" s="262" t="s">
        <v>151</v>
      </c>
      <c r="F73" s="262" t="s">
        <v>183</v>
      </c>
      <c r="G73" s="262" t="s">
        <v>185</v>
      </c>
      <c r="H73" s="19">
        <v>360</v>
      </c>
      <c r="I73" s="263">
        <v>10.589</v>
      </c>
      <c r="J73" s="263">
        <v>2.9000000000000001E-2</v>
      </c>
      <c r="K73" s="263">
        <v>0.24199999999999999</v>
      </c>
      <c r="L73" s="19">
        <v>42.4</v>
      </c>
      <c r="M73" s="18">
        <v>22</v>
      </c>
      <c r="N73" s="19">
        <v>25.1</v>
      </c>
      <c r="O73" s="263">
        <v>1.167</v>
      </c>
      <c r="P73" s="263">
        <v>4.7E-2</v>
      </c>
      <c r="Q73" s="263">
        <v>0.20200000000000001</v>
      </c>
      <c r="R73" s="19">
        <v>6</v>
      </c>
      <c r="S73" s="18">
        <v>2132</v>
      </c>
      <c r="T73" s="19">
        <v>2.2000000000000002</v>
      </c>
      <c r="U73" s="19">
        <v>8.8000000000000007</v>
      </c>
      <c r="V73" s="18">
        <v>18</v>
      </c>
      <c r="W73" s="19">
        <v>42.6</v>
      </c>
      <c r="X73" s="263">
        <v>1.3240000000000001</v>
      </c>
      <c r="Y73" s="263">
        <v>3.1E-2</v>
      </c>
      <c r="Z73" s="263">
        <v>0.20300000000000001</v>
      </c>
      <c r="AA73" s="19">
        <v>4.0999999999999996</v>
      </c>
      <c r="AB73" s="18">
        <v>2419</v>
      </c>
      <c r="AC73" s="19">
        <v>2.4</v>
      </c>
      <c r="AD73" s="19">
        <v>3.9</v>
      </c>
      <c r="AE73" s="18">
        <v>13</v>
      </c>
      <c r="AF73" s="19">
        <v>19.8</v>
      </c>
      <c r="AG73" s="263">
        <v>1.1879999999999999</v>
      </c>
      <c r="AH73" s="263">
        <v>0.06</v>
      </c>
      <c r="AI73" s="19">
        <v>0</v>
      </c>
      <c r="AJ73" s="18">
        <v>14</v>
      </c>
      <c r="AK73" s="19">
        <v>340.2</v>
      </c>
      <c r="AL73" s="263">
        <v>9.4009999999999998</v>
      </c>
      <c r="AM73" s="263">
        <v>2.8000000000000001E-2</v>
      </c>
      <c r="AN73" s="19">
        <v>42.4</v>
      </c>
      <c r="AO73" s="309"/>
      <c r="AP73" s="309"/>
      <c r="AQ73" s="309"/>
      <c r="AR73" s="309"/>
      <c r="AS73" s="18"/>
      <c r="AT73" s="18">
        <f>Table1[[#This Row],[Object_A_._head_time]]+Table1[[#This Row],[Object_B_._head_time]]</f>
        <v>67.7</v>
      </c>
      <c r="AU73" s="18">
        <f>Table1[[#This Row],[Object_B_._head_time]]-Table1[[#This Row],[Object_A_._head_time]]</f>
        <v>17.5</v>
      </c>
      <c r="AV73" s="19">
        <f>Table1[[#This Row],[D1: Absolute discrimination measure (D1 = B2- A2)]]/Table1[[#This Row],[E2: total exploration time in second trial E2 ( E2 = A2 + B2)]]</f>
        <v>0.25849335302806498</v>
      </c>
      <c r="AW73" s="309">
        <f>Table1[[#This Row],[Object_B_._head_time]]/Table1[[#This Row],[E2: total exploration time in second trial E2 ( E2 = A2 + B2)]]</f>
        <v>0.62924667651403254</v>
      </c>
      <c r="AX73" s="294"/>
      <c r="AY73" s="262" t="s">
        <v>486</v>
      </c>
      <c r="AZ73" s="262" t="s">
        <v>476</v>
      </c>
      <c r="BA73" s="18" t="s">
        <v>475</v>
      </c>
      <c r="BB73" s="18">
        <v>68</v>
      </c>
      <c r="BC73" s="18">
        <v>2.2666666666666666</v>
      </c>
      <c r="BD73" s="18" t="s">
        <v>477</v>
      </c>
      <c r="BE73" s="295">
        <v>6</v>
      </c>
      <c r="BF73" s="18"/>
      <c r="BG73" s="279"/>
      <c r="BH73" s="279"/>
      <c r="BI73" s="279"/>
      <c r="BJ73" s="279"/>
      <c r="BK73" s="279"/>
      <c r="BL73" s="279"/>
      <c r="BM73" s="279"/>
      <c r="BN73" s="279"/>
      <c r="BO73" s="279"/>
      <c r="BP73" s="279"/>
      <c r="BQ73" s="279"/>
      <c r="BR73" s="279"/>
      <c r="BS73" s="279"/>
      <c r="BT73" s="279"/>
      <c r="BU73" s="279"/>
      <c r="BV73" s="279"/>
      <c r="BW73" s="279"/>
      <c r="BX73" s="279"/>
      <c r="BY73" s="279"/>
      <c r="BZ73" s="279"/>
      <c r="CA73" s="279"/>
      <c r="CB73" s="279"/>
      <c r="CC73" s="279"/>
      <c r="CD73" s="279"/>
      <c r="CE73" s="279"/>
      <c r="CF73" s="279"/>
      <c r="CG73" s="279"/>
      <c r="CH73" s="279"/>
      <c r="CI73" s="279"/>
      <c r="CJ73" s="279"/>
      <c r="CK73" s="279"/>
      <c r="CL73" s="279"/>
      <c r="CM73" s="279"/>
      <c r="CN73" s="279"/>
      <c r="CO73" s="279"/>
      <c r="CP73" s="279"/>
      <c r="CQ73" s="279"/>
      <c r="CR73" s="279"/>
      <c r="CS73" s="279"/>
      <c r="CT73" s="279"/>
      <c r="CU73" s="279"/>
      <c r="CV73" s="279"/>
      <c r="CW73" s="279"/>
      <c r="CX73" s="279"/>
      <c r="CY73" s="279"/>
      <c r="CZ73" s="279"/>
      <c r="DA73" s="279"/>
      <c r="DB73" s="279"/>
      <c r="DC73" s="279"/>
      <c r="DD73" s="279"/>
      <c r="DE73" s="279"/>
      <c r="DF73" s="279"/>
      <c r="DG73" s="279"/>
      <c r="DH73" s="279"/>
      <c r="DI73" s="279"/>
      <c r="DJ73" s="279"/>
      <c r="DK73" s="279"/>
      <c r="DL73" s="279"/>
      <c r="DM73" s="279"/>
      <c r="DN73" s="279"/>
      <c r="DO73" s="279"/>
      <c r="DP73" s="279"/>
      <c r="DQ73" s="279"/>
      <c r="DR73" s="279"/>
      <c r="DS73" s="279"/>
      <c r="DT73" s="279"/>
      <c r="DU73" s="279"/>
      <c r="DV73" s="279"/>
      <c r="DW73" s="279"/>
      <c r="DX73" s="279"/>
      <c r="DY73" s="279"/>
      <c r="DZ73" s="279"/>
      <c r="EA73" s="279"/>
      <c r="EB73" s="296"/>
    </row>
    <row r="74" spans="1:132" s="297" customFormat="1" ht="12" customHeight="1" x14ac:dyDescent="0.15">
      <c r="A74" s="262">
        <v>117</v>
      </c>
      <c r="B74" s="293" t="s">
        <v>105</v>
      </c>
      <c r="C74" s="262" t="s">
        <v>150</v>
      </c>
      <c r="D74" s="262" t="s">
        <v>49</v>
      </c>
      <c r="E74" s="262" t="s">
        <v>151</v>
      </c>
      <c r="F74" s="262" t="s">
        <v>183</v>
      </c>
      <c r="G74" s="262" t="s">
        <v>186</v>
      </c>
      <c r="H74" s="19">
        <v>360</v>
      </c>
      <c r="I74" s="263">
        <v>7.2729999999999997</v>
      </c>
      <c r="J74" s="263">
        <v>0.02</v>
      </c>
      <c r="K74" s="263">
        <v>0.28000000000000003</v>
      </c>
      <c r="L74" s="19">
        <v>78.8</v>
      </c>
      <c r="M74" s="18">
        <v>11</v>
      </c>
      <c r="N74" s="19">
        <v>8.8000000000000007</v>
      </c>
      <c r="O74" s="263">
        <v>0.65700000000000003</v>
      </c>
      <c r="P74" s="263">
        <v>7.4999999999999997E-2</v>
      </c>
      <c r="Q74" s="263">
        <v>0.21</v>
      </c>
      <c r="R74" s="19">
        <v>0.6</v>
      </c>
      <c r="S74" s="18">
        <v>851</v>
      </c>
      <c r="T74" s="19">
        <v>0</v>
      </c>
      <c r="U74" s="19">
        <v>1.1000000000000001</v>
      </c>
      <c r="V74" s="18">
        <v>11</v>
      </c>
      <c r="W74" s="19">
        <v>13.2</v>
      </c>
      <c r="X74" s="263">
        <v>0.65600000000000003</v>
      </c>
      <c r="Y74" s="263">
        <v>0.05</v>
      </c>
      <c r="Z74" s="263">
        <v>0.26400000000000001</v>
      </c>
      <c r="AA74" s="19">
        <v>3.6</v>
      </c>
      <c r="AB74" s="18">
        <v>871</v>
      </c>
      <c r="AC74" s="19">
        <v>0</v>
      </c>
      <c r="AD74" s="19">
        <v>3.2</v>
      </c>
      <c r="AE74" s="18">
        <v>8</v>
      </c>
      <c r="AF74" s="19">
        <v>12.5</v>
      </c>
      <c r="AG74" s="263">
        <v>1.3740000000000001</v>
      </c>
      <c r="AH74" s="263">
        <v>0.11</v>
      </c>
      <c r="AI74" s="19">
        <v>0</v>
      </c>
      <c r="AJ74" s="18">
        <v>9</v>
      </c>
      <c r="AK74" s="19">
        <v>347.5</v>
      </c>
      <c r="AL74" s="263">
        <v>5.899</v>
      </c>
      <c r="AM74" s="263">
        <v>1.7000000000000001E-2</v>
      </c>
      <c r="AN74" s="19">
        <v>78.8</v>
      </c>
      <c r="AO74" s="309"/>
      <c r="AP74" s="309"/>
      <c r="AQ74" s="309"/>
      <c r="AR74" s="309"/>
      <c r="AS74" s="18"/>
      <c r="AT74" s="18">
        <f>Table1[[#This Row],[Object_A_._head_time]]+Table1[[#This Row],[Object_B_._head_time]]</f>
        <v>22</v>
      </c>
      <c r="AU74" s="18">
        <f>Table1[[#This Row],[Object_B_._head_time]]-Table1[[#This Row],[Object_A_._head_time]]</f>
        <v>4.3999999999999986</v>
      </c>
      <c r="AV74" s="19">
        <f>Table1[[#This Row],[D1: Absolute discrimination measure (D1 = B2- A2)]]/Table1[[#This Row],[E2: total exploration time in second trial E2 ( E2 = A2 + B2)]]</f>
        <v>0.19999999999999993</v>
      </c>
      <c r="AW74" s="309">
        <f>Table1[[#This Row],[Object_B_._head_time]]/Table1[[#This Row],[E2: total exploration time in second trial E2 ( E2 = A2 + B2)]]</f>
        <v>0.6</v>
      </c>
      <c r="AX74" s="294"/>
      <c r="AY74" s="262" t="s">
        <v>486</v>
      </c>
      <c r="AZ74" s="262" t="s">
        <v>476</v>
      </c>
      <c r="BA74" s="18" t="s">
        <v>473</v>
      </c>
      <c r="BB74" s="18">
        <v>68</v>
      </c>
      <c r="BC74" s="18">
        <v>2.2666666666666666</v>
      </c>
      <c r="BD74" s="18" t="s">
        <v>477</v>
      </c>
      <c r="BE74" s="295">
        <v>8</v>
      </c>
      <c r="BF74" s="18"/>
      <c r="BG74" s="279"/>
      <c r="BH74" s="279"/>
      <c r="BI74" s="279"/>
      <c r="BJ74" s="279"/>
      <c r="BK74" s="279"/>
      <c r="BL74" s="279"/>
      <c r="BM74" s="279"/>
      <c r="BN74" s="279"/>
      <c r="BO74" s="279"/>
      <c r="BP74" s="279"/>
      <c r="BQ74" s="279"/>
      <c r="BR74" s="279"/>
      <c r="BS74" s="279"/>
      <c r="BT74" s="279"/>
      <c r="BU74" s="279"/>
      <c r="BV74" s="279"/>
      <c r="BW74" s="279"/>
      <c r="BX74" s="279"/>
      <c r="BY74" s="279"/>
      <c r="BZ74" s="279"/>
      <c r="CA74" s="279"/>
      <c r="CB74" s="279"/>
      <c r="CC74" s="279"/>
      <c r="CD74" s="279"/>
      <c r="CE74" s="279"/>
      <c r="CF74" s="279"/>
      <c r="CG74" s="279"/>
      <c r="CH74" s="279"/>
      <c r="CI74" s="279"/>
      <c r="CJ74" s="279"/>
      <c r="CK74" s="279"/>
      <c r="CL74" s="279"/>
      <c r="CM74" s="279"/>
      <c r="CN74" s="279"/>
      <c r="CO74" s="279"/>
      <c r="CP74" s="279"/>
      <c r="CQ74" s="279"/>
      <c r="CR74" s="279"/>
      <c r="CS74" s="279"/>
      <c r="CT74" s="279"/>
      <c r="CU74" s="279"/>
      <c r="CV74" s="279"/>
      <c r="CW74" s="279"/>
      <c r="CX74" s="279"/>
      <c r="CY74" s="279"/>
      <c r="CZ74" s="279"/>
      <c r="DA74" s="279"/>
      <c r="DB74" s="279"/>
      <c r="DC74" s="279"/>
      <c r="DD74" s="279"/>
      <c r="DE74" s="279"/>
      <c r="DF74" s="279"/>
      <c r="DG74" s="279"/>
      <c r="DH74" s="279"/>
      <c r="DI74" s="279"/>
      <c r="DJ74" s="279"/>
      <c r="DK74" s="279"/>
      <c r="DL74" s="279"/>
      <c r="DM74" s="279"/>
      <c r="DN74" s="279"/>
      <c r="DO74" s="279"/>
      <c r="DP74" s="279"/>
      <c r="DQ74" s="279"/>
      <c r="DR74" s="279"/>
      <c r="DS74" s="279"/>
      <c r="DT74" s="279"/>
      <c r="DU74" s="279"/>
      <c r="DV74" s="279"/>
      <c r="DW74" s="279"/>
      <c r="DX74" s="279"/>
      <c r="DY74" s="279"/>
      <c r="DZ74" s="279"/>
      <c r="EA74" s="279"/>
      <c r="EB74" s="296"/>
    </row>
    <row r="75" spans="1:132" s="297" customFormat="1" ht="12" customHeight="1" x14ac:dyDescent="0.15">
      <c r="A75" s="262">
        <v>120</v>
      </c>
      <c r="B75" s="293" t="s">
        <v>107</v>
      </c>
      <c r="C75" s="262" t="s">
        <v>150</v>
      </c>
      <c r="D75" s="262" t="s">
        <v>53</v>
      </c>
      <c r="E75" s="262" t="s">
        <v>151</v>
      </c>
      <c r="F75" s="262" t="s">
        <v>183</v>
      </c>
      <c r="G75" s="262" t="s">
        <v>187</v>
      </c>
      <c r="H75" s="19">
        <v>360</v>
      </c>
      <c r="I75" s="263">
        <v>7.0460000000000003</v>
      </c>
      <c r="J75" s="263">
        <v>0.02</v>
      </c>
      <c r="K75" s="263">
        <v>0.224</v>
      </c>
      <c r="L75" s="19">
        <v>85.6</v>
      </c>
      <c r="M75" s="18">
        <v>14</v>
      </c>
      <c r="N75" s="19">
        <v>55.2</v>
      </c>
      <c r="O75" s="263">
        <v>0.20399999999999999</v>
      </c>
      <c r="P75" s="263">
        <v>4.0000000000000001E-3</v>
      </c>
      <c r="Q75" s="263">
        <v>0.16600000000000001</v>
      </c>
      <c r="R75" s="19">
        <v>6.2</v>
      </c>
      <c r="S75" s="18">
        <v>758</v>
      </c>
      <c r="T75" s="19">
        <v>0</v>
      </c>
      <c r="U75" s="19">
        <v>8.6999999999999993</v>
      </c>
      <c r="V75" s="18">
        <v>15</v>
      </c>
      <c r="W75" s="19">
        <v>12.4</v>
      </c>
      <c r="X75" s="263">
        <v>0.23400000000000001</v>
      </c>
      <c r="Y75" s="263">
        <v>1.9E-2</v>
      </c>
      <c r="Z75" s="263">
        <v>0.14899999999999999</v>
      </c>
      <c r="AA75" s="19">
        <v>7.1</v>
      </c>
      <c r="AB75" s="18">
        <v>884</v>
      </c>
      <c r="AC75" s="19">
        <v>0</v>
      </c>
      <c r="AD75" s="19">
        <v>11.9</v>
      </c>
      <c r="AE75" s="18">
        <v>3</v>
      </c>
      <c r="AF75" s="19">
        <v>2.7</v>
      </c>
      <c r="AG75" s="263">
        <v>0.121</v>
      </c>
      <c r="AH75" s="263">
        <v>4.4999999999999998E-2</v>
      </c>
      <c r="AI75" s="19">
        <v>0</v>
      </c>
      <c r="AJ75" s="18">
        <v>4</v>
      </c>
      <c r="AK75" s="19">
        <v>357.3</v>
      </c>
      <c r="AL75" s="263">
        <v>6.9249999999999998</v>
      </c>
      <c r="AM75" s="263">
        <v>1.9E-2</v>
      </c>
      <c r="AN75" s="19">
        <v>85.6</v>
      </c>
      <c r="AO75" s="309"/>
      <c r="AP75" s="309"/>
      <c r="AQ75" s="309"/>
      <c r="AR75" s="309"/>
      <c r="AS75" s="18"/>
      <c r="AT75" s="18">
        <f>Table1[[#This Row],[Object_A_._head_time]]+Table1[[#This Row],[Object_B_._head_time]]</f>
        <v>67.600000000000009</v>
      </c>
      <c r="AU75" s="18">
        <f>Table1[[#This Row],[Object_B_._head_time]]-Table1[[#This Row],[Object_A_._head_time]]</f>
        <v>-42.800000000000004</v>
      </c>
      <c r="AV75" s="19">
        <f>Table1[[#This Row],[D1: Absolute discrimination measure (D1 = B2- A2)]]/Table1[[#This Row],[E2: total exploration time in second trial E2 ( E2 = A2 + B2)]]</f>
        <v>-0.63313609467455623</v>
      </c>
      <c r="AW75" s="309">
        <f>Table1[[#This Row],[Object_B_._head_time]]/Table1[[#This Row],[E2: total exploration time in second trial E2 ( E2 = A2 + B2)]]</f>
        <v>0.18343195266272189</v>
      </c>
      <c r="AX75" s="294"/>
      <c r="AY75" s="262" t="s">
        <v>486</v>
      </c>
      <c r="AZ75" s="262" t="s">
        <v>476</v>
      </c>
      <c r="BA75" s="18" t="s">
        <v>475</v>
      </c>
      <c r="BB75" s="18">
        <v>68</v>
      </c>
      <c r="BC75" s="18">
        <v>2.2666666666666666</v>
      </c>
      <c r="BD75" s="18" t="s">
        <v>474</v>
      </c>
      <c r="BE75" s="295">
        <v>5</v>
      </c>
      <c r="BF75" s="18" t="s">
        <v>464</v>
      </c>
      <c r="BG75" s="279"/>
      <c r="BH75" s="279"/>
      <c r="BI75" s="279"/>
      <c r="BJ75" s="279"/>
      <c r="BK75" s="279"/>
      <c r="BL75" s="279"/>
      <c r="BM75" s="279"/>
      <c r="BN75" s="279"/>
      <c r="BO75" s="279"/>
      <c r="BP75" s="279"/>
      <c r="BQ75" s="279"/>
      <c r="BR75" s="279"/>
      <c r="BS75" s="279"/>
      <c r="BT75" s="279"/>
      <c r="BU75" s="279"/>
      <c r="BV75" s="279"/>
      <c r="BW75" s="279"/>
      <c r="BX75" s="279"/>
      <c r="BY75" s="279"/>
      <c r="BZ75" s="279"/>
      <c r="CA75" s="279"/>
      <c r="CB75" s="279"/>
      <c r="CC75" s="279"/>
      <c r="CD75" s="279"/>
      <c r="CE75" s="279"/>
      <c r="CF75" s="279"/>
      <c r="CG75" s="279"/>
      <c r="CH75" s="279"/>
      <c r="CI75" s="279"/>
      <c r="CJ75" s="279"/>
      <c r="CK75" s="279"/>
      <c r="CL75" s="279"/>
      <c r="CM75" s="279"/>
      <c r="CN75" s="279"/>
      <c r="CO75" s="279"/>
      <c r="CP75" s="279"/>
      <c r="CQ75" s="279"/>
      <c r="CR75" s="279"/>
      <c r="CS75" s="279"/>
      <c r="CT75" s="279"/>
      <c r="CU75" s="279"/>
      <c r="CV75" s="279"/>
      <c r="CW75" s="279"/>
      <c r="CX75" s="279"/>
      <c r="CY75" s="279"/>
      <c r="CZ75" s="279"/>
      <c r="DA75" s="279"/>
      <c r="DB75" s="279"/>
      <c r="DC75" s="279"/>
      <c r="DD75" s="279"/>
      <c r="DE75" s="279"/>
      <c r="DF75" s="279"/>
      <c r="DG75" s="279"/>
      <c r="DH75" s="279"/>
      <c r="DI75" s="279"/>
      <c r="DJ75" s="279"/>
      <c r="DK75" s="279"/>
      <c r="DL75" s="279"/>
      <c r="DM75" s="279"/>
      <c r="DN75" s="279"/>
      <c r="DO75" s="279"/>
      <c r="DP75" s="279"/>
      <c r="DQ75" s="279"/>
      <c r="DR75" s="279"/>
      <c r="DS75" s="279"/>
      <c r="DT75" s="279"/>
      <c r="DU75" s="279"/>
      <c r="DV75" s="279"/>
      <c r="DW75" s="279"/>
      <c r="DX75" s="279"/>
      <c r="DY75" s="279"/>
      <c r="DZ75" s="279"/>
      <c r="EA75" s="279"/>
      <c r="EB75" s="296"/>
    </row>
    <row r="76" spans="1:132" s="297" customFormat="1" ht="12" customHeight="1" x14ac:dyDescent="0.15">
      <c r="A76" s="262">
        <v>124</v>
      </c>
      <c r="B76" s="293" t="s">
        <v>109</v>
      </c>
      <c r="C76" s="262" t="s">
        <v>150</v>
      </c>
      <c r="D76" s="262" t="s">
        <v>41</v>
      </c>
      <c r="E76" s="262" t="s">
        <v>151</v>
      </c>
      <c r="F76" s="262" t="s">
        <v>188</v>
      </c>
      <c r="G76" s="262" t="s">
        <v>189</v>
      </c>
      <c r="H76" s="19">
        <v>360</v>
      </c>
      <c r="I76" s="263">
        <v>7.5490000000000004</v>
      </c>
      <c r="J76" s="263">
        <v>2.1000000000000001E-2</v>
      </c>
      <c r="K76" s="263">
        <v>0.29699999999999999</v>
      </c>
      <c r="L76" s="19">
        <v>68.3</v>
      </c>
      <c r="M76" s="18">
        <v>38</v>
      </c>
      <c r="N76" s="19">
        <v>99.4</v>
      </c>
      <c r="O76" s="263">
        <v>0.86199999999999999</v>
      </c>
      <c r="P76" s="263">
        <v>8.9999999999999993E-3</v>
      </c>
      <c r="Q76" s="263">
        <v>0.29699999999999999</v>
      </c>
      <c r="R76" s="19">
        <v>30.5</v>
      </c>
      <c r="S76" s="18">
        <v>5184</v>
      </c>
      <c r="T76" s="19">
        <v>21.4</v>
      </c>
      <c r="U76" s="19">
        <v>65.400000000000006</v>
      </c>
      <c r="V76" s="18">
        <v>5</v>
      </c>
      <c r="W76" s="19">
        <v>21.5</v>
      </c>
      <c r="X76" s="263">
        <v>0.88400000000000001</v>
      </c>
      <c r="Y76" s="263">
        <v>4.1000000000000002E-2</v>
      </c>
      <c r="Z76" s="263">
        <v>0.17699999999999999</v>
      </c>
      <c r="AA76" s="19">
        <v>3.8</v>
      </c>
      <c r="AB76" s="18">
        <v>2043</v>
      </c>
      <c r="AC76" s="19">
        <v>0</v>
      </c>
      <c r="AD76" s="19">
        <v>2.6</v>
      </c>
      <c r="AE76" s="18">
        <v>6</v>
      </c>
      <c r="AF76" s="19">
        <v>9.3000000000000007</v>
      </c>
      <c r="AG76" s="263">
        <v>0.75600000000000001</v>
      </c>
      <c r="AH76" s="263">
        <v>8.1000000000000003E-2</v>
      </c>
      <c r="AI76" s="19">
        <v>0</v>
      </c>
      <c r="AJ76" s="18">
        <v>7</v>
      </c>
      <c r="AK76" s="19">
        <v>350.7</v>
      </c>
      <c r="AL76" s="263">
        <v>6.7930000000000001</v>
      </c>
      <c r="AM76" s="263">
        <v>1.9E-2</v>
      </c>
      <c r="AN76" s="19">
        <v>68.3</v>
      </c>
      <c r="AO76" s="309"/>
      <c r="AP76" s="309"/>
      <c r="AQ76" s="309"/>
      <c r="AR76" s="309"/>
      <c r="AS76" s="18"/>
      <c r="AT76" s="18">
        <f>Table1[[#This Row],[Object_A_._head_time]]+Table1[[#This Row],[Object_B_._head_time]]</f>
        <v>120.9</v>
      </c>
      <c r="AU76" s="18">
        <f>Table1[[#This Row],[Object_B_._head_time]]-Table1[[#This Row],[Object_A_._head_time]]</f>
        <v>-77.900000000000006</v>
      </c>
      <c r="AV76" s="19">
        <f>Table1[[#This Row],[D1: Absolute discrimination measure (D1 = B2- A2)]]/Table1[[#This Row],[E2: total exploration time in second trial E2 ( E2 = A2 + B2)]]</f>
        <v>-0.6443341604631927</v>
      </c>
      <c r="AW76" s="309">
        <f>Table1[[#This Row],[Object_B_._head_time]]/Table1[[#This Row],[E2: total exploration time in second trial E2 ( E2 = A2 + B2)]]</f>
        <v>0.17783291976840362</v>
      </c>
      <c r="AX76" s="294"/>
      <c r="AY76" s="262" t="s">
        <v>486</v>
      </c>
      <c r="AZ76" s="262" t="s">
        <v>476</v>
      </c>
      <c r="BA76" s="18" t="s">
        <v>473</v>
      </c>
      <c r="BB76" s="18">
        <v>68</v>
      </c>
      <c r="BC76" s="18">
        <v>2.2666666666666666</v>
      </c>
      <c r="BD76" s="18" t="s">
        <v>474</v>
      </c>
      <c r="BE76" s="295">
        <v>7</v>
      </c>
      <c r="BF76" s="18"/>
      <c r="BG76" s="279"/>
      <c r="BH76" s="279"/>
      <c r="BI76" s="279"/>
      <c r="BJ76" s="279"/>
      <c r="BK76" s="279"/>
      <c r="BL76" s="279"/>
      <c r="BM76" s="279"/>
      <c r="BN76" s="279"/>
      <c r="BO76" s="279"/>
      <c r="BP76" s="279"/>
      <c r="BQ76" s="279"/>
      <c r="BR76" s="279"/>
      <c r="BS76" s="279"/>
      <c r="BT76" s="279"/>
      <c r="BU76" s="279"/>
      <c r="BV76" s="279"/>
      <c r="BW76" s="279"/>
      <c r="BX76" s="279"/>
      <c r="BY76" s="279"/>
      <c r="BZ76" s="279"/>
      <c r="CA76" s="279"/>
      <c r="CB76" s="279"/>
      <c r="CC76" s="279"/>
      <c r="CD76" s="279"/>
      <c r="CE76" s="279"/>
      <c r="CF76" s="279"/>
      <c r="CG76" s="279"/>
      <c r="CH76" s="279"/>
      <c r="CI76" s="279"/>
      <c r="CJ76" s="279"/>
      <c r="CK76" s="279"/>
      <c r="CL76" s="279"/>
      <c r="CM76" s="279"/>
      <c r="CN76" s="279"/>
      <c r="CO76" s="279"/>
      <c r="CP76" s="279"/>
      <c r="CQ76" s="279"/>
      <c r="CR76" s="279"/>
      <c r="CS76" s="279"/>
      <c r="CT76" s="279"/>
      <c r="CU76" s="279"/>
      <c r="CV76" s="279"/>
      <c r="CW76" s="279"/>
      <c r="CX76" s="279"/>
      <c r="CY76" s="279"/>
      <c r="CZ76" s="279"/>
      <c r="DA76" s="279"/>
      <c r="DB76" s="279"/>
      <c r="DC76" s="279"/>
      <c r="DD76" s="279"/>
      <c r="DE76" s="279"/>
      <c r="DF76" s="279"/>
      <c r="DG76" s="279"/>
      <c r="DH76" s="279"/>
      <c r="DI76" s="279"/>
      <c r="DJ76" s="279"/>
      <c r="DK76" s="279"/>
      <c r="DL76" s="279"/>
      <c r="DM76" s="279"/>
      <c r="DN76" s="279"/>
      <c r="DO76" s="279"/>
      <c r="DP76" s="279"/>
      <c r="DQ76" s="279"/>
      <c r="DR76" s="279"/>
      <c r="DS76" s="279"/>
      <c r="DT76" s="279"/>
      <c r="DU76" s="279"/>
      <c r="DV76" s="279"/>
      <c r="DW76" s="279"/>
      <c r="DX76" s="279"/>
      <c r="DY76" s="279"/>
      <c r="DZ76" s="279"/>
      <c r="EA76" s="279"/>
      <c r="EB76" s="296"/>
    </row>
    <row r="77" spans="1:132" s="297" customFormat="1" ht="12" customHeight="1" x14ac:dyDescent="0.15">
      <c r="A77" s="262">
        <v>121</v>
      </c>
      <c r="B77" s="293" t="s">
        <v>112</v>
      </c>
      <c r="C77" s="262" t="s">
        <v>150</v>
      </c>
      <c r="D77" s="262" t="s">
        <v>46</v>
      </c>
      <c r="E77" s="262" t="s">
        <v>151</v>
      </c>
      <c r="F77" s="262" t="s">
        <v>188</v>
      </c>
      <c r="G77" s="262" t="s">
        <v>190</v>
      </c>
      <c r="H77" s="19">
        <v>360</v>
      </c>
      <c r="I77" s="263">
        <v>10.5</v>
      </c>
      <c r="J77" s="263">
        <v>2.9000000000000001E-2</v>
      </c>
      <c r="K77" s="263">
        <v>0.249</v>
      </c>
      <c r="L77" s="19">
        <v>38.4</v>
      </c>
      <c r="M77" s="18">
        <v>28</v>
      </c>
      <c r="N77" s="19">
        <v>49.8</v>
      </c>
      <c r="O77" s="263">
        <v>1.6759999999999999</v>
      </c>
      <c r="P77" s="263">
        <v>3.4000000000000002E-2</v>
      </c>
      <c r="Q77" s="263">
        <v>0.23799999999999999</v>
      </c>
      <c r="R77" s="19">
        <v>12.3</v>
      </c>
      <c r="S77" s="18">
        <v>3186</v>
      </c>
      <c r="T77" s="19">
        <v>5.2</v>
      </c>
      <c r="U77" s="19">
        <v>11.5</v>
      </c>
      <c r="V77" s="18">
        <v>13</v>
      </c>
      <c r="W77" s="19">
        <v>21.6</v>
      </c>
      <c r="X77" s="263">
        <v>0.94799999999999995</v>
      </c>
      <c r="Y77" s="263">
        <v>4.3999999999999997E-2</v>
      </c>
      <c r="Z77" s="263">
        <v>0.19800000000000001</v>
      </c>
      <c r="AA77" s="19">
        <v>4.5</v>
      </c>
      <c r="AB77" s="18">
        <v>1314</v>
      </c>
      <c r="AC77" s="19">
        <v>0</v>
      </c>
      <c r="AD77" s="19">
        <v>2.2999999999999998</v>
      </c>
      <c r="AE77" s="18">
        <v>12</v>
      </c>
      <c r="AF77" s="19">
        <v>25.4</v>
      </c>
      <c r="AG77" s="263">
        <v>1.6140000000000001</v>
      </c>
      <c r="AH77" s="263">
        <v>6.4000000000000001E-2</v>
      </c>
      <c r="AI77" s="19">
        <v>1.1000000000000001</v>
      </c>
      <c r="AJ77" s="18">
        <v>12</v>
      </c>
      <c r="AK77" s="19">
        <v>334.6</v>
      </c>
      <c r="AL77" s="263">
        <v>8.8859999999999992</v>
      </c>
      <c r="AM77" s="263">
        <v>2.7E-2</v>
      </c>
      <c r="AN77" s="19">
        <v>37.200000000000003</v>
      </c>
      <c r="AO77" s="309"/>
      <c r="AP77" s="309"/>
      <c r="AQ77" s="309"/>
      <c r="AR77" s="309"/>
      <c r="AS77" s="18"/>
      <c r="AT77" s="18">
        <f>Table1[[#This Row],[Object_A_._head_time]]+Table1[[#This Row],[Object_B_._head_time]]</f>
        <v>71.400000000000006</v>
      </c>
      <c r="AU77" s="18">
        <f>Table1[[#This Row],[Object_B_._head_time]]-Table1[[#This Row],[Object_A_._head_time]]</f>
        <v>-28.199999999999996</v>
      </c>
      <c r="AV77" s="19">
        <f>Table1[[#This Row],[D1: Absolute discrimination measure (D1 = B2- A2)]]/Table1[[#This Row],[E2: total exploration time in second trial E2 ( E2 = A2 + B2)]]</f>
        <v>-0.39495798319327724</v>
      </c>
      <c r="AW77" s="309">
        <f>Table1[[#This Row],[Object_B_._head_time]]/Table1[[#This Row],[E2: total exploration time in second trial E2 ( E2 = A2 + B2)]]</f>
        <v>0.30252100840336132</v>
      </c>
      <c r="AX77" s="294"/>
      <c r="AY77" s="262" t="s">
        <v>487</v>
      </c>
      <c r="AZ77" s="262" t="s">
        <v>476</v>
      </c>
      <c r="BA77" s="18" t="s">
        <v>475</v>
      </c>
      <c r="BB77" s="18">
        <v>68</v>
      </c>
      <c r="BC77" s="18">
        <v>2.2666666666666666</v>
      </c>
      <c r="BD77" s="18" t="s">
        <v>477</v>
      </c>
      <c r="BE77" s="295">
        <v>6</v>
      </c>
      <c r="BF77" s="18"/>
      <c r="BG77" s="279"/>
      <c r="BH77" s="279"/>
      <c r="BI77" s="279"/>
      <c r="BJ77" s="279"/>
      <c r="BK77" s="279"/>
      <c r="BL77" s="279"/>
      <c r="BM77" s="279"/>
      <c r="BN77" s="279"/>
      <c r="BO77" s="279"/>
      <c r="BP77" s="279"/>
      <c r="BQ77" s="279"/>
      <c r="BR77" s="279"/>
      <c r="BS77" s="279"/>
      <c r="BT77" s="279"/>
      <c r="BU77" s="279"/>
      <c r="BV77" s="279"/>
      <c r="BW77" s="279"/>
      <c r="BX77" s="279"/>
      <c r="BY77" s="279"/>
      <c r="BZ77" s="279"/>
      <c r="CA77" s="279"/>
      <c r="CB77" s="279"/>
      <c r="CC77" s="279"/>
      <c r="CD77" s="279"/>
      <c r="CE77" s="279"/>
      <c r="CF77" s="279"/>
      <c r="CG77" s="279"/>
      <c r="CH77" s="279"/>
      <c r="CI77" s="279"/>
      <c r="CJ77" s="279"/>
      <c r="CK77" s="279"/>
      <c r="CL77" s="279"/>
      <c r="CM77" s="279"/>
      <c r="CN77" s="279"/>
      <c r="CO77" s="279"/>
      <c r="CP77" s="279"/>
      <c r="CQ77" s="279"/>
      <c r="CR77" s="279"/>
      <c r="CS77" s="279"/>
      <c r="CT77" s="279"/>
      <c r="CU77" s="279"/>
      <c r="CV77" s="279"/>
      <c r="CW77" s="279"/>
      <c r="CX77" s="279"/>
      <c r="CY77" s="279"/>
      <c r="CZ77" s="279"/>
      <c r="DA77" s="279"/>
      <c r="DB77" s="279"/>
      <c r="DC77" s="279"/>
      <c r="DD77" s="279"/>
      <c r="DE77" s="279"/>
      <c r="DF77" s="279"/>
      <c r="DG77" s="279"/>
      <c r="DH77" s="279"/>
      <c r="DI77" s="279"/>
      <c r="DJ77" s="279"/>
      <c r="DK77" s="279"/>
      <c r="DL77" s="279"/>
      <c r="DM77" s="279"/>
      <c r="DN77" s="279"/>
      <c r="DO77" s="279"/>
      <c r="DP77" s="279"/>
      <c r="DQ77" s="279"/>
      <c r="DR77" s="279"/>
      <c r="DS77" s="279"/>
      <c r="DT77" s="279"/>
      <c r="DU77" s="279"/>
      <c r="DV77" s="279"/>
      <c r="DW77" s="279"/>
      <c r="DX77" s="279"/>
      <c r="DY77" s="279"/>
      <c r="DZ77" s="279"/>
      <c r="EA77" s="279"/>
      <c r="EB77" s="296"/>
    </row>
    <row r="78" spans="1:132" s="297" customFormat="1" ht="12" customHeight="1" x14ac:dyDescent="0.15">
      <c r="A78" s="262">
        <v>123</v>
      </c>
      <c r="B78" s="293" t="s">
        <v>114</v>
      </c>
      <c r="C78" s="262" t="s">
        <v>150</v>
      </c>
      <c r="D78" s="262" t="s">
        <v>49</v>
      </c>
      <c r="E78" s="262" t="s">
        <v>151</v>
      </c>
      <c r="F78" s="262" t="s">
        <v>188</v>
      </c>
      <c r="G78" s="262" t="s">
        <v>191</v>
      </c>
      <c r="H78" s="19">
        <v>360</v>
      </c>
      <c r="I78" s="263">
        <v>6.2930000000000001</v>
      </c>
      <c r="J78" s="263">
        <v>1.7000000000000001E-2</v>
      </c>
      <c r="K78" s="263">
        <v>0.22900000000000001</v>
      </c>
      <c r="L78" s="19">
        <v>64</v>
      </c>
      <c r="M78" s="18">
        <v>42</v>
      </c>
      <c r="N78" s="19">
        <v>56</v>
      </c>
      <c r="O78" s="263">
        <v>0.73499999999999999</v>
      </c>
      <c r="P78" s="263">
        <v>1.2999999999999999E-2</v>
      </c>
      <c r="Q78" s="263">
        <v>0.188</v>
      </c>
      <c r="R78" s="19">
        <v>16.5</v>
      </c>
      <c r="S78" s="18">
        <v>2856</v>
      </c>
      <c r="T78" s="19">
        <v>7.6</v>
      </c>
      <c r="U78" s="19">
        <v>35.9</v>
      </c>
      <c r="V78" s="18">
        <v>7</v>
      </c>
      <c r="W78" s="19">
        <v>8.6</v>
      </c>
      <c r="X78" s="263">
        <v>0.432</v>
      </c>
      <c r="Y78" s="263">
        <v>5.0999999999999997E-2</v>
      </c>
      <c r="Z78" s="263">
        <v>0.21099999999999999</v>
      </c>
      <c r="AA78" s="19">
        <v>1.9</v>
      </c>
      <c r="AB78" s="18">
        <v>413</v>
      </c>
      <c r="AC78" s="19">
        <v>0</v>
      </c>
      <c r="AD78" s="19">
        <v>1.7</v>
      </c>
      <c r="AE78" s="18">
        <v>5</v>
      </c>
      <c r="AF78" s="19">
        <v>8.5</v>
      </c>
      <c r="AG78" s="263">
        <v>0.63700000000000001</v>
      </c>
      <c r="AH78" s="263">
        <v>7.4999999999999997E-2</v>
      </c>
      <c r="AI78" s="19">
        <v>0</v>
      </c>
      <c r="AJ78" s="18">
        <v>6</v>
      </c>
      <c r="AK78" s="19">
        <v>351.5</v>
      </c>
      <c r="AL78" s="263">
        <v>5.6559999999999997</v>
      </c>
      <c r="AM78" s="263">
        <v>1.6E-2</v>
      </c>
      <c r="AN78" s="19">
        <v>64</v>
      </c>
      <c r="AO78" s="309"/>
      <c r="AP78" s="309"/>
      <c r="AQ78" s="309"/>
      <c r="AR78" s="309"/>
      <c r="AS78" s="18"/>
      <c r="AT78" s="18">
        <f>Table1[[#This Row],[Object_A_._head_time]]+Table1[[#This Row],[Object_B_._head_time]]</f>
        <v>64.599999999999994</v>
      </c>
      <c r="AU78" s="18">
        <f>Table1[[#This Row],[Object_B_._head_time]]-Table1[[#This Row],[Object_A_._head_time]]</f>
        <v>-47.4</v>
      </c>
      <c r="AV78" s="19">
        <f>Table1[[#This Row],[D1: Absolute discrimination measure (D1 = B2- A2)]]/Table1[[#This Row],[E2: total exploration time in second trial E2 ( E2 = A2 + B2)]]</f>
        <v>-0.73374613003095979</v>
      </c>
      <c r="AW78" s="309">
        <f>Table1[[#This Row],[Object_B_._head_time]]/Table1[[#This Row],[E2: total exploration time in second trial E2 ( E2 = A2 + B2)]]</f>
        <v>0.13312693498452013</v>
      </c>
      <c r="AX78" s="294"/>
      <c r="AY78" s="262" t="s">
        <v>487</v>
      </c>
      <c r="AZ78" s="262" t="s">
        <v>476</v>
      </c>
      <c r="BA78" s="18" t="s">
        <v>473</v>
      </c>
      <c r="BB78" s="18">
        <v>68</v>
      </c>
      <c r="BC78" s="18">
        <v>2.2666666666666666</v>
      </c>
      <c r="BD78" s="18" t="s">
        <v>477</v>
      </c>
      <c r="BE78" s="295">
        <v>8</v>
      </c>
      <c r="BF78" s="18"/>
      <c r="BG78" s="279"/>
      <c r="BH78" s="279"/>
      <c r="BI78" s="279"/>
      <c r="BJ78" s="279"/>
      <c r="BK78" s="279"/>
      <c r="BL78" s="279"/>
      <c r="BM78" s="279"/>
      <c r="BN78" s="279"/>
      <c r="BO78" s="279"/>
      <c r="BP78" s="279"/>
      <c r="BQ78" s="279"/>
      <c r="BR78" s="279"/>
      <c r="BS78" s="279"/>
      <c r="BT78" s="279"/>
      <c r="BU78" s="279"/>
      <c r="BV78" s="279"/>
      <c r="BW78" s="279"/>
      <c r="BX78" s="279"/>
      <c r="BY78" s="279"/>
      <c r="BZ78" s="279"/>
      <c r="CA78" s="279"/>
      <c r="CB78" s="279"/>
      <c r="CC78" s="279"/>
      <c r="CD78" s="279"/>
      <c r="CE78" s="279"/>
      <c r="CF78" s="279"/>
      <c r="CG78" s="279"/>
      <c r="CH78" s="279"/>
      <c r="CI78" s="279"/>
      <c r="CJ78" s="279"/>
      <c r="CK78" s="279"/>
      <c r="CL78" s="279"/>
      <c r="CM78" s="279"/>
      <c r="CN78" s="279"/>
      <c r="CO78" s="279"/>
      <c r="CP78" s="279"/>
      <c r="CQ78" s="279"/>
      <c r="CR78" s="279"/>
      <c r="CS78" s="279"/>
      <c r="CT78" s="279"/>
      <c r="CU78" s="279"/>
      <c r="CV78" s="279"/>
      <c r="CW78" s="279"/>
      <c r="CX78" s="279"/>
      <c r="CY78" s="279"/>
      <c r="CZ78" s="279"/>
      <c r="DA78" s="279"/>
      <c r="DB78" s="279"/>
      <c r="DC78" s="279"/>
      <c r="DD78" s="279"/>
      <c r="DE78" s="279"/>
      <c r="DF78" s="279"/>
      <c r="DG78" s="279"/>
      <c r="DH78" s="279"/>
      <c r="DI78" s="279"/>
      <c r="DJ78" s="279"/>
      <c r="DK78" s="279"/>
      <c r="DL78" s="279"/>
      <c r="DM78" s="279"/>
      <c r="DN78" s="279"/>
      <c r="DO78" s="279"/>
      <c r="DP78" s="279"/>
      <c r="DQ78" s="279"/>
      <c r="DR78" s="279"/>
      <c r="DS78" s="279"/>
      <c r="DT78" s="279"/>
      <c r="DU78" s="279"/>
      <c r="DV78" s="279"/>
      <c r="DW78" s="279"/>
      <c r="DX78" s="279"/>
      <c r="DY78" s="279"/>
      <c r="DZ78" s="279"/>
      <c r="EA78" s="279"/>
      <c r="EB78" s="296"/>
    </row>
    <row r="79" spans="1:132" s="297" customFormat="1" ht="12" customHeight="1" x14ac:dyDescent="0.15">
      <c r="A79" s="262">
        <v>122</v>
      </c>
      <c r="B79" s="293" t="s">
        <v>116</v>
      </c>
      <c r="C79" s="262" t="s">
        <v>150</v>
      </c>
      <c r="D79" s="262" t="s">
        <v>53</v>
      </c>
      <c r="E79" s="262" t="s">
        <v>151</v>
      </c>
      <c r="F79" s="262" t="s">
        <v>188</v>
      </c>
      <c r="G79" s="262" t="s">
        <v>192</v>
      </c>
      <c r="H79" s="19">
        <v>360</v>
      </c>
      <c r="I79" s="263">
        <v>5.2880000000000003</v>
      </c>
      <c r="J79" s="263">
        <v>1.4999999999999999E-2</v>
      </c>
      <c r="K79" s="263">
        <v>0.17100000000000001</v>
      </c>
      <c r="L79" s="19">
        <v>198.5</v>
      </c>
      <c r="M79" s="18">
        <v>24</v>
      </c>
      <c r="N79" s="19">
        <v>11.1</v>
      </c>
      <c r="O79" s="263">
        <v>0.184</v>
      </c>
      <c r="P79" s="263">
        <v>1.7000000000000001E-2</v>
      </c>
      <c r="Q79" s="263">
        <v>0.16200000000000001</v>
      </c>
      <c r="R79" s="19">
        <v>8.8000000000000007</v>
      </c>
      <c r="S79" s="18">
        <v>573</v>
      </c>
      <c r="T79" s="19">
        <v>3.5</v>
      </c>
      <c r="U79" s="19">
        <v>7.9</v>
      </c>
      <c r="V79" s="18">
        <v>12</v>
      </c>
      <c r="W79" s="19">
        <v>13.4</v>
      </c>
      <c r="X79" s="263">
        <v>0.46899999999999997</v>
      </c>
      <c r="Y79" s="263">
        <v>3.5000000000000003E-2</v>
      </c>
      <c r="Z79" s="263">
        <v>0.158</v>
      </c>
      <c r="AA79" s="19">
        <v>6.4</v>
      </c>
      <c r="AB79" s="18">
        <v>626</v>
      </c>
      <c r="AC79" s="19">
        <v>2.2000000000000002</v>
      </c>
      <c r="AD79" s="19">
        <v>9.3000000000000007</v>
      </c>
      <c r="AE79" s="18">
        <v>2</v>
      </c>
      <c r="AF79" s="19">
        <v>2.9</v>
      </c>
      <c r="AG79" s="263">
        <v>0.34</v>
      </c>
      <c r="AH79" s="263">
        <v>0.11899999999999999</v>
      </c>
      <c r="AI79" s="19">
        <v>0</v>
      </c>
      <c r="AJ79" s="18">
        <v>3</v>
      </c>
      <c r="AK79" s="19">
        <v>357.1</v>
      </c>
      <c r="AL79" s="263">
        <v>4.9480000000000004</v>
      </c>
      <c r="AM79" s="263">
        <v>1.4E-2</v>
      </c>
      <c r="AN79" s="19">
        <v>198.5</v>
      </c>
      <c r="AO79" s="309"/>
      <c r="AP79" s="309"/>
      <c r="AQ79" s="309"/>
      <c r="AR79" s="309"/>
      <c r="AS79" s="18"/>
      <c r="AT79" s="18">
        <f>Table1[[#This Row],[Object_A_._head_time]]+Table1[[#This Row],[Object_B_._head_time]]</f>
        <v>24.5</v>
      </c>
      <c r="AU79" s="18">
        <f>Table1[[#This Row],[Object_B_._head_time]]-Table1[[#This Row],[Object_A_._head_time]]</f>
        <v>2.3000000000000007</v>
      </c>
      <c r="AV79" s="19">
        <f>Table1[[#This Row],[D1: Absolute discrimination measure (D1 = B2- A2)]]/Table1[[#This Row],[E2: total exploration time in second trial E2 ( E2 = A2 + B2)]]</f>
        <v>9.3877551020408193E-2</v>
      </c>
      <c r="AW79" s="309">
        <f>Table1[[#This Row],[Object_B_._head_time]]/Table1[[#This Row],[E2: total exploration time in second trial E2 ( E2 = A2 + B2)]]</f>
        <v>0.54693877551020409</v>
      </c>
      <c r="AX79" s="294"/>
      <c r="AY79" s="262" t="s">
        <v>487</v>
      </c>
      <c r="AZ79" s="262" t="s">
        <v>476</v>
      </c>
      <c r="BA79" s="18" t="s">
        <v>473</v>
      </c>
      <c r="BB79" s="18">
        <v>68</v>
      </c>
      <c r="BC79" s="18">
        <v>2.2666666666666666</v>
      </c>
      <c r="BD79" s="18" t="s">
        <v>474</v>
      </c>
      <c r="BE79" s="295">
        <v>7</v>
      </c>
      <c r="BF79" s="18"/>
      <c r="BG79" s="279"/>
      <c r="BH79" s="279"/>
      <c r="BI79" s="279"/>
      <c r="BJ79" s="279"/>
      <c r="BK79" s="279"/>
      <c r="BL79" s="279"/>
      <c r="BM79" s="279"/>
      <c r="BN79" s="279"/>
      <c r="BO79" s="279"/>
      <c r="BP79" s="279"/>
      <c r="BQ79" s="279"/>
      <c r="BR79" s="279"/>
      <c r="BS79" s="279"/>
      <c r="BT79" s="279"/>
      <c r="BU79" s="279"/>
      <c r="BV79" s="279"/>
      <c r="BW79" s="279"/>
      <c r="BX79" s="279"/>
      <c r="BY79" s="279"/>
      <c r="BZ79" s="279"/>
      <c r="CA79" s="279"/>
      <c r="CB79" s="279"/>
      <c r="CC79" s="279"/>
      <c r="CD79" s="279"/>
      <c r="CE79" s="279"/>
      <c r="CF79" s="279"/>
      <c r="CG79" s="279"/>
      <c r="CH79" s="279"/>
      <c r="CI79" s="279"/>
      <c r="CJ79" s="279"/>
      <c r="CK79" s="279"/>
      <c r="CL79" s="279"/>
      <c r="CM79" s="279"/>
      <c r="CN79" s="279"/>
      <c r="CO79" s="279"/>
      <c r="CP79" s="279"/>
      <c r="CQ79" s="279"/>
      <c r="CR79" s="279"/>
      <c r="CS79" s="279"/>
      <c r="CT79" s="279"/>
      <c r="CU79" s="279"/>
      <c r="CV79" s="279"/>
      <c r="CW79" s="279"/>
      <c r="CX79" s="279"/>
      <c r="CY79" s="279"/>
      <c r="CZ79" s="279"/>
      <c r="DA79" s="279"/>
      <c r="DB79" s="279"/>
      <c r="DC79" s="279"/>
      <c r="DD79" s="279"/>
      <c r="DE79" s="279"/>
      <c r="DF79" s="279"/>
      <c r="DG79" s="279"/>
      <c r="DH79" s="279"/>
      <c r="DI79" s="279"/>
      <c r="DJ79" s="279"/>
      <c r="DK79" s="279"/>
      <c r="DL79" s="279"/>
      <c r="DM79" s="279"/>
      <c r="DN79" s="279"/>
      <c r="DO79" s="279"/>
      <c r="DP79" s="279"/>
      <c r="DQ79" s="279"/>
      <c r="DR79" s="279"/>
      <c r="DS79" s="279"/>
      <c r="DT79" s="279"/>
      <c r="DU79" s="279"/>
      <c r="DV79" s="279"/>
      <c r="DW79" s="279"/>
      <c r="DX79" s="279"/>
      <c r="DY79" s="279"/>
      <c r="DZ79" s="279"/>
      <c r="EA79" s="279"/>
      <c r="EB79" s="296"/>
    </row>
    <row r="80" spans="1:132" s="297" customFormat="1" ht="12" customHeight="1" x14ac:dyDescent="0.15">
      <c r="A80" s="262">
        <v>125</v>
      </c>
      <c r="B80" s="293" t="s">
        <v>118</v>
      </c>
      <c r="C80" s="262" t="s">
        <v>150</v>
      </c>
      <c r="D80" s="262" t="s">
        <v>41</v>
      </c>
      <c r="E80" s="262" t="s">
        <v>151</v>
      </c>
      <c r="F80" s="262" t="s">
        <v>193</v>
      </c>
      <c r="G80" s="262" t="s">
        <v>194</v>
      </c>
      <c r="H80" s="19">
        <v>360</v>
      </c>
      <c r="I80" s="263">
        <v>4.1310000000000002</v>
      </c>
      <c r="J80" s="263">
        <v>1.0999999999999999E-2</v>
      </c>
      <c r="K80" s="263">
        <v>0.216</v>
      </c>
      <c r="L80" s="19">
        <v>230</v>
      </c>
      <c r="M80" s="18">
        <v>0</v>
      </c>
      <c r="N80" s="19">
        <v>0</v>
      </c>
      <c r="O80" s="263">
        <v>0</v>
      </c>
      <c r="P80" s="263" t="s">
        <v>51</v>
      </c>
      <c r="Q80" s="263" t="s">
        <v>51</v>
      </c>
      <c r="R80" s="19">
        <v>0</v>
      </c>
      <c r="S80" s="18">
        <v>0</v>
      </c>
      <c r="T80" s="19">
        <v>0</v>
      </c>
      <c r="U80" s="19" t="s">
        <v>51</v>
      </c>
      <c r="V80" s="18">
        <v>19</v>
      </c>
      <c r="W80" s="19">
        <v>14.4</v>
      </c>
      <c r="X80" s="263">
        <v>0.17699999999999999</v>
      </c>
      <c r="Y80" s="263">
        <v>1.2E-2</v>
      </c>
      <c r="Z80" s="263">
        <v>0.108</v>
      </c>
      <c r="AA80" s="19">
        <v>12.7</v>
      </c>
      <c r="AB80" s="18">
        <v>724</v>
      </c>
      <c r="AC80" s="19">
        <v>7.8</v>
      </c>
      <c r="AD80" s="19">
        <v>12.2</v>
      </c>
      <c r="AE80" s="18">
        <v>1</v>
      </c>
      <c r="AF80" s="19">
        <v>3.3</v>
      </c>
      <c r="AG80" s="263">
        <v>0.153</v>
      </c>
      <c r="AH80" s="263">
        <v>4.5999999999999999E-2</v>
      </c>
      <c r="AI80" s="19">
        <v>0</v>
      </c>
      <c r="AJ80" s="18">
        <v>2</v>
      </c>
      <c r="AK80" s="19">
        <v>356.7</v>
      </c>
      <c r="AL80" s="263">
        <v>3.9769999999999999</v>
      </c>
      <c r="AM80" s="263">
        <v>1.0999999999999999E-2</v>
      </c>
      <c r="AN80" s="19">
        <v>230</v>
      </c>
      <c r="AO80" s="309"/>
      <c r="AP80" s="309"/>
      <c r="AQ80" s="309"/>
      <c r="AR80" s="309"/>
      <c r="AS80" s="18"/>
      <c r="AT80" s="18">
        <f>Table1[[#This Row],[Object_A_._head_time]]+Table1[[#This Row],[Object_B_._head_time]]</f>
        <v>14.4</v>
      </c>
      <c r="AU80" s="18">
        <f>Table1[[#This Row],[Object_B_._head_time]]-Table1[[#This Row],[Object_A_._head_time]]</f>
        <v>14.4</v>
      </c>
      <c r="AV80" s="19">
        <f>Table1[[#This Row],[D1: Absolute discrimination measure (D1 = B2- A2)]]/Table1[[#This Row],[E2: total exploration time in second trial E2 ( E2 = A2 + B2)]]</f>
        <v>1</v>
      </c>
      <c r="AW80" s="309">
        <f>Table1[[#This Row],[Object_B_._head_time]]/Table1[[#This Row],[E2: total exploration time in second trial E2 ( E2 = A2 + B2)]]</f>
        <v>1</v>
      </c>
      <c r="AX80" s="294"/>
      <c r="AY80" s="262" t="s">
        <v>487</v>
      </c>
      <c r="AZ80" s="262" t="s">
        <v>476</v>
      </c>
      <c r="BA80" s="18" t="s">
        <v>475</v>
      </c>
      <c r="BB80" s="18">
        <v>68</v>
      </c>
      <c r="BC80" s="18">
        <v>2.2666666666666666</v>
      </c>
      <c r="BD80" s="18" t="s">
        <v>474</v>
      </c>
      <c r="BE80" s="295">
        <v>5</v>
      </c>
      <c r="BF80" s="18" t="s">
        <v>465</v>
      </c>
      <c r="BG80" s="279"/>
      <c r="BH80" s="279"/>
      <c r="BI80" s="279"/>
      <c r="BJ80" s="279"/>
      <c r="BK80" s="279"/>
      <c r="BL80" s="279"/>
      <c r="BM80" s="279"/>
      <c r="BN80" s="279"/>
      <c r="BO80" s="279"/>
      <c r="BP80" s="279"/>
      <c r="BQ80" s="279"/>
      <c r="BR80" s="279"/>
      <c r="BS80" s="279"/>
      <c r="BT80" s="279"/>
      <c r="BU80" s="279"/>
      <c r="BV80" s="279"/>
      <c r="BW80" s="279"/>
      <c r="BX80" s="279"/>
      <c r="BY80" s="279"/>
      <c r="BZ80" s="279"/>
      <c r="CA80" s="279"/>
      <c r="CB80" s="279"/>
      <c r="CC80" s="279"/>
      <c r="CD80" s="279"/>
      <c r="CE80" s="279"/>
      <c r="CF80" s="279"/>
      <c r="CG80" s="279"/>
      <c r="CH80" s="279"/>
      <c r="CI80" s="279"/>
      <c r="CJ80" s="279"/>
      <c r="CK80" s="279"/>
      <c r="CL80" s="279"/>
      <c r="CM80" s="279"/>
      <c r="CN80" s="279"/>
      <c r="CO80" s="279"/>
      <c r="CP80" s="279"/>
      <c r="CQ80" s="279"/>
      <c r="CR80" s="279"/>
      <c r="CS80" s="279"/>
      <c r="CT80" s="279"/>
      <c r="CU80" s="279"/>
      <c r="CV80" s="279"/>
      <c r="CW80" s="279"/>
      <c r="CX80" s="279"/>
      <c r="CY80" s="279"/>
      <c r="CZ80" s="279"/>
      <c r="DA80" s="279"/>
      <c r="DB80" s="279"/>
      <c r="DC80" s="279"/>
      <c r="DD80" s="279"/>
      <c r="DE80" s="279"/>
      <c r="DF80" s="279"/>
      <c r="DG80" s="279"/>
      <c r="DH80" s="279"/>
      <c r="DI80" s="279"/>
      <c r="DJ80" s="279"/>
      <c r="DK80" s="279"/>
      <c r="DL80" s="279"/>
      <c r="DM80" s="279"/>
      <c r="DN80" s="279"/>
      <c r="DO80" s="279"/>
      <c r="DP80" s="279"/>
      <c r="DQ80" s="279"/>
      <c r="DR80" s="279"/>
      <c r="DS80" s="279"/>
      <c r="DT80" s="279"/>
      <c r="DU80" s="279"/>
      <c r="DV80" s="279"/>
      <c r="DW80" s="279"/>
      <c r="DX80" s="279"/>
      <c r="DY80" s="279"/>
      <c r="DZ80" s="279"/>
      <c r="EA80" s="279"/>
      <c r="EB80" s="296"/>
    </row>
    <row r="81" spans="1:132" s="297" customFormat="1" ht="12" customHeight="1" x14ac:dyDescent="0.15">
      <c r="A81" s="262">
        <v>126</v>
      </c>
      <c r="B81" s="293" t="s">
        <v>121</v>
      </c>
      <c r="C81" s="262" t="s">
        <v>150</v>
      </c>
      <c r="D81" s="262" t="s">
        <v>46</v>
      </c>
      <c r="E81" s="262" t="s">
        <v>151</v>
      </c>
      <c r="F81" s="262" t="s">
        <v>193</v>
      </c>
      <c r="G81" s="262" t="s">
        <v>195</v>
      </c>
      <c r="H81" s="19">
        <v>360</v>
      </c>
      <c r="I81" s="263">
        <v>4.5960000000000001</v>
      </c>
      <c r="J81" s="263">
        <v>1.2999999999999999E-2</v>
      </c>
      <c r="K81" s="263">
        <v>0.24099999999999999</v>
      </c>
      <c r="L81" s="19">
        <v>115.4</v>
      </c>
      <c r="M81" s="18">
        <v>15</v>
      </c>
      <c r="N81" s="19">
        <v>41.4</v>
      </c>
      <c r="O81" s="263">
        <v>0.67900000000000005</v>
      </c>
      <c r="P81" s="263">
        <v>1.6E-2</v>
      </c>
      <c r="Q81" s="263">
        <v>0.151</v>
      </c>
      <c r="R81" s="19">
        <v>24.7</v>
      </c>
      <c r="S81" s="18">
        <v>2152</v>
      </c>
      <c r="T81" s="19">
        <v>14.2</v>
      </c>
      <c r="U81" s="19">
        <v>31.8</v>
      </c>
      <c r="V81" s="18">
        <v>3</v>
      </c>
      <c r="W81" s="19">
        <v>4.7</v>
      </c>
      <c r="X81" s="263">
        <v>0.20599999999999999</v>
      </c>
      <c r="Y81" s="263">
        <v>4.3999999999999997E-2</v>
      </c>
      <c r="Z81" s="263">
        <v>0.19500000000000001</v>
      </c>
      <c r="AA81" s="19">
        <v>1.7</v>
      </c>
      <c r="AB81" s="18">
        <v>368</v>
      </c>
      <c r="AC81" s="19">
        <v>0</v>
      </c>
      <c r="AD81" s="19">
        <v>2.2999999999999998</v>
      </c>
      <c r="AE81" s="18">
        <v>2</v>
      </c>
      <c r="AF81" s="19">
        <v>4.3</v>
      </c>
      <c r="AG81" s="263">
        <v>0.46100000000000002</v>
      </c>
      <c r="AH81" s="263">
        <v>0.107</v>
      </c>
      <c r="AI81" s="19">
        <v>0</v>
      </c>
      <c r="AJ81" s="18">
        <v>3</v>
      </c>
      <c r="AK81" s="19">
        <v>355.7</v>
      </c>
      <c r="AL81" s="263">
        <v>4.1349999999999998</v>
      </c>
      <c r="AM81" s="263">
        <v>1.2E-2</v>
      </c>
      <c r="AN81" s="19">
        <v>115.4</v>
      </c>
      <c r="AO81" s="309"/>
      <c r="AP81" s="309"/>
      <c r="AQ81" s="309"/>
      <c r="AR81" s="309"/>
      <c r="AS81" s="18"/>
      <c r="AT81" s="18">
        <f>Table1[[#This Row],[Object_A_._head_time]]+Table1[[#This Row],[Object_B_._head_time]]</f>
        <v>46.1</v>
      </c>
      <c r="AU81" s="18">
        <f>Table1[[#This Row],[Object_B_._head_time]]-Table1[[#This Row],[Object_A_._head_time]]</f>
        <v>-36.699999999999996</v>
      </c>
      <c r="AV81" s="19">
        <f>Table1[[#This Row],[D1: Absolute discrimination measure (D1 = B2- A2)]]/Table1[[#This Row],[E2: total exploration time in second trial E2 ( E2 = A2 + B2)]]</f>
        <v>-0.79609544468546622</v>
      </c>
      <c r="AW81" s="309">
        <f>Table1[[#This Row],[Object_B_._head_time]]/Table1[[#This Row],[E2: total exploration time in second trial E2 ( E2 = A2 + B2)]]</f>
        <v>0.10195227765726682</v>
      </c>
      <c r="AX81" s="294"/>
      <c r="AY81" s="262" t="s">
        <v>486</v>
      </c>
      <c r="AZ81" s="262" t="s">
        <v>472</v>
      </c>
      <c r="BA81" s="18" t="s">
        <v>475</v>
      </c>
      <c r="BB81" s="18">
        <v>61</v>
      </c>
      <c r="BC81" s="18">
        <v>2.0333333333333332</v>
      </c>
      <c r="BD81" s="18" t="s">
        <v>474</v>
      </c>
      <c r="BE81" s="295">
        <v>1</v>
      </c>
      <c r="BF81" s="18" t="s">
        <v>466</v>
      </c>
      <c r="BG81" s="279"/>
      <c r="BH81" s="279"/>
      <c r="BI81" s="279"/>
      <c r="BJ81" s="279"/>
      <c r="BK81" s="279"/>
      <c r="BL81" s="279"/>
      <c r="BM81" s="279"/>
      <c r="BN81" s="279"/>
      <c r="BO81" s="279"/>
      <c r="BP81" s="279"/>
      <c r="BQ81" s="279"/>
      <c r="BR81" s="279"/>
      <c r="BS81" s="279"/>
      <c r="BT81" s="279"/>
      <c r="BU81" s="279"/>
      <c r="BV81" s="279"/>
      <c r="BW81" s="279"/>
      <c r="BX81" s="279"/>
      <c r="BY81" s="279"/>
      <c r="BZ81" s="279"/>
      <c r="CA81" s="279"/>
      <c r="CB81" s="279"/>
      <c r="CC81" s="279"/>
      <c r="CD81" s="279"/>
      <c r="CE81" s="279"/>
      <c r="CF81" s="279"/>
      <c r="CG81" s="279"/>
      <c r="CH81" s="279"/>
      <c r="CI81" s="279"/>
      <c r="CJ81" s="279"/>
      <c r="CK81" s="279"/>
      <c r="CL81" s="279"/>
      <c r="CM81" s="279"/>
      <c r="CN81" s="279"/>
      <c r="CO81" s="279"/>
      <c r="CP81" s="279"/>
      <c r="CQ81" s="279"/>
      <c r="CR81" s="279"/>
      <c r="CS81" s="279"/>
      <c r="CT81" s="279"/>
      <c r="CU81" s="279"/>
      <c r="CV81" s="279"/>
      <c r="CW81" s="279"/>
      <c r="CX81" s="279"/>
      <c r="CY81" s="279"/>
      <c r="CZ81" s="279"/>
      <c r="DA81" s="279"/>
      <c r="DB81" s="279"/>
      <c r="DC81" s="279"/>
      <c r="DD81" s="279"/>
      <c r="DE81" s="279"/>
      <c r="DF81" s="279"/>
      <c r="DG81" s="279"/>
      <c r="DH81" s="279"/>
      <c r="DI81" s="279"/>
      <c r="DJ81" s="279"/>
      <c r="DK81" s="279"/>
      <c r="DL81" s="279"/>
      <c r="DM81" s="279"/>
      <c r="DN81" s="279"/>
      <c r="DO81" s="279"/>
      <c r="DP81" s="279"/>
      <c r="DQ81" s="279"/>
      <c r="DR81" s="279"/>
      <c r="DS81" s="279"/>
      <c r="DT81" s="279"/>
      <c r="DU81" s="279"/>
      <c r="DV81" s="279"/>
      <c r="DW81" s="279"/>
      <c r="DX81" s="279"/>
      <c r="DY81" s="279"/>
      <c r="DZ81" s="279"/>
      <c r="EA81" s="279"/>
      <c r="EB81" s="296"/>
    </row>
    <row r="82" spans="1:132" s="297" customFormat="1" ht="12" customHeight="1" x14ac:dyDescent="0.15">
      <c r="A82" s="262">
        <v>127</v>
      </c>
      <c r="B82" s="293" t="s">
        <v>123</v>
      </c>
      <c r="C82" s="262" t="s">
        <v>150</v>
      </c>
      <c r="D82" s="262" t="s">
        <v>49</v>
      </c>
      <c r="E82" s="262" t="s">
        <v>151</v>
      </c>
      <c r="F82" s="262" t="s">
        <v>193</v>
      </c>
      <c r="G82" s="262" t="s">
        <v>196</v>
      </c>
      <c r="H82" s="19">
        <v>360</v>
      </c>
      <c r="I82" s="263">
        <v>72.575999999999993</v>
      </c>
      <c r="J82" s="263">
        <v>0.20200000000000001</v>
      </c>
      <c r="K82" s="263">
        <v>0.43</v>
      </c>
      <c r="L82" s="19">
        <v>1.7</v>
      </c>
      <c r="M82" s="18">
        <v>89</v>
      </c>
      <c r="N82" s="19">
        <v>40</v>
      </c>
      <c r="O82" s="263">
        <v>8.16</v>
      </c>
      <c r="P82" s="263">
        <v>0.20399999999999999</v>
      </c>
      <c r="Q82" s="263">
        <v>0.42799999999999999</v>
      </c>
      <c r="R82" s="19">
        <v>9.4</v>
      </c>
      <c r="S82" s="18">
        <v>7554</v>
      </c>
      <c r="T82" s="19">
        <v>0</v>
      </c>
      <c r="U82" s="19">
        <v>7.1</v>
      </c>
      <c r="V82" s="18">
        <v>103</v>
      </c>
      <c r="W82" s="19">
        <v>48.6</v>
      </c>
      <c r="X82" s="263">
        <v>9.41</v>
      </c>
      <c r="Y82" s="263">
        <v>0.19400000000000001</v>
      </c>
      <c r="Z82" s="263">
        <v>0.41899999999999998</v>
      </c>
      <c r="AA82" s="19">
        <v>12.9</v>
      </c>
      <c r="AB82" s="18">
        <v>8871</v>
      </c>
      <c r="AC82" s="19">
        <v>0</v>
      </c>
      <c r="AD82" s="19">
        <v>11.2</v>
      </c>
      <c r="AE82" s="18">
        <v>112</v>
      </c>
      <c r="AF82" s="19">
        <v>50.5</v>
      </c>
      <c r="AG82" s="263">
        <v>14.54</v>
      </c>
      <c r="AH82" s="263">
        <v>0.28799999999999998</v>
      </c>
      <c r="AI82" s="19">
        <v>0</v>
      </c>
      <c r="AJ82" s="18">
        <v>112</v>
      </c>
      <c r="AK82" s="19">
        <v>309.5</v>
      </c>
      <c r="AL82" s="263">
        <v>58.036000000000001</v>
      </c>
      <c r="AM82" s="263">
        <v>0.188</v>
      </c>
      <c r="AN82" s="19">
        <v>1.7</v>
      </c>
      <c r="AO82" s="309"/>
      <c r="AP82" s="309"/>
      <c r="AQ82" s="309"/>
      <c r="AR82" s="309"/>
      <c r="AS82" s="18"/>
      <c r="AT82" s="18">
        <f>Table1[[#This Row],[Object_A_._head_time]]+Table1[[#This Row],[Object_B_._head_time]]</f>
        <v>88.6</v>
      </c>
      <c r="AU82" s="18">
        <f>Table1[[#This Row],[Object_B_._head_time]]-Table1[[#This Row],[Object_A_._head_time]]</f>
        <v>8.6000000000000014</v>
      </c>
      <c r="AV82" s="19">
        <f>Table1[[#This Row],[D1: Absolute discrimination measure (D1 = B2- A2)]]/Table1[[#This Row],[E2: total exploration time in second trial E2 ( E2 = A2 + B2)]]</f>
        <v>9.7065462753950366E-2</v>
      </c>
      <c r="AW82" s="309">
        <f>Table1[[#This Row],[Object_B_._head_time]]/Table1[[#This Row],[E2: total exploration time in second trial E2 ( E2 = A2 + B2)]]</f>
        <v>0.54853273137697522</v>
      </c>
      <c r="AX82" s="294"/>
      <c r="AY82" s="262" t="s">
        <v>486</v>
      </c>
      <c r="AZ82" s="262" t="s">
        <v>472</v>
      </c>
      <c r="BA82" s="18" t="s">
        <v>473</v>
      </c>
      <c r="BB82" s="18">
        <v>61</v>
      </c>
      <c r="BC82" s="18">
        <v>2.0333333333333332</v>
      </c>
      <c r="BD82" s="18" t="s">
        <v>477</v>
      </c>
      <c r="BE82" s="295">
        <v>4</v>
      </c>
      <c r="BF82" s="18" t="s">
        <v>467</v>
      </c>
      <c r="BG82" s="279"/>
      <c r="BH82" s="279"/>
      <c r="BI82" s="279"/>
      <c r="BJ82" s="279"/>
      <c r="BK82" s="279"/>
      <c r="BL82" s="279"/>
      <c r="BM82" s="279"/>
      <c r="BN82" s="279"/>
      <c r="BO82" s="279"/>
      <c r="BP82" s="279"/>
      <c r="BQ82" s="279"/>
      <c r="BR82" s="279"/>
      <c r="BS82" s="279"/>
      <c r="BT82" s="279"/>
      <c r="BU82" s="279"/>
      <c r="BV82" s="279"/>
      <c r="BW82" s="279"/>
      <c r="BX82" s="279"/>
      <c r="BY82" s="279"/>
      <c r="BZ82" s="279"/>
      <c r="CA82" s="279"/>
      <c r="CB82" s="279"/>
      <c r="CC82" s="279"/>
      <c r="CD82" s="279"/>
      <c r="CE82" s="279"/>
      <c r="CF82" s="279"/>
      <c r="CG82" s="279"/>
      <c r="CH82" s="279"/>
      <c r="CI82" s="279"/>
      <c r="CJ82" s="279"/>
      <c r="CK82" s="279"/>
      <c r="CL82" s="279"/>
      <c r="CM82" s="279"/>
      <c r="CN82" s="279"/>
      <c r="CO82" s="279"/>
      <c r="CP82" s="279"/>
      <c r="CQ82" s="279"/>
      <c r="CR82" s="279"/>
      <c r="CS82" s="279"/>
      <c r="CT82" s="279"/>
      <c r="CU82" s="279"/>
      <c r="CV82" s="279"/>
      <c r="CW82" s="279"/>
      <c r="CX82" s="279"/>
      <c r="CY82" s="279"/>
      <c r="CZ82" s="279"/>
      <c r="DA82" s="279"/>
      <c r="DB82" s="279"/>
      <c r="DC82" s="279"/>
      <c r="DD82" s="279"/>
      <c r="DE82" s="279"/>
      <c r="DF82" s="279"/>
      <c r="DG82" s="279"/>
      <c r="DH82" s="279"/>
      <c r="DI82" s="279"/>
      <c r="DJ82" s="279"/>
      <c r="DK82" s="279"/>
      <c r="DL82" s="279"/>
      <c r="DM82" s="279"/>
      <c r="DN82" s="279"/>
      <c r="DO82" s="279"/>
      <c r="DP82" s="279"/>
      <c r="DQ82" s="279"/>
      <c r="DR82" s="279"/>
      <c r="DS82" s="279"/>
      <c r="DT82" s="279"/>
      <c r="DU82" s="279"/>
      <c r="DV82" s="279"/>
      <c r="DW82" s="279"/>
      <c r="DX82" s="279"/>
      <c r="DY82" s="279"/>
      <c r="DZ82" s="279"/>
      <c r="EA82" s="279"/>
      <c r="EB82" s="296"/>
    </row>
    <row r="83" spans="1:132" s="297" customFormat="1" ht="12" customHeight="1" x14ac:dyDescent="0.15">
      <c r="A83" s="262">
        <v>128</v>
      </c>
      <c r="B83" s="293" t="s">
        <v>125</v>
      </c>
      <c r="C83" s="262" t="s">
        <v>150</v>
      </c>
      <c r="D83" s="262" t="s">
        <v>53</v>
      </c>
      <c r="E83" s="262" t="s">
        <v>151</v>
      </c>
      <c r="F83" s="262" t="s">
        <v>193</v>
      </c>
      <c r="G83" s="262" t="s">
        <v>197</v>
      </c>
      <c r="H83" s="19">
        <v>360</v>
      </c>
      <c r="I83" s="263">
        <v>12.092000000000001</v>
      </c>
      <c r="J83" s="263">
        <v>3.4000000000000002E-2</v>
      </c>
      <c r="K83" s="263">
        <v>0.35399999999999998</v>
      </c>
      <c r="L83" s="19">
        <v>111.1</v>
      </c>
      <c r="M83" s="18">
        <v>41</v>
      </c>
      <c r="N83" s="19">
        <v>97</v>
      </c>
      <c r="O83" s="263">
        <v>1.22</v>
      </c>
      <c r="P83" s="263">
        <v>1.2999999999999999E-2</v>
      </c>
      <c r="Q83" s="263">
        <v>0.29399999999999998</v>
      </c>
      <c r="R83" s="19">
        <v>57.8</v>
      </c>
      <c r="S83" s="18">
        <v>5060</v>
      </c>
      <c r="T83" s="19">
        <v>36.700000000000003</v>
      </c>
      <c r="U83" s="19">
        <v>77.2</v>
      </c>
      <c r="V83" s="18">
        <v>14</v>
      </c>
      <c r="W83" s="19">
        <v>14</v>
      </c>
      <c r="X83" s="263">
        <v>1.3169999999999999</v>
      </c>
      <c r="Y83" s="263">
        <v>9.4E-2</v>
      </c>
      <c r="Z83" s="263">
        <v>0.249</v>
      </c>
      <c r="AA83" s="19">
        <v>4.7</v>
      </c>
      <c r="AB83" s="18">
        <v>1357</v>
      </c>
      <c r="AC83" s="19">
        <v>0</v>
      </c>
      <c r="AD83" s="19">
        <v>3.9</v>
      </c>
      <c r="AE83" s="18">
        <v>6</v>
      </c>
      <c r="AF83" s="19">
        <v>4.5</v>
      </c>
      <c r="AG83" s="263">
        <v>0.99099999999999999</v>
      </c>
      <c r="AH83" s="263">
        <v>0.219</v>
      </c>
      <c r="AI83" s="19">
        <v>0</v>
      </c>
      <c r="AJ83" s="18">
        <v>7</v>
      </c>
      <c r="AK83" s="19">
        <v>355.5</v>
      </c>
      <c r="AL83" s="263">
        <v>11.1</v>
      </c>
      <c r="AM83" s="263">
        <v>3.1E-2</v>
      </c>
      <c r="AN83" s="19">
        <v>111.1</v>
      </c>
      <c r="AO83" s="309"/>
      <c r="AP83" s="309"/>
      <c r="AQ83" s="309"/>
      <c r="AR83" s="309"/>
      <c r="AS83" s="18"/>
      <c r="AT83" s="18">
        <f>Table1[[#This Row],[Object_A_._head_time]]+Table1[[#This Row],[Object_B_._head_time]]</f>
        <v>111</v>
      </c>
      <c r="AU83" s="18">
        <f>Table1[[#This Row],[Object_B_._head_time]]-Table1[[#This Row],[Object_A_._head_time]]</f>
        <v>-83</v>
      </c>
      <c r="AV83" s="19">
        <f>Table1[[#This Row],[D1: Absolute discrimination measure (D1 = B2- A2)]]/Table1[[#This Row],[E2: total exploration time in second trial E2 ( E2 = A2 + B2)]]</f>
        <v>-0.74774774774774777</v>
      </c>
      <c r="AW83" s="309">
        <f>Table1[[#This Row],[Object_B_._head_time]]/Table1[[#This Row],[E2: total exploration time in second trial E2 ( E2 = A2 + B2)]]</f>
        <v>0.12612612612612611</v>
      </c>
      <c r="AX83" s="294"/>
      <c r="AY83" s="262" t="s">
        <v>486</v>
      </c>
      <c r="AZ83" s="262" t="s">
        <v>472</v>
      </c>
      <c r="BA83" s="18" t="s">
        <v>475</v>
      </c>
      <c r="BB83" s="18">
        <v>61</v>
      </c>
      <c r="BC83" s="18">
        <v>2.0333333333333332</v>
      </c>
      <c r="BD83" s="18" t="s">
        <v>477</v>
      </c>
      <c r="BE83" s="295">
        <v>2</v>
      </c>
      <c r="BF83" s="18" t="s">
        <v>466</v>
      </c>
      <c r="BG83" s="279"/>
      <c r="BH83" s="279"/>
      <c r="BI83" s="279"/>
      <c r="BJ83" s="279"/>
      <c r="BK83" s="279"/>
      <c r="BL83" s="279"/>
      <c r="BM83" s="279"/>
      <c r="BN83" s="279"/>
      <c r="BO83" s="279"/>
      <c r="BP83" s="279"/>
      <c r="BQ83" s="279"/>
      <c r="BR83" s="279"/>
      <c r="BS83" s="279"/>
      <c r="BT83" s="279"/>
      <c r="BU83" s="279"/>
      <c r="BV83" s="279"/>
      <c r="BW83" s="279"/>
      <c r="BX83" s="279"/>
      <c r="BY83" s="279"/>
      <c r="BZ83" s="279"/>
      <c r="CA83" s="279"/>
      <c r="CB83" s="279"/>
      <c r="CC83" s="279"/>
      <c r="CD83" s="279"/>
      <c r="CE83" s="279"/>
      <c r="CF83" s="279"/>
      <c r="CG83" s="279"/>
      <c r="CH83" s="279"/>
      <c r="CI83" s="279"/>
      <c r="CJ83" s="279"/>
      <c r="CK83" s="279"/>
      <c r="CL83" s="279"/>
      <c r="CM83" s="279"/>
      <c r="CN83" s="279"/>
      <c r="CO83" s="279"/>
      <c r="CP83" s="279"/>
      <c r="CQ83" s="279"/>
      <c r="CR83" s="279"/>
      <c r="CS83" s="279"/>
      <c r="CT83" s="279"/>
      <c r="CU83" s="279"/>
      <c r="CV83" s="279"/>
      <c r="CW83" s="279"/>
      <c r="CX83" s="279"/>
      <c r="CY83" s="279"/>
      <c r="CZ83" s="279"/>
      <c r="DA83" s="279"/>
      <c r="DB83" s="279"/>
      <c r="DC83" s="279"/>
      <c r="DD83" s="279"/>
      <c r="DE83" s="279"/>
      <c r="DF83" s="279"/>
      <c r="DG83" s="279"/>
      <c r="DH83" s="279"/>
      <c r="DI83" s="279"/>
      <c r="DJ83" s="279"/>
      <c r="DK83" s="279"/>
      <c r="DL83" s="279"/>
      <c r="DM83" s="279"/>
      <c r="DN83" s="279"/>
      <c r="DO83" s="279"/>
      <c r="DP83" s="279"/>
      <c r="DQ83" s="279"/>
      <c r="DR83" s="279"/>
      <c r="DS83" s="279"/>
      <c r="DT83" s="279"/>
      <c r="DU83" s="279"/>
      <c r="DV83" s="279"/>
      <c r="DW83" s="279"/>
      <c r="DX83" s="279"/>
      <c r="DY83" s="279"/>
      <c r="DZ83" s="279"/>
      <c r="EA83" s="279"/>
      <c r="EB83" s="296"/>
    </row>
    <row r="84" spans="1:132" s="297" customFormat="1" ht="12" customHeight="1" x14ac:dyDescent="0.15">
      <c r="A84" s="262">
        <v>129</v>
      </c>
      <c r="B84" s="293" t="s">
        <v>127</v>
      </c>
      <c r="C84" s="262" t="s">
        <v>150</v>
      </c>
      <c r="D84" s="262" t="s">
        <v>41</v>
      </c>
      <c r="E84" s="262" t="s">
        <v>151</v>
      </c>
      <c r="F84" s="262" t="s">
        <v>198</v>
      </c>
      <c r="G84" s="262" t="s">
        <v>199</v>
      </c>
      <c r="H84" s="19">
        <v>360</v>
      </c>
      <c r="I84" s="263">
        <v>12.173999999999999</v>
      </c>
      <c r="J84" s="263">
        <v>3.4000000000000002E-2</v>
      </c>
      <c r="K84" s="263">
        <v>0.28399999999999997</v>
      </c>
      <c r="L84" s="19">
        <v>78.5</v>
      </c>
      <c r="M84" s="18">
        <v>12</v>
      </c>
      <c r="N84" s="19">
        <v>5.6</v>
      </c>
      <c r="O84" s="263">
        <v>0.187</v>
      </c>
      <c r="P84" s="263">
        <v>3.3000000000000002E-2</v>
      </c>
      <c r="Q84" s="263">
        <v>0.161</v>
      </c>
      <c r="R84" s="19">
        <v>3.2</v>
      </c>
      <c r="S84" s="18">
        <v>380</v>
      </c>
      <c r="T84" s="19">
        <v>0.5</v>
      </c>
      <c r="U84" s="19">
        <v>4.8</v>
      </c>
      <c r="V84" s="18">
        <v>12</v>
      </c>
      <c r="W84" s="19">
        <v>9.8000000000000007</v>
      </c>
      <c r="X84" s="263">
        <v>0.376</v>
      </c>
      <c r="Y84" s="263">
        <v>3.7999999999999999E-2</v>
      </c>
      <c r="Z84" s="263">
        <v>0.17599999999999999</v>
      </c>
      <c r="AA84" s="19">
        <v>5.5</v>
      </c>
      <c r="AB84" s="18">
        <v>680</v>
      </c>
      <c r="AC84" s="19">
        <v>0</v>
      </c>
      <c r="AD84" s="19">
        <v>8.5</v>
      </c>
      <c r="AE84" s="18">
        <v>3</v>
      </c>
      <c r="AF84" s="19">
        <v>6.9</v>
      </c>
      <c r="AG84" s="263">
        <v>0.53300000000000003</v>
      </c>
      <c r="AH84" s="263">
        <v>7.6999999999999999E-2</v>
      </c>
      <c r="AI84" s="19">
        <v>0</v>
      </c>
      <c r="AJ84" s="18">
        <v>3</v>
      </c>
      <c r="AK84" s="19">
        <v>353.1</v>
      </c>
      <c r="AL84" s="263">
        <v>11.641</v>
      </c>
      <c r="AM84" s="263">
        <v>3.3000000000000002E-2</v>
      </c>
      <c r="AN84" s="19">
        <v>78.5</v>
      </c>
      <c r="AO84" s="309"/>
      <c r="AP84" s="309"/>
      <c r="AQ84" s="309"/>
      <c r="AR84" s="309"/>
      <c r="AS84" s="18"/>
      <c r="AT84" s="18">
        <f>Table1[[#This Row],[Object_A_._head_time]]+Table1[[#This Row],[Object_B_._head_time]]</f>
        <v>15.4</v>
      </c>
      <c r="AU84" s="18">
        <f>Table1[[#This Row],[Object_B_._head_time]]-Table1[[#This Row],[Object_A_._head_time]]</f>
        <v>4.2000000000000011</v>
      </c>
      <c r="AV84" s="19">
        <f>Table1[[#This Row],[D1: Absolute discrimination measure (D1 = B2- A2)]]/Table1[[#This Row],[E2: total exploration time in second trial E2 ( E2 = A2 + B2)]]</f>
        <v>0.27272727272727276</v>
      </c>
      <c r="AW84" s="309">
        <f>Table1[[#This Row],[Object_B_._head_time]]/Table1[[#This Row],[E2: total exploration time in second trial E2 ( E2 = A2 + B2)]]</f>
        <v>0.63636363636363635</v>
      </c>
      <c r="AX84" s="294"/>
      <c r="AY84" s="262" t="s">
        <v>486</v>
      </c>
      <c r="AZ84" s="262" t="s">
        <v>472</v>
      </c>
      <c r="BA84" s="18" t="s">
        <v>473</v>
      </c>
      <c r="BB84" s="18">
        <v>61</v>
      </c>
      <c r="BC84" s="18">
        <v>2.0333333333333332</v>
      </c>
      <c r="BD84" s="18" t="s">
        <v>477</v>
      </c>
      <c r="BE84" s="295">
        <v>4</v>
      </c>
      <c r="BF84" s="18"/>
      <c r="BG84" s="279"/>
      <c r="BH84" s="279"/>
      <c r="BI84" s="279"/>
      <c r="BJ84" s="279"/>
      <c r="BK84" s="279"/>
      <c r="BL84" s="279"/>
      <c r="BM84" s="279"/>
      <c r="BN84" s="279"/>
      <c r="BO84" s="279"/>
      <c r="BP84" s="279"/>
      <c r="BQ84" s="279"/>
      <c r="BR84" s="279"/>
      <c r="BS84" s="279"/>
      <c r="BT84" s="279"/>
      <c r="BU84" s="279"/>
      <c r="BV84" s="279"/>
      <c r="BW84" s="279"/>
      <c r="BX84" s="279"/>
      <c r="BY84" s="279"/>
      <c r="BZ84" s="279"/>
      <c r="CA84" s="279"/>
      <c r="CB84" s="279"/>
      <c r="CC84" s="279"/>
      <c r="CD84" s="279"/>
      <c r="CE84" s="279"/>
      <c r="CF84" s="279"/>
      <c r="CG84" s="279"/>
      <c r="CH84" s="279"/>
      <c r="CI84" s="279"/>
      <c r="CJ84" s="279"/>
      <c r="CK84" s="279"/>
      <c r="CL84" s="279"/>
      <c r="CM84" s="279"/>
      <c r="CN84" s="279"/>
      <c r="CO84" s="279"/>
      <c r="CP84" s="279"/>
      <c r="CQ84" s="279"/>
      <c r="CR84" s="279"/>
      <c r="CS84" s="279"/>
      <c r="CT84" s="279"/>
      <c r="CU84" s="279"/>
      <c r="CV84" s="279"/>
      <c r="CW84" s="279"/>
      <c r="CX84" s="279"/>
      <c r="CY84" s="279"/>
      <c r="CZ84" s="279"/>
      <c r="DA84" s="279"/>
      <c r="DB84" s="279"/>
      <c r="DC84" s="279"/>
      <c r="DD84" s="279"/>
      <c r="DE84" s="279"/>
      <c r="DF84" s="279"/>
      <c r="DG84" s="279"/>
      <c r="DH84" s="279"/>
      <c r="DI84" s="279"/>
      <c r="DJ84" s="279"/>
      <c r="DK84" s="279"/>
      <c r="DL84" s="279"/>
      <c r="DM84" s="279"/>
      <c r="DN84" s="279"/>
      <c r="DO84" s="279"/>
      <c r="DP84" s="279"/>
      <c r="DQ84" s="279"/>
      <c r="DR84" s="279"/>
      <c r="DS84" s="279"/>
      <c r="DT84" s="279"/>
      <c r="DU84" s="279"/>
      <c r="DV84" s="279"/>
      <c r="DW84" s="279"/>
      <c r="DX84" s="279"/>
      <c r="DY84" s="279"/>
      <c r="DZ84" s="279"/>
      <c r="EA84" s="279"/>
      <c r="EB84" s="296"/>
    </row>
    <row r="85" spans="1:132" s="297" customFormat="1" ht="12" customHeight="1" x14ac:dyDescent="0.15">
      <c r="A85" s="262">
        <v>130</v>
      </c>
      <c r="B85" s="293" t="s">
        <v>130</v>
      </c>
      <c r="C85" s="262" t="s">
        <v>150</v>
      </c>
      <c r="D85" s="262" t="s">
        <v>46</v>
      </c>
      <c r="E85" s="262" t="s">
        <v>151</v>
      </c>
      <c r="F85" s="262" t="s">
        <v>198</v>
      </c>
      <c r="G85" s="262" t="s">
        <v>200</v>
      </c>
      <c r="H85" s="19">
        <v>360</v>
      </c>
      <c r="I85" s="263">
        <v>0</v>
      </c>
      <c r="J85" s="263">
        <v>0</v>
      </c>
      <c r="K85" s="263" t="s">
        <v>51</v>
      </c>
      <c r="L85" s="19">
        <v>180.3</v>
      </c>
      <c r="M85" s="18">
        <v>0</v>
      </c>
      <c r="N85" s="19">
        <v>0</v>
      </c>
      <c r="O85" s="263">
        <v>0</v>
      </c>
      <c r="P85" s="263" t="s">
        <v>51</v>
      </c>
      <c r="Q85" s="263" t="s">
        <v>51</v>
      </c>
      <c r="R85" s="19">
        <v>0</v>
      </c>
      <c r="S85" s="18">
        <v>0</v>
      </c>
      <c r="T85" s="19">
        <v>0</v>
      </c>
      <c r="U85" s="19" t="s">
        <v>51</v>
      </c>
      <c r="V85" s="18">
        <v>0</v>
      </c>
      <c r="W85" s="19">
        <v>0</v>
      </c>
      <c r="X85" s="263">
        <v>0</v>
      </c>
      <c r="Y85" s="263" t="s">
        <v>51</v>
      </c>
      <c r="Z85" s="263" t="s">
        <v>51</v>
      </c>
      <c r="AA85" s="19">
        <v>0</v>
      </c>
      <c r="AB85" s="18">
        <v>0</v>
      </c>
      <c r="AC85" s="19">
        <v>0</v>
      </c>
      <c r="AD85" s="19" t="s">
        <v>51</v>
      </c>
      <c r="AE85" s="18">
        <v>1</v>
      </c>
      <c r="AF85" s="19">
        <v>0.8</v>
      </c>
      <c r="AG85" s="263">
        <v>0</v>
      </c>
      <c r="AH85" s="263">
        <v>0</v>
      </c>
      <c r="AI85" s="19">
        <v>0.8</v>
      </c>
      <c r="AJ85" s="18">
        <v>2</v>
      </c>
      <c r="AK85" s="19">
        <v>359.2</v>
      </c>
      <c r="AL85" s="263">
        <v>0</v>
      </c>
      <c r="AM85" s="263">
        <v>0</v>
      </c>
      <c r="AN85" s="19">
        <v>180</v>
      </c>
      <c r="AO85" s="309"/>
      <c r="AP85" s="309"/>
      <c r="AQ85" s="309"/>
      <c r="AR85" s="309"/>
      <c r="AS85" s="18"/>
      <c r="AT85" s="18">
        <f>Table1[[#This Row],[Object_A_._head_time]]+Table1[[#This Row],[Object_B_._head_time]]</f>
        <v>0</v>
      </c>
      <c r="AU85" s="18">
        <f>Table1[[#This Row],[Object_B_._head_time]]-Table1[[#This Row],[Object_A_._head_time]]</f>
        <v>0</v>
      </c>
      <c r="AV85" s="19" t="e">
        <f>Table1[[#This Row],[D1: Absolute discrimination measure (D1 = B2- A2)]]/Table1[[#This Row],[E2: total exploration time in second trial E2 ( E2 = A2 + B2)]]</f>
        <v>#DIV/0!</v>
      </c>
      <c r="AW85" s="309" t="e">
        <f>Table1[[#This Row],[Object_B_._head_time]]/Table1[[#This Row],[E2: total exploration time in second trial E2 ( E2 = A2 + B2)]]</f>
        <v>#DIV/0!</v>
      </c>
      <c r="AX85" s="294"/>
      <c r="AY85" s="262" t="s">
        <v>486</v>
      </c>
      <c r="AZ85" s="262" t="s">
        <v>472</v>
      </c>
      <c r="BA85" s="18" t="s">
        <v>473</v>
      </c>
      <c r="BB85" s="18">
        <v>61</v>
      </c>
      <c r="BC85" s="18">
        <v>2.0333333333333332</v>
      </c>
      <c r="BD85" s="18" t="s">
        <v>474</v>
      </c>
      <c r="BE85" s="295">
        <v>3</v>
      </c>
      <c r="BF85" s="18" t="s">
        <v>468</v>
      </c>
      <c r="BG85" s="279"/>
      <c r="BH85" s="279"/>
      <c r="BI85" s="279"/>
      <c r="BJ85" s="279"/>
      <c r="BK85" s="279"/>
      <c r="BL85" s="279"/>
      <c r="BM85" s="279"/>
      <c r="BN85" s="279"/>
      <c r="BO85" s="279"/>
      <c r="BP85" s="279"/>
      <c r="BQ85" s="279"/>
      <c r="BR85" s="279"/>
      <c r="BS85" s="279"/>
      <c r="BT85" s="279"/>
      <c r="BU85" s="279"/>
      <c r="BV85" s="279"/>
      <c r="BW85" s="279"/>
      <c r="BX85" s="279"/>
      <c r="BY85" s="279"/>
      <c r="BZ85" s="279"/>
      <c r="CA85" s="279"/>
      <c r="CB85" s="279"/>
      <c r="CC85" s="279"/>
      <c r="CD85" s="279"/>
      <c r="CE85" s="279"/>
      <c r="CF85" s="279"/>
      <c r="CG85" s="279"/>
      <c r="CH85" s="279"/>
      <c r="CI85" s="279"/>
      <c r="CJ85" s="279"/>
      <c r="CK85" s="279"/>
      <c r="CL85" s="279"/>
      <c r="CM85" s="279"/>
      <c r="CN85" s="279"/>
      <c r="CO85" s="279"/>
      <c r="CP85" s="279"/>
      <c r="CQ85" s="279"/>
      <c r="CR85" s="279"/>
      <c r="CS85" s="279"/>
      <c r="CT85" s="279"/>
      <c r="CU85" s="279"/>
      <c r="CV85" s="279"/>
      <c r="CW85" s="279"/>
      <c r="CX85" s="279"/>
      <c r="CY85" s="279"/>
      <c r="CZ85" s="279"/>
      <c r="DA85" s="279"/>
      <c r="DB85" s="279"/>
      <c r="DC85" s="279"/>
      <c r="DD85" s="279"/>
      <c r="DE85" s="279"/>
      <c r="DF85" s="279"/>
      <c r="DG85" s="279"/>
      <c r="DH85" s="279"/>
      <c r="DI85" s="279"/>
      <c r="DJ85" s="279"/>
      <c r="DK85" s="279"/>
      <c r="DL85" s="279"/>
      <c r="DM85" s="279"/>
      <c r="DN85" s="279"/>
      <c r="DO85" s="279"/>
      <c r="DP85" s="279"/>
      <c r="DQ85" s="279"/>
      <c r="DR85" s="279"/>
      <c r="DS85" s="279"/>
      <c r="DT85" s="279"/>
      <c r="DU85" s="279"/>
      <c r="DV85" s="279"/>
      <c r="DW85" s="279"/>
      <c r="DX85" s="279"/>
      <c r="DY85" s="279"/>
      <c r="DZ85" s="279"/>
      <c r="EA85" s="279"/>
      <c r="EB85" s="296"/>
    </row>
    <row r="86" spans="1:132" s="297" customFormat="1" ht="12" customHeight="1" x14ac:dyDescent="0.15">
      <c r="A86" s="262">
        <v>132</v>
      </c>
      <c r="B86" s="293" t="s">
        <v>132</v>
      </c>
      <c r="C86" s="262" t="s">
        <v>150</v>
      </c>
      <c r="D86" s="262" t="s">
        <v>49</v>
      </c>
      <c r="E86" s="262" t="s">
        <v>151</v>
      </c>
      <c r="F86" s="262" t="s">
        <v>198</v>
      </c>
      <c r="G86" s="262" t="s">
        <v>201</v>
      </c>
      <c r="H86" s="19">
        <v>360</v>
      </c>
      <c r="I86" s="263">
        <v>6.3</v>
      </c>
      <c r="J86" s="263">
        <v>1.7000000000000001E-2</v>
      </c>
      <c r="K86" s="263">
        <v>0.27</v>
      </c>
      <c r="L86" s="19">
        <v>190.7</v>
      </c>
      <c r="M86" s="18">
        <v>10</v>
      </c>
      <c r="N86" s="19">
        <v>8.5</v>
      </c>
      <c r="O86" s="263">
        <v>0.23899999999999999</v>
      </c>
      <c r="P86" s="263">
        <v>2.8000000000000001E-2</v>
      </c>
      <c r="Q86" s="263">
        <v>0.214</v>
      </c>
      <c r="R86" s="19">
        <v>3.6</v>
      </c>
      <c r="S86" s="18">
        <v>660</v>
      </c>
      <c r="T86" s="19">
        <v>0</v>
      </c>
      <c r="U86" s="19">
        <v>6.9</v>
      </c>
      <c r="V86" s="18">
        <v>4</v>
      </c>
      <c r="W86" s="19">
        <v>1.5</v>
      </c>
      <c r="X86" s="263">
        <v>2.7E-2</v>
      </c>
      <c r="Y86" s="263">
        <v>1.7999999999999999E-2</v>
      </c>
      <c r="Z86" s="263">
        <v>0.16700000000000001</v>
      </c>
      <c r="AA86" s="19">
        <v>1.3</v>
      </c>
      <c r="AB86" s="18">
        <v>64</v>
      </c>
      <c r="AC86" s="19">
        <v>0</v>
      </c>
      <c r="AD86" s="19">
        <v>1.4</v>
      </c>
      <c r="AE86" s="18">
        <v>1</v>
      </c>
      <c r="AF86" s="19">
        <v>2.2000000000000002</v>
      </c>
      <c r="AG86" s="263">
        <v>0.16</v>
      </c>
      <c r="AH86" s="263">
        <v>7.2999999999999995E-2</v>
      </c>
      <c r="AI86" s="19">
        <v>0</v>
      </c>
      <c r="AJ86" s="18">
        <v>2</v>
      </c>
      <c r="AK86" s="19">
        <v>357.8</v>
      </c>
      <c r="AL86" s="263">
        <v>6.14</v>
      </c>
      <c r="AM86" s="263">
        <v>1.7000000000000001E-2</v>
      </c>
      <c r="AN86" s="19">
        <v>190.7</v>
      </c>
      <c r="AO86" s="309"/>
      <c r="AP86" s="309"/>
      <c r="AQ86" s="309"/>
      <c r="AR86" s="309"/>
      <c r="AS86" s="18"/>
      <c r="AT86" s="18">
        <f>Table1[[#This Row],[Object_A_._head_time]]+Table1[[#This Row],[Object_B_._head_time]]</f>
        <v>10</v>
      </c>
      <c r="AU86" s="18">
        <f>Table1[[#This Row],[Object_B_._head_time]]-Table1[[#This Row],[Object_A_._head_time]]</f>
        <v>-7</v>
      </c>
      <c r="AV86" s="19">
        <f>Table1[[#This Row],[D1: Absolute discrimination measure (D1 = B2- A2)]]/Table1[[#This Row],[E2: total exploration time in second trial E2 ( E2 = A2 + B2)]]</f>
        <v>-0.7</v>
      </c>
      <c r="AW86" s="309">
        <f>Table1[[#This Row],[Object_B_._head_time]]/Table1[[#This Row],[E2: total exploration time in second trial E2 ( E2 = A2 + B2)]]</f>
        <v>0.15</v>
      </c>
      <c r="AX86" s="294"/>
      <c r="AY86" s="262" t="s">
        <v>487</v>
      </c>
      <c r="AZ86" s="262" t="s">
        <v>472</v>
      </c>
      <c r="BA86" s="18" t="s">
        <v>475</v>
      </c>
      <c r="BB86" s="18">
        <v>61</v>
      </c>
      <c r="BC86" s="18">
        <v>2.0333333333333332</v>
      </c>
      <c r="BD86" s="18" t="s">
        <v>474</v>
      </c>
      <c r="BE86" s="295">
        <v>1</v>
      </c>
      <c r="BF86" s="18" t="s">
        <v>469</v>
      </c>
      <c r="BG86" s="279"/>
      <c r="BH86" s="279"/>
      <c r="BI86" s="279"/>
      <c r="BJ86" s="279"/>
      <c r="BK86" s="279"/>
      <c r="BL86" s="279"/>
      <c r="BM86" s="279"/>
      <c r="BN86" s="279"/>
      <c r="BO86" s="279"/>
      <c r="BP86" s="279"/>
      <c r="BQ86" s="279"/>
      <c r="BR86" s="279"/>
      <c r="BS86" s="279"/>
      <c r="BT86" s="279"/>
      <c r="BU86" s="279"/>
      <c r="BV86" s="279"/>
      <c r="BW86" s="279"/>
      <c r="BX86" s="279"/>
      <c r="BY86" s="279"/>
      <c r="BZ86" s="279"/>
      <c r="CA86" s="279"/>
      <c r="CB86" s="279"/>
      <c r="CC86" s="279"/>
      <c r="CD86" s="279"/>
      <c r="CE86" s="279"/>
      <c r="CF86" s="279"/>
      <c r="CG86" s="279"/>
      <c r="CH86" s="279"/>
      <c r="CI86" s="279"/>
      <c r="CJ86" s="279"/>
      <c r="CK86" s="279"/>
      <c r="CL86" s="279"/>
      <c r="CM86" s="279"/>
      <c r="CN86" s="279"/>
      <c r="CO86" s="279"/>
      <c r="CP86" s="279"/>
      <c r="CQ86" s="279"/>
      <c r="CR86" s="279"/>
      <c r="CS86" s="279"/>
      <c r="CT86" s="279"/>
      <c r="CU86" s="279"/>
      <c r="CV86" s="279"/>
      <c r="CW86" s="279"/>
      <c r="CX86" s="279"/>
      <c r="CY86" s="279"/>
      <c r="CZ86" s="279"/>
      <c r="DA86" s="279"/>
      <c r="DB86" s="279"/>
      <c r="DC86" s="279"/>
      <c r="DD86" s="279"/>
      <c r="DE86" s="279"/>
      <c r="DF86" s="279"/>
      <c r="DG86" s="279"/>
      <c r="DH86" s="279"/>
      <c r="DI86" s="279"/>
      <c r="DJ86" s="279"/>
      <c r="DK86" s="279"/>
      <c r="DL86" s="279"/>
      <c r="DM86" s="279"/>
      <c r="DN86" s="279"/>
      <c r="DO86" s="279"/>
      <c r="DP86" s="279"/>
      <c r="DQ86" s="279"/>
      <c r="DR86" s="279"/>
      <c r="DS86" s="279"/>
      <c r="DT86" s="279"/>
      <c r="DU86" s="279"/>
      <c r="DV86" s="279"/>
      <c r="DW86" s="279"/>
      <c r="DX86" s="279"/>
      <c r="DY86" s="279"/>
      <c r="DZ86" s="279"/>
      <c r="EA86" s="279"/>
      <c r="EB86" s="296"/>
    </row>
    <row r="87" spans="1:132" s="297" customFormat="1" ht="12" customHeight="1" x14ac:dyDescent="0.15">
      <c r="A87" s="262">
        <v>131</v>
      </c>
      <c r="B87" s="293" t="s">
        <v>134</v>
      </c>
      <c r="C87" s="262" t="s">
        <v>150</v>
      </c>
      <c r="D87" s="262" t="s">
        <v>53</v>
      </c>
      <c r="E87" s="262" t="s">
        <v>151</v>
      </c>
      <c r="F87" s="262" t="s">
        <v>198</v>
      </c>
      <c r="G87" s="262" t="s">
        <v>202</v>
      </c>
      <c r="H87" s="19">
        <v>360</v>
      </c>
      <c r="I87" s="263">
        <v>7.0650000000000004</v>
      </c>
      <c r="J87" s="263">
        <v>0.02</v>
      </c>
      <c r="K87" s="263">
        <v>0.20300000000000001</v>
      </c>
      <c r="L87" s="19">
        <v>111.2</v>
      </c>
      <c r="M87" s="18">
        <v>8</v>
      </c>
      <c r="N87" s="19">
        <v>6.3</v>
      </c>
      <c r="O87" s="263">
        <v>0.35</v>
      </c>
      <c r="P87" s="263">
        <v>5.5E-2</v>
      </c>
      <c r="Q87" s="263">
        <v>0.152</v>
      </c>
      <c r="R87" s="19">
        <v>2.8</v>
      </c>
      <c r="S87" s="18">
        <v>657</v>
      </c>
      <c r="T87" s="19">
        <v>0</v>
      </c>
      <c r="U87" s="19">
        <v>3.2</v>
      </c>
      <c r="V87" s="18">
        <v>10</v>
      </c>
      <c r="W87" s="19">
        <v>5.4</v>
      </c>
      <c r="X87" s="263">
        <v>0.23</v>
      </c>
      <c r="Y87" s="263">
        <v>4.2999999999999997E-2</v>
      </c>
      <c r="Z87" s="263">
        <v>0.14599999999999999</v>
      </c>
      <c r="AA87" s="19">
        <v>2.6</v>
      </c>
      <c r="AB87" s="18">
        <v>500</v>
      </c>
      <c r="AC87" s="19">
        <v>0</v>
      </c>
      <c r="AD87" s="19">
        <v>4.7</v>
      </c>
      <c r="AE87" s="18">
        <v>5</v>
      </c>
      <c r="AF87" s="19">
        <v>15.7</v>
      </c>
      <c r="AG87" s="263">
        <v>1.0189999999999999</v>
      </c>
      <c r="AH87" s="263">
        <v>6.5000000000000002E-2</v>
      </c>
      <c r="AI87" s="19">
        <v>1.2</v>
      </c>
      <c r="AJ87" s="18">
        <v>6</v>
      </c>
      <c r="AK87" s="19">
        <v>344.3</v>
      </c>
      <c r="AL87" s="263">
        <v>6.0460000000000003</v>
      </c>
      <c r="AM87" s="263">
        <v>1.7999999999999999E-2</v>
      </c>
      <c r="AN87" s="19">
        <v>110</v>
      </c>
      <c r="AO87" s="309"/>
      <c r="AP87" s="309"/>
      <c r="AQ87" s="309"/>
      <c r="AR87" s="309"/>
      <c r="AS87" s="18"/>
      <c r="AT87" s="18">
        <f>Table1[[#This Row],[Object_A_._head_time]]+Table1[[#This Row],[Object_B_._head_time]]</f>
        <v>11.7</v>
      </c>
      <c r="AU87" s="18">
        <f>Table1[[#This Row],[Object_B_._head_time]]-Table1[[#This Row],[Object_A_._head_time]]</f>
        <v>-0.89999999999999947</v>
      </c>
      <c r="AV87" s="19">
        <f>Table1[[#This Row],[D1: Absolute discrimination measure (D1 = B2- A2)]]/Table1[[#This Row],[E2: total exploration time in second trial E2 ( E2 = A2 + B2)]]</f>
        <v>-7.6923076923076886E-2</v>
      </c>
      <c r="AW87" s="309">
        <f>Table1[[#This Row],[Object_B_._head_time]]/Table1[[#This Row],[E2: total exploration time in second trial E2 ( E2 = A2 + B2)]]</f>
        <v>0.46153846153846162</v>
      </c>
      <c r="AX87" s="294"/>
      <c r="AY87" s="262" t="s">
        <v>487</v>
      </c>
      <c r="AZ87" s="262" t="s">
        <v>472</v>
      </c>
      <c r="BA87" s="18" t="s">
        <v>473</v>
      </c>
      <c r="BB87" s="18">
        <v>61</v>
      </c>
      <c r="BC87" s="18">
        <v>2.0333333333333332</v>
      </c>
      <c r="BD87" s="18" t="s">
        <v>477</v>
      </c>
      <c r="BE87" s="295">
        <v>4</v>
      </c>
      <c r="BF87" s="18"/>
      <c r="BG87" s="279"/>
      <c r="BH87" s="279"/>
      <c r="BI87" s="279"/>
      <c r="BJ87" s="279"/>
      <c r="BK87" s="279"/>
      <c r="BL87" s="279"/>
      <c r="BM87" s="279"/>
      <c r="BN87" s="279"/>
      <c r="BO87" s="279"/>
      <c r="BP87" s="279"/>
      <c r="BQ87" s="279"/>
      <c r="BR87" s="279"/>
      <c r="BS87" s="279"/>
      <c r="BT87" s="279"/>
      <c r="BU87" s="279"/>
      <c r="BV87" s="279"/>
      <c r="BW87" s="279"/>
      <c r="BX87" s="279"/>
      <c r="BY87" s="279"/>
      <c r="BZ87" s="279"/>
      <c r="CA87" s="279"/>
      <c r="CB87" s="279"/>
      <c r="CC87" s="279"/>
      <c r="CD87" s="279"/>
      <c r="CE87" s="279"/>
      <c r="CF87" s="279"/>
      <c r="CG87" s="279"/>
      <c r="CH87" s="279"/>
      <c r="CI87" s="279"/>
      <c r="CJ87" s="279"/>
      <c r="CK87" s="279"/>
      <c r="CL87" s="279"/>
      <c r="CM87" s="279"/>
      <c r="CN87" s="279"/>
      <c r="CO87" s="279"/>
      <c r="CP87" s="279"/>
      <c r="CQ87" s="279"/>
      <c r="CR87" s="279"/>
      <c r="CS87" s="279"/>
      <c r="CT87" s="279"/>
      <c r="CU87" s="279"/>
      <c r="CV87" s="279"/>
      <c r="CW87" s="279"/>
      <c r="CX87" s="279"/>
      <c r="CY87" s="279"/>
      <c r="CZ87" s="279"/>
      <c r="DA87" s="279"/>
      <c r="DB87" s="279"/>
      <c r="DC87" s="279"/>
      <c r="DD87" s="279"/>
      <c r="DE87" s="279"/>
      <c r="DF87" s="279"/>
      <c r="DG87" s="279"/>
      <c r="DH87" s="279"/>
      <c r="DI87" s="279"/>
      <c r="DJ87" s="279"/>
      <c r="DK87" s="279"/>
      <c r="DL87" s="279"/>
      <c r="DM87" s="279"/>
      <c r="DN87" s="279"/>
      <c r="DO87" s="279"/>
      <c r="DP87" s="279"/>
      <c r="DQ87" s="279"/>
      <c r="DR87" s="279"/>
      <c r="DS87" s="279"/>
      <c r="DT87" s="279"/>
      <c r="DU87" s="279"/>
      <c r="DV87" s="279"/>
      <c r="DW87" s="279"/>
      <c r="DX87" s="279"/>
      <c r="DY87" s="279"/>
      <c r="DZ87" s="279"/>
      <c r="EA87" s="279"/>
      <c r="EB87" s="296"/>
    </row>
    <row r="88" spans="1:132" s="297" customFormat="1" ht="12" customHeight="1" x14ac:dyDescent="0.15">
      <c r="A88" s="262">
        <v>133</v>
      </c>
      <c r="B88" s="293" t="s">
        <v>136</v>
      </c>
      <c r="C88" s="262" t="s">
        <v>150</v>
      </c>
      <c r="D88" s="262" t="s">
        <v>41</v>
      </c>
      <c r="E88" s="262" t="s">
        <v>151</v>
      </c>
      <c r="F88" s="262" t="s">
        <v>203</v>
      </c>
      <c r="G88" s="262" t="s">
        <v>204</v>
      </c>
      <c r="H88" s="19">
        <v>360</v>
      </c>
      <c r="I88" s="263">
        <v>6.9340000000000002</v>
      </c>
      <c r="J88" s="263">
        <v>1.9E-2</v>
      </c>
      <c r="K88" s="263">
        <v>0.32500000000000001</v>
      </c>
      <c r="L88" s="19">
        <v>138.19999999999999</v>
      </c>
      <c r="M88" s="18">
        <v>55</v>
      </c>
      <c r="N88" s="19">
        <v>99.9</v>
      </c>
      <c r="O88" s="263">
        <v>1.024</v>
      </c>
      <c r="P88" s="263">
        <v>0.01</v>
      </c>
      <c r="Q88" s="263">
        <v>0.32400000000000001</v>
      </c>
      <c r="R88" s="19">
        <v>64.2</v>
      </c>
      <c r="S88" s="18">
        <v>6237</v>
      </c>
      <c r="T88" s="19">
        <v>37.4</v>
      </c>
      <c r="U88" s="19">
        <v>77.900000000000006</v>
      </c>
      <c r="V88" s="18">
        <v>5</v>
      </c>
      <c r="W88" s="19">
        <v>12.7</v>
      </c>
      <c r="X88" s="263">
        <v>0.48499999999999999</v>
      </c>
      <c r="Y88" s="263">
        <v>3.7999999999999999E-2</v>
      </c>
      <c r="Z88" s="263">
        <v>0.222</v>
      </c>
      <c r="AA88" s="19">
        <v>6.4</v>
      </c>
      <c r="AB88" s="18">
        <v>1051</v>
      </c>
      <c r="AC88" s="19">
        <v>0</v>
      </c>
      <c r="AD88" s="19">
        <v>3.6</v>
      </c>
      <c r="AE88" s="18">
        <v>8</v>
      </c>
      <c r="AF88" s="19">
        <v>9</v>
      </c>
      <c r="AG88" s="263">
        <v>1.24</v>
      </c>
      <c r="AH88" s="263">
        <v>0.13700000000000001</v>
      </c>
      <c r="AI88" s="19">
        <v>0</v>
      </c>
      <c r="AJ88" s="18">
        <v>9</v>
      </c>
      <c r="AK88" s="19">
        <v>351</v>
      </c>
      <c r="AL88" s="263">
        <v>5.694</v>
      </c>
      <c r="AM88" s="263">
        <v>1.6E-2</v>
      </c>
      <c r="AN88" s="19">
        <v>138.19999999999999</v>
      </c>
      <c r="AO88" s="309"/>
      <c r="AP88" s="309"/>
      <c r="AQ88" s="309"/>
      <c r="AR88" s="309"/>
      <c r="AS88" s="18"/>
      <c r="AT88" s="18">
        <f>Table1[[#This Row],[Object_A_._head_time]]+Table1[[#This Row],[Object_B_._head_time]]</f>
        <v>112.60000000000001</v>
      </c>
      <c r="AU88" s="18">
        <f>Table1[[#This Row],[Object_B_._head_time]]-Table1[[#This Row],[Object_A_._head_time]]</f>
        <v>-87.2</v>
      </c>
      <c r="AV88" s="19">
        <f>Table1[[#This Row],[D1: Absolute discrimination measure (D1 = B2- A2)]]/Table1[[#This Row],[E2: total exploration time in second trial E2 ( E2 = A2 + B2)]]</f>
        <v>-0.77442273534635875</v>
      </c>
      <c r="AW88" s="309">
        <f>Table1[[#This Row],[Object_B_._head_time]]/Table1[[#This Row],[E2: total exploration time in second trial E2 ( E2 = A2 + B2)]]</f>
        <v>0.11278863232682058</v>
      </c>
      <c r="AX88" s="294"/>
      <c r="AY88" s="262" t="s">
        <v>487</v>
      </c>
      <c r="AZ88" s="262" t="s">
        <v>472</v>
      </c>
      <c r="BA88" s="18" t="s">
        <v>475</v>
      </c>
      <c r="BB88" s="18">
        <v>61</v>
      </c>
      <c r="BC88" s="18">
        <v>2.0333333333333332</v>
      </c>
      <c r="BD88" s="18" t="s">
        <v>477</v>
      </c>
      <c r="BE88" s="295">
        <v>2</v>
      </c>
      <c r="BF88" s="18"/>
      <c r="BG88" s="279"/>
      <c r="BH88" s="279"/>
      <c r="BI88" s="279"/>
      <c r="BJ88" s="279"/>
      <c r="BK88" s="279"/>
      <c r="BL88" s="279"/>
      <c r="BM88" s="279"/>
      <c r="BN88" s="279"/>
      <c r="BO88" s="279"/>
      <c r="BP88" s="279"/>
      <c r="BQ88" s="279"/>
      <c r="BR88" s="279"/>
      <c r="BS88" s="279"/>
      <c r="BT88" s="279"/>
      <c r="BU88" s="279"/>
      <c r="BV88" s="279"/>
      <c r="BW88" s="279"/>
      <c r="BX88" s="279"/>
      <c r="BY88" s="279"/>
      <c r="BZ88" s="279"/>
      <c r="CA88" s="279"/>
      <c r="CB88" s="279"/>
      <c r="CC88" s="279"/>
      <c r="CD88" s="279"/>
      <c r="CE88" s="279"/>
      <c r="CF88" s="279"/>
      <c r="CG88" s="279"/>
      <c r="CH88" s="279"/>
      <c r="CI88" s="279"/>
      <c r="CJ88" s="279"/>
      <c r="CK88" s="279"/>
      <c r="CL88" s="279"/>
      <c r="CM88" s="279"/>
      <c r="CN88" s="279"/>
      <c r="CO88" s="279"/>
      <c r="CP88" s="279"/>
      <c r="CQ88" s="279"/>
      <c r="CR88" s="279"/>
      <c r="CS88" s="279"/>
      <c r="CT88" s="279"/>
      <c r="CU88" s="279"/>
      <c r="CV88" s="279"/>
      <c r="CW88" s="279"/>
      <c r="CX88" s="279"/>
      <c r="CY88" s="279"/>
      <c r="CZ88" s="279"/>
      <c r="DA88" s="279"/>
      <c r="DB88" s="279"/>
      <c r="DC88" s="279"/>
      <c r="DD88" s="279"/>
      <c r="DE88" s="279"/>
      <c r="DF88" s="279"/>
      <c r="DG88" s="279"/>
      <c r="DH88" s="279"/>
      <c r="DI88" s="279"/>
      <c r="DJ88" s="279"/>
      <c r="DK88" s="279"/>
      <c r="DL88" s="279"/>
      <c r="DM88" s="279"/>
      <c r="DN88" s="279"/>
      <c r="DO88" s="279"/>
      <c r="DP88" s="279"/>
      <c r="DQ88" s="279"/>
      <c r="DR88" s="279"/>
      <c r="DS88" s="279"/>
      <c r="DT88" s="279"/>
      <c r="DU88" s="279"/>
      <c r="DV88" s="279"/>
      <c r="DW88" s="279"/>
      <c r="DX88" s="279"/>
      <c r="DY88" s="279"/>
      <c r="DZ88" s="279"/>
      <c r="EA88" s="279"/>
      <c r="EB88" s="296"/>
    </row>
    <row r="89" spans="1:132" s="297" customFormat="1" ht="12" customHeight="1" x14ac:dyDescent="0.15">
      <c r="A89" s="262">
        <v>134</v>
      </c>
      <c r="B89" s="293" t="s">
        <v>139</v>
      </c>
      <c r="C89" s="262" t="s">
        <v>150</v>
      </c>
      <c r="D89" s="262" t="s">
        <v>46</v>
      </c>
      <c r="E89" s="262" t="s">
        <v>151</v>
      </c>
      <c r="F89" s="262" t="s">
        <v>203</v>
      </c>
      <c r="G89" s="262" t="s">
        <v>205</v>
      </c>
      <c r="H89" s="19">
        <v>360</v>
      </c>
      <c r="I89" s="263">
        <v>4.4749999999999996</v>
      </c>
      <c r="J89" s="263">
        <v>1.2E-2</v>
      </c>
      <c r="K89" s="263">
        <v>0.24399999999999999</v>
      </c>
      <c r="L89" s="19">
        <v>85.4</v>
      </c>
      <c r="M89" s="18">
        <v>6</v>
      </c>
      <c r="N89" s="19">
        <v>5.2</v>
      </c>
      <c r="O89" s="263">
        <v>0.25900000000000001</v>
      </c>
      <c r="P89" s="263">
        <v>0.05</v>
      </c>
      <c r="Q89" s="263">
        <v>0.14699999999999999</v>
      </c>
      <c r="R89" s="19">
        <v>2</v>
      </c>
      <c r="S89" s="18">
        <v>348</v>
      </c>
      <c r="T89" s="19">
        <v>0</v>
      </c>
      <c r="U89" s="19">
        <v>1.9</v>
      </c>
      <c r="V89" s="18">
        <v>3</v>
      </c>
      <c r="W89" s="19">
        <v>1.9</v>
      </c>
      <c r="X89" s="263">
        <v>0.121</v>
      </c>
      <c r="Y89" s="263">
        <v>6.5000000000000002E-2</v>
      </c>
      <c r="Z89" s="263">
        <v>0.09</v>
      </c>
      <c r="AA89" s="19">
        <v>1.1000000000000001</v>
      </c>
      <c r="AB89" s="18">
        <v>147</v>
      </c>
      <c r="AC89" s="19">
        <v>0</v>
      </c>
      <c r="AD89" s="19">
        <v>1.4</v>
      </c>
      <c r="AE89" s="18">
        <v>1</v>
      </c>
      <c r="AF89" s="19">
        <v>4.5</v>
      </c>
      <c r="AG89" s="263">
        <v>0.32500000000000001</v>
      </c>
      <c r="AH89" s="263">
        <v>7.1999999999999995E-2</v>
      </c>
      <c r="AI89" s="19">
        <v>0</v>
      </c>
      <c r="AJ89" s="18">
        <v>2</v>
      </c>
      <c r="AK89" s="19">
        <v>355.5</v>
      </c>
      <c r="AL89" s="263">
        <v>4.1500000000000004</v>
      </c>
      <c r="AM89" s="263">
        <v>1.2E-2</v>
      </c>
      <c r="AN89" s="19">
        <v>85.4</v>
      </c>
      <c r="AO89" s="309"/>
      <c r="AP89" s="309"/>
      <c r="AQ89" s="309"/>
      <c r="AR89" s="309"/>
      <c r="AS89" s="18"/>
      <c r="AT89" s="18">
        <f>Table1[[#This Row],[Object_A_._head_time]]+Table1[[#This Row],[Object_B_._head_time]]</f>
        <v>7.1</v>
      </c>
      <c r="AU89" s="18">
        <f>Table1[[#This Row],[Object_B_._head_time]]-Table1[[#This Row],[Object_A_._head_time]]</f>
        <v>-3.3000000000000003</v>
      </c>
      <c r="AV89" s="19">
        <f>Table1[[#This Row],[D1: Absolute discrimination measure (D1 = B2- A2)]]/Table1[[#This Row],[E2: total exploration time in second trial E2 ( E2 = A2 + B2)]]</f>
        <v>-0.46478873239436624</v>
      </c>
      <c r="AW89" s="309">
        <f>Table1[[#This Row],[Object_B_._head_time]]/Table1[[#This Row],[E2: total exploration time in second trial E2 ( E2 = A2 + B2)]]</f>
        <v>0.26760563380281688</v>
      </c>
      <c r="AX89" s="294"/>
      <c r="AY89" s="262" t="s">
        <v>486</v>
      </c>
      <c r="AZ89" s="262" t="s">
        <v>472</v>
      </c>
      <c r="BA89" s="18" t="s">
        <v>475</v>
      </c>
      <c r="BB89" s="18">
        <v>60</v>
      </c>
      <c r="BC89" s="18">
        <v>2</v>
      </c>
      <c r="BD89" s="18" t="s">
        <v>474</v>
      </c>
      <c r="BE89" s="295">
        <v>1</v>
      </c>
      <c r="BF89" s="18" t="s">
        <v>470</v>
      </c>
      <c r="BG89" s="279"/>
      <c r="BH89" s="279"/>
      <c r="BI89" s="279"/>
      <c r="BJ89" s="279"/>
      <c r="BK89" s="279"/>
      <c r="BL89" s="279"/>
      <c r="BM89" s="279"/>
      <c r="BN89" s="279"/>
      <c r="BO89" s="279"/>
      <c r="BP89" s="279"/>
      <c r="BQ89" s="279"/>
      <c r="BR89" s="279"/>
      <c r="BS89" s="279"/>
      <c r="BT89" s="279"/>
      <c r="BU89" s="279"/>
      <c r="BV89" s="279"/>
      <c r="BW89" s="279"/>
      <c r="BX89" s="279"/>
      <c r="BY89" s="279"/>
      <c r="BZ89" s="279"/>
      <c r="CA89" s="279"/>
      <c r="CB89" s="279"/>
      <c r="CC89" s="279"/>
      <c r="CD89" s="279"/>
      <c r="CE89" s="279"/>
      <c r="CF89" s="279"/>
      <c r="CG89" s="279"/>
      <c r="CH89" s="279"/>
      <c r="CI89" s="279"/>
      <c r="CJ89" s="279"/>
      <c r="CK89" s="279"/>
      <c r="CL89" s="279"/>
      <c r="CM89" s="279"/>
      <c r="CN89" s="279"/>
      <c r="CO89" s="279"/>
      <c r="CP89" s="279"/>
      <c r="CQ89" s="279"/>
      <c r="CR89" s="279"/>
      <c r="CS89" s="279"/>
      <c r="CT89" s="279"/>
      <c r="CU89" s="279"/>
      <c r="CV89" s="279"/>
      <c r="CW89" s="279"/>
      <c r="CX89" s="279"/>
      <c r="CY89" s="279"/>
      <c r="CZ89" s="279"/>
      <c r="DA89" s="279"/>
      <c r="DB89" s="279"/>
      <c r="DC89" s="279"/>
      <c r="DD89" s="279"/>
      <c r="DE89" s="279"/>
      <c r="DF89" s="279"/>
      <c r="DG89" s="279"/>
      <c r="DH89" s="279"/>
      <c r="DI89" s="279"/>
      <c r="DJ89" s="279"/>
      <c r="DK89" s="279"/>
      <c r="DL89" s="279"/>
      <c r="DM89" s="279"/>
      <c r="DN89" s="279"/>
      <c r="DO89" s="279"/>
      <c r="DP89" s="279"/>
      <c r="DQ89" s="279"/>
      <c r="DR89" s="279"/>
      <c r="DS89" s="279"/>
      <c r="DT89" s="279"/>
      <c r="DU89" s="279"/>
      <c r="DV89" s="279"/>
      <c r="DW89" s="279"/>
      <c r="DX89" s="279"/>
      <c r="DY89" s="279"/>
      <c r="DZ89" s="279"/>
      <c r="EA89" s="279"/>
      <c r="EB89" s="296"/>
    </row>
    <row r="90" spans="1:132" s="297" customFormat="1" ht="12" customHeight="1" x14ac:dyDescent="0.15">
      <c r="A90" s="262">
        <v>136</v>
      </c>
      <c r="B90" s="293" t="s">
        <v>141</v>
      </c>
      <c r="C90" s="262" t="s">
        <v>150</v>
      </c>
      <c r="D90" s="262" t="s">
        <v>49</v>
      </c>
      <c r="E90" s="262" t="s">
        <v>151</v>
      </c>
      <c r="F90" s="262" t="s">
        <v>203</v>
      </c>
      <c r="G90" s="262" t="s">
        <v>206</v>
      </c>
      <c r="H90" s="19">
        <v>360</v>
      </c>
      <c r="I90" s="263">
        <v>11.342000000000001</v>
      </c>
      <c r="J90" s="263">
        <v>3.2000000000000001E-2</v>
      </c>
      <c r="K90" s="263">
        <v>0.25700000000000001</v>
      </c>
      <c r="L90" s="19">
        <v>46.1</v>
      </c>
      <c r="M90" s="18">
        <v>11</v>
      </c>
      <c r="N90" s="19">
        <v>15.5</v>
      </c>
      <c r="O90" s="263">
        <v>0.79700000000000004</v>
      </c>
      <c r="P90" s="263">
        <v>5.0999999999999997E-2</v>
      </c>
      <c r="Q90" s="263">
        <v>0.20200000000000001</v>
      </c>
      <c r="R90" s="19">
        <v>4.8</v>
      </c>
      <c r="S90" s="18">
        <v>1033</v>
      </c>
      <c r="T90" s="19">
        <v>0</v>
      </c>
      <c r="U90" s="19">
        <v>4.5</v>
      </c>
      <c r="V90" s="18">
        <v>18</v>
      </c>
      <c r="W90" s="19">
        <v>22.5</v>
      </c>
      <c r="X90" s="263">
        <v>1.0209999999999999</v>
      </c>
      <c r="Y90" s="263">
        <v>4.4999999999999998E-2</v>
      </c>
      <c r="Z90" s="263">
        <v>0.20499999999999999</v>
      </c>
      <c r="AA90" s="19">
        <v>7.1</v>
      </c>
      <c r="AB90" s="18">
        <v>1923</v>
      </c>
      <c r="AC90" s="19">
        <v>0</v>
      </c>
      <c r="AD90" s="19">
        <v>7.4</v>
      </c>
      <c r="AE90" s="18">
        <v>9</v>
      </c>
      <c r="AF90" s="19">
        <v>9.5</v>
      </c>
      <c r="AG90" s="263">
        <v>1.3620000000000001</v>
      </c>
      <c r="AH90" s="263">
        <v>0.14299999999999999</v>
      </c>
      <c r="AI90" s="19">
        <v>0</v>
      </c>
      <c r="AJ90" s="18">
        <v>10</v>
      </c>
      <c r="AK90" s="19">
        <v>350.5</v>
      </c>
      <c r="AL90" s="263">
        <v>9.98</v>
      </c>
      <c r="AM90" s="263">
        <v>2.8000000000000001E-2</v>
      </c>
      <c r="AN90" s="19">
        <v>46.1</v>
      </c>
      <c r="AO90" s="309"/>
      <c r="AP90" s="309"/>
      <c r="AQ90" s="309"/>
      <c r="AR90" s="309"/>
      <c r="AS90" s="18"/>
      <c r="AT90" s="18">
        <f>Table1[[#This Row],[Object_A_._head_time]]+Table1[[#This Row],[Object_B_._head_time]]</f>
        <v>38</v>
      </c>
      <c r="AU90" s="18">
        <f>Table1[[#This Row],[Object_B_._head_time]]-Table1[[#This Row],[Object_A_._head_time]]</f>
        <v>7</v>
      </c>
      <c r="AV90" s="19">
        <f>Table1[[#This Row],[D1: Absolute discrimination measure (D1 = B2- A2)]]/Table1[[#This Row],[E2: total exploration time in second trial E2 ( E2 = A2 + B2)]]</f>
        <v>0.18421052631578946</v>
      </c>
      <c r="AW90" s="309">
        <f>Table1[[#This Row],[Object_B_._head_time]]/Table1[[#This Row],[E2: total exploration time in second trial E2 ( E2 = A2 + B2)]]</f>
        <v>0.59210526315789469</v>
      </c>
      <c r="AX90" s="294"/>
      <c r="AY90" s="262" t="s">
        <v>487</v>
      </c>
      <c r="AZ90" s="262" t="s">
        <v>472</v>
      </c>
      <c r="BA90" s="18" t="s">
        <v>475</v>
      </c>
      <c r="BB90" s="18">
        <v>53</v>
      </c>
      <c r="BC90" s="18">
        <v>1.7666666666666666</v>
      </c>
      <c r="BD90" s="18" t="s">
        <v>477</v>
      </c>
      <c r="BE90" s="295">
        <v>2</v>
      </c>
      <c r="BF90" s="18" t="s">
        <v>471</v>
      </c>
      <c r="BG90" s="279"/>
      <c r="BH90" s="279"/>
      <c r="BI90" s="279"/>
      <c r="BJ90" s="279"/>
      <c r="BK90" s="279"/>
      <c r="BL90" s="279"/>
      <c r="BM90" s="279"/>
      <c r="BN90" s="279"/>
      <c r="BO90" s="279"/>
      <c r="BP90" s="279"/>
      <c r="BQ90" s="279"/>
      <c r="BR90" s="279"/>
      <c r="BS90" s="279"/>
      <c r="BT90" s="279"/>
      <c r="BU90" s="279"/>
      <c r="BV90" s="279"/>
      <c r="BW90" s="279"/>
      <c r="BX90" s="279"/>
      <c r="BY90" s="279"/>
      <c r="BZ90" s="279"/>
      <c r="CA90" s="279"/>
      <c r="CB90" s="279"/>
      <c r="CC90" s="279"/>
      <c r="CD90" s="279"/>
      <c r="CE90" s="279"/>
      <c r="CF90" s="279"/>
      <c r="CG90" s="279"/>
      <c r="CH90" s="279"/>
      <c r="CI90" s="279"/>
      <c r="CJ90" s="279"/>
      <c r="CK90" s="279"/>
      <c r="CL90" s="279"/>
      <c r="CM90" s="279"/>
      <c r="CN90" s="279"/>
      <c r="CO90" s="279"/>
      <c r="CP90" s="279"/>
      <c r="CQ90" s="279"/>
      <c r="CR90" s="279"/>
      <c r="CS90" s="279"/>
      <c r="CT90" s="279"/>
      <c r="CU90" s="279"/>
      <c r="CV90" s="279"/>
      <c r="CW90" s="279"/>
      <c r="CX90" s="279"/>
      <c r="CY90" s="279"/>
      <c r="CZ90" s="279"/>
      <c r="DA90" s="279"/>
      <c r="DB90" s="279"/>
      <c r="DC90" s="279"/>
      <c r="DD90" s="279"/>
      <c r="DE90" s="279"/>
      <c r="DF90" s="279"/>
      <c r="DG90" s="279"/>
      <c r="DH90" s="279"/>
      <c r="DI90" s="279"/>
      <c r="DJ90" s="279"/>
      <c r="DK90" s="279"/>
      <c r="DL90" s="279"/>
      <c r="DM90" s="279"/>
      <c r="DN90" s="279"/>
      <c r="DO90" s="279"/>
      <c r="DP90" s="279"/>
      <c r="DQ90" s="279"/>
      <c r="DR90" s="279"/>
      <c r="DS90" s="279"/>
      <c r="DT90" s="279"/>
      <c r="DU90" s="279"/>
      <c r="DV90" s="279"/>
      <c r="DW90" s="279"/>
      <c r="DX90" s="279"/>
      <c r="DY90" s="279"/>
      <c r="DZ90" s="279"/>
      <c r="EA90" s="279"/>
      <c r="EB90" s="296"/>
    </row>
    <row r="91" spans="1:132" s="297" customFormat="1" ht="12" customHeight="1" x14ac:dyDescent="0.15">
      <c r="A91" s="262">
        <v>135</v>
      </c>
      <c r="B91" s="293" t="s">
        <v>143</v>
      </c>
      <c r="C91" s="262" t="s">
        <v>150</v>
      </c>
      <c r="D91" s="262" t="s">
        <v>53</v>
      </c>
      <c r="E91" s="262" t="s">
        <v>151</v>
      </c>
      <c r="F91" s="262" t="s">
        <v>203</v>
      </c>
      <c r="G91" s="262" t="s">
        <v>207</v>
      </c>
      <c r="H91" s="19">
        <v>360</v>
      </c>
      <c r="I91" s="263">
        <v>21.859000000000002</v>
      </c>
      <c r="J91" s="263">
        <v>6.0999999999999999E-2</v>
      </c>
      <c r="K91" s="263">
        <v>0.36599999999999999</v>
      </c>
      <c r="L91" s="19">
        <v>12.1</v>
      </c>
      <c r="M91" s="18">
        <v>20</v>
      </c>
      <c r="N91" s="19">
        <v>14.3</v>
      </c>
      <c r="O91" s="263">
        <v>1.1679999999999999</v>
      </c>
      <c r="P91" s="263">
        <v>8.2000000000000003E-2</v>
      </c>
      <c r="Q91" s="263">
        <v>0.313</v>
      </c>
      <c r="R91" s="19">
        <v>5.9</v>
      </c>
      <c r="S91" s="18">
        <v>1074</v>
      </c>
      <c r="T91" s="19">
        <v>0</v>
      </c>
      <c r="U91" s="19">
        <v>9.1</v>
      </c>
      <c r="V91" s="18">
        <v>19</v>
      </c>
      <c r="W91" s="19">
        <v>17</v>
      </c>
      <c r="X91" s="263">
        <v>1.004</v>
      </c>
      <c r="Y91" s="263">
        <v>5.8999999999999997E-2</v>
      </c>
      <c r="Z91" s="263">
        <v>0.25600000000000001</v>
      </c>
      <c r="AA91" s="19">
        <v>9</v>
      </c>
      <c r="AB91" s="18">
        <v>1435</v>
      </c>
      <c r="AC91" s="19">
        <v>0</v>
      </c>
      <c r="AD91" s="19">
        <v>9.8000000000000007</v>
      </c>
      <c r="AE91" s="18">
        <v>11</v>
      </c>
      <c r="AF91" s="19">
        <v>10.4</v>
      </c>
      <c r="AG91" s="263">
        <v>1.2410000000000001</v>
      </c>
      <c r="AH91" s="263">
        <v>0.11899999999999999</v>
      </c>
      <c r="AI91" s="19">
        <v>0</v>
      </c>
      <c r="AJ91" s="18">
        <v>12</v>
      </c>
      <c r="AK91" s="19">
        <v>349.6</v>
      </c>
      <c r="AL91" s="263">
        <v>20.619</v>
      </c>
      <c r="AM91" s="263">
        <v>5.8999999999999997E-2</v>
      </c>
      <c r="AN91" s="19">
        <v>12.1</v>
      </c>
      <c r="AO91" s="309"/>
      <c r="AP91" s="309"/>
      <c r="AQ91" s="309"/>
      <c r="AR91" s="309"/>
      <c r="AS91" s="18"/>
      <c r="AT91" s="18">
        <f>Table1[[#This Row],[Object_A_._head_time]]+Table1[[#This Row],[Object_B_._head_time]]</f>
        <v>31.3</v>
      </c>
      <c r="AU91" s="18">
        <f>Table1[[#This Row],[Object_B_._head_time]]-Table1[[#This Row],[Object_A_._head_time]]</f>
        <v>2.6999999999999993</v>
      </c>
      <c r="AV91" s="19">
        <f>Table1[[#This Row],[D1: Absolute discrimination measure (D1 = B2- A2)]]/Table1[[#This Row],[E2: total exploration time in second trial E2 ( E2 = A2 + B2)]]</f>
        <v>8.6261980830670895E-2</v>
      </c>
      <c r="AW91" s="309">
        <f>Table1[[#This Row],[Object_B_._head_time]]/Table1[[#This Row],[E2: total exploration time in second trial E2 ( E2 = A2 + B2)]]</f>
        <v>0.54313099041533541</v>
      </c>
      <c r="AX91" s="294"/>
      <c r="AY91" s="262" t="s">
        <v>487</v>
      </c>
      <c r="AZ91" s="262" t="s">
        <v>476</v>
      </c>
      <c r="BA91" s="18" t="s">
        <v>475</v>
      </c>
      <c r="BB91" s="18">
        <v>42</v>
      </c>
      <c r="BC91" s="18">
        <v>1.4</v>
      </c>
      <c r="BD91" s="18" t="s">
        <v>474</v>
      </c>
      <c r="BE91" s="295">
        <v>5</v>
      </c>
      <c r="BF91" s="18"/>
      <c r="BG91" s="279"/>
      <c r="BH91" s="279"/>
      <c r="BI91" s="279"/>
      <c r="BJ91" s="279"/>
      <c r="BK91" s="279"/>
      <c r="BL91" s="279"/>
      <c r="BM91" s="279"/>
      <c r="BN91" s="279"/>
      <c r="BO91" s="279"/>
      <c r="BP91" s="279"/>
      <c r="BQ91" s="279"/>
      <c r="BR91" s="279"/>
      <c r="BS91" s="279"/>
      <c r="BT91" s="279"/>
      <c r="BU91" s="279"/>
      <c r="BV91" s="279"/>
      <c r="BW91" s="279"/>
      <c r="BX91" s="279"/>
      <c r="BY91" s="279"/>
      <c r="BZ91" s="279"/>
      <c r="CA91" s="279"/>
      <c r="CB91" s="279"/>
      <c r="CC91" s="279"/>
      <c r="CD91" s="279"/>
      <c r="CE91" s="279"/>
      <c r="CF91" s="279"/>
      <c r="CG91" s="279"/>
      <c r="CH91" s="279"/>
      <c r="CI91" s="279"/>
      <c r="CJ91" s="279"/>
      <c r="CK91" s="279"/>
      <c r="CL91" s="279"/>
      <c r="CM91" s="279"/>
      <c r="CN91" s="279"/>
      <c r="CO91" s="279"/>
      <c r="CP91" s="279"/>
      <c r="CQ91" s="279"/>
      <c r="CR91" s="279"/>
      <c r="CS91" s="279"/>
      <c r="CT91" s="279"/>
      <c r="CU91" s="279"/>
      <c r="CV91" s="279"/>
      <c r="CW91" s="279"/>
      <c r="CX91" s="279"/>
      <c r="CY91" s="279"/>
      <c r="CZ91" s="279"/>
      <c r="DA91" s="279"/>
      <c r="DB91" s="279"/>
      <c r="DC91" s="279"/>
      <c r="DD91" s="279"/>
      <c r="DE91" s="279"/>
      <c r="DF91" s="279"/>
      <c r="DG91" s="279"/>
      <c r="DH91" s="279"/>
      <c r="DI91" s="279"/>
      <c r="DJ91" s="279"/>
      <c r="DK91" s="279"/>
      <c r="DL91" s="279"/>
      <c r="DM91" s="279"/>
      <c r="DN91" s="279"/>
      <c r="DO91" s="279"/>
      <c r="DP91" s="279"/>
      <c r="DQ91" s="279"/>
      <c r="DR91" s="279"/>
      <c r="DS91" s="279"/>
      <c r="DT91" s="279"/>
      <c r="DU91" s="279"/>
      <c r="DV91" s="279"/>
      <c r="DW91" s="279"/>
      <c r="DX91" s="279"/>
      <c r="DY91" s="279"/>
      <c r="DZ91" s="279"/>
      <c r="EA91" s="279"/>
      <c r="EB91" s="296"/>
    </row>
    <row r="92" spans="1:132" s="297" customFormat="1" ht="12" customHeight="1" x14ac:dyDescent="0.15">
      <c r="A92" s="262">
        <v>138</v>
      </c>
      <c r="B92" s="293" t="s">
        <v>145</v>
      </c>
      <c r="C92" s="262" t="s">
        <v>150</v>
      </c>
      <c r="D92" s="262" t="s">
        <v>41</v>
      </c>
      <c r="E92" s="262" t="s">
        <v>151</v>
      </c>
      <c r="F92" s="262" t="s">
        <v>208</v>
      </c>
      <c r="G92" s="262" t="s">
        <v>209</v>
      </c>
      <c r="H92" s="19">
        <v>360</v>
      </c>
      <c r="I92" s="263">
        <v>15.161</v>
      </c>
      <c r="J92" s="263">
        <v>4.2000000000000003E-2</v>
      </c>
      <c r="K92" s="263">
        <v>0.755</v>
      </c>
      <c r="L92" s="19">
        <v>18.899999999999999</v>
      </c>
      <c r="M92" s="18">
        <v>12</v>
      </c>
      <c r="N92" s="19">
        <v>11.3</v>
      </c>
      <c r="O92" s="263">
        <v>0.28499999999999998</v>
      </c>
      <c r="P92" s="263">
        <v>2.5000000000000001E-2</v>
      </c>
      <c r="Q92" s="263">
        <v>0.16800000000000001</v>
      </c>
      <c r="R92" s="19">
        <v>6.2</v>
      </c>
      <c r="S92" s="18">
        <v>596</v>
      </c>
      <c r="T92" s="19">
        <v>0</v>
      </c>
      <c r="U92" s="19">
        <v>7.5</v>
      </c>
      <c r="V92" s="18">
        <v>15</v>
      </c>
      <c r="W92" s="19">
        <v>16.2</v>
      </c>
      <c r="X92" s="263">
        <v>0.66400000000000003</v>
      </c>
      <c r="Y92" s="263">
        <v>4.1000000000000002E-2</v>
      </c>
      <c r="Z92" s="263">
        <v>0.182</v>
      </c>
      <c r="AA92" s="19">
        <v>10.8</v>
      </c>
      <c r="AB92" s="18">
        <v>1161</v>
      </c>
      <c r="AC92" s="19">
        <v>0</v>
      </c>
      <c r="AD92" s="19">
        <v>8.8000000000000007</v>
      </c>
      <c r="AE92" s="18">
        <v>5</v>
      </c>
      <c r="AF92" s="19">
        <v>8.4</v>
      </c>
      <c r="AG92" s="263">
        <v>0.91900000000000004</v>
      </c>
      <c r="AH92" s="263">
        <v>0.11</v>
      </c>
      <c r="AI92" s="19">
        <v>0</v>
      </c>
      <c r="AJ92" s="18">
        <v>6</v>
      </c>
      <c r="AK92" s="19">
        <v>351.6</v>
      </c>
      <c r="AL92" s="263">
        <v>14.242000000000001</v>
      </c>
      <c r="AM92" s="263">
        <v>4.1000000000000002E-2</v>
      </c>
      <c r="AN92" s="19">
        <v>18.899999999999999</v>
      </c>
      <c r="AO92" s="309"/>
      <c r="AP92" s="309"/>
      <c r="AQ92" s="309"/>
      <c r="AR92" s="309"/>
      <c r="AS92" s="18"/>
      <c r="AT92" s="18">
        <f>Table1[[#This Row],[Object_A_._head_time]]+Table1[[#This Row],[Object_B_._head_time]]</f>
        <v>27.5</v>
      </c>
      <c r="AU92" s="18">
        <f>Table1[[#This Row],[Object_B_._head_time]]-Table1[[#This Row],[Object_A_._head_time]]</f>
        <v>4.8999999999999986</v>
      </c>
      <c r="AV92" s="19">
        <f>Table1[[#This Row],[D1: Absolute discrimination measure (D1 = B2- A2)]]/Table1[[#This Row],[E2: total exploration time in second trial E2 ( E2 = A2 + B2)]]</f>
        <v>0.17818181818181814</v>
      </c>
      <c r="AW92" s="309">
        <f>Table1[[#This Row],[Object_B_._head_time]]/Table1[[#This Row],[E2: total exploration time in second trial E2 ( E2 = A2 + B2)]]</f>
        <v>0.58909090909090911</v>
      </c>
      <c r="AX92" s="294"/>
      <c r="AY92" s="262" t="s">
        <v>487</v>
      </c>
      <c r="AZ92" s="262" t="s">
        <v>476</v>
      </c>
      <c r="BA92" s="18" t="s">
        <v>473</v>
      </c>
      <c r="BB92" s="18">
        <v>42</v>
      </c>
      <c r="BC92" s="18">
        <v>1.4</v>
      </c>
      <c r="BD92" s="18" t="s">
        <v>477</v>
      </c>
      <c r="BE92" s="295">
        <v>8</v>
      </c>
      <c r="BF92" s="18"/>
      <c r="BG92" s="279"/>
      <c r="BH92" s="279"/>
      <c r="BI92" s="279"/>
      <c r="BJ92" s="279"/>
      <c r="BK92" s="279"/>
      <c r="BL92" s="279"/>
      <c r="BM92" s="279"/>
      <c r="BN92" s="279"/>
      <c r="BO92" s="279"/>
      <c r="BP92" s="279"/>
      <c r="BQ92" s="279"/>
      <c r="BR92" s="279"/>
      <c r="BS92" s="279"/>
      <c r="BT92" s="279"/>
      <c r="BU92" s="279"/>
      <c r="BV92" s="279"/>
      <c r="BW92" s="279"/>
      <c r="BX92" s="279"/>
      <c r="BY92" s="279"/>
      <c r="BZ92" s="279"/>
      <c r="CA92" s="279"/>
      <c r="CB92" s="279"/>
      <c r="CC92" s="279"/>
      <c r="CD92" s="279"/>
      <c r="CE92" s="279"/>
      <c r="CF92" s="279"/>
      <c r="CG92" s="279"/>
      <c r="CH92" s="279"/>
      <c r="CI92" s="279"/>
      <c r="CJ92" s="279"/>
      <c r="CK92" s="279"/>
      <c r="CL92" s="279"/>
      <c r="CM92" s="279"/>
      <c r="CN92" s="279"/>
      <c r="CO92" s="279"/>
      <c r="CP92" s="279"/>
      <c r="CQ92" s="279"/>
      <c r="CR92" s="279"/>
      <c r="CS92" s="279"/>
      <c r="CT92" s="279"/>
      <c r="CU92" s="279"/>
      <c r="CV92" s="279"/>
      <c r="CW92" s="279"/>
      <c r="CX92" s="279"/>
      <c r="CY92" s="279"/>
      <c r="CZ92" s="279"/>
      <c r="DA92" s="279"/>
      <c r="DB92" s="279"/>
      <c r="DC92" s="279"/>
      <c r="DD92" s="279"/>
      <c r="DE92" s="279"/>
      <c r="DF92" s="279"/>
      <c r="DG92" s="279"/>
      <c r="DH92" s="279"/>
      <c r="DI92" s="279"/>
      <c r="DJ92" s="279"/>
      <c r="DK92" s="279"/>
      <c r="DL92" s="279"/>
      <c r="DM92" s="279"/>
      <c r="DN92" s="279"/>
      <c r="DO92" s="279"/>
      <c r="DP92" s="279"/>
      <c r="DQ92" s="279"/>
      <c r="DR92" s="279"/>
      <c r="DS92" s="279"/>
      <c r="DT92" s="279"/>
      <c r="DU92" s="279"/>
      <c r="DV92" s="279"/>
      <c r="DW92" s="279"/>
      <c r="DX92" s="279"/>
      <c r="DY92" s="279"/>
      <c r="DZ92" s="279"/>
      <c r="EA92" s="279"/>
      <c r="EB92" s="296"/>
    </row>
    <row r="93" spans="1:132" s="297" customFormat="1" ht="12" customHeight="1" x14ac:dyDescent="0.15">
      <c r="A93" s="262">
        <v>137</v>
      </c>
      <c r="B93" s="293" t="s">
        <v>148</v>
      </c>
      <c r="C93" s="262" t="s">
        <v>150</v>
      </c>
      <c r="D93" s="262" t="s">
        <v>46</v>
      </c>
      <c r="E93" s="262" t="s">
        <v>151</v>
      </c>
      <c r="F93" s="262" t="s">
        <v>208</v>
      </c>
      <c r="G93" s="262" t="s">
        <v>210</v>
      </c>
      <c r="H93" s="19">
        <v>360</v>
      </c>
      <c r="I93" s="263">
        <v>15.92</v>
      </c>
      <c r="J93" s="263">
        <v>4.3999999999999997E-2</v>
      </c>
      <c r="K93" s="263">
        <v>0.25</v>
      </c>
      <c r="L93" s="19">
        <v>23.1</v>
      </c>
      <c r="M93" s="18">
        <v>46</v>
      </c>
      <c r="N93" s="19">
        <v>51.2</v>
      </c>
      <c r="O93" s="263">
        <v>1.4790000000000001</v>
      </c>
      <c r="P93" s="263">
        <v>2.9000000000000001E-2</v>
      </c>
      <c r="Q93" s="263">
        <v>0.224</v>
      </c>
      <c r="R93" s="19">
        <v>9.3000000000000007</v>
      </c>
      <c r="S93" s="18">
        <v>4045</v>
      </c>
      <c r="T93" s="19">
        <v>10.5</v>
      </c>
      <c r="U93" s="19">
        <v>24.3</v>
      </c>
      <c r="V93" s="18">
        <v>28</v>
      </c>
      <c r="W93" s="19">
        <v>33.4</v>
      </c>
      <c r="X93" s="263">
        <v>1.81</v>
      </c>
      <c r="Y93" s="263">
        <v>5.3999999999999999E-2</v>
      </c>
      <c r="Z93" s="263">
        <v>0.248</v>
      </c>
      <c r="AA93" s="19">
        <v>6.3</v>
      </c>
      <c r="AB93" s="18">
        <v>2684</v>
      </c>
      <c r="AC93" s="19">
        <v>0</v>
      </c>
      <c r="AD93" s="19">
        <v>9.1</v>
      </c>
      <c r="AE93" s="18">
        <v>13</v>
      </c>
      <c r="AF93" s="19">
        <v>15.3</v>
      </c>
      <c r="AG93" s="263">
        <v>1.68</v>
      </c>
      <c r="AH93" s="263">
        <v>0.11</v>
      </c>
      <c r="AI93" s="19">
        <v>0</v>
      </c>
      <c r="AJ93" s="18">
        <v>14</v>
      </c>
      <c r="AK93" s="19">
        <v>344.7</v>
      </c>
      <c r="AL93" s="263">
        <v>14.24</v>
      </c>
      <c r="AM93" s="263">
        <v>4.1000000000000002E-2</v>
      </c>
      <c r="AN93" s="19">
        <v>23.1</v>
      </c>
      <c r="AO93" s="309"/>
      <c r="AP93" s="309"/>
      <c r="AQ93" s="309"/>
      <c r="AR93" s="309"/>
      <c r="AS93" s="18"/>
      <c r="AT93" s="18">
        <f>Table1[[#This Row],[Object_A_._head_time]]+Table1[[#This Row],[Object_B_._head_time]]</f>
        <v>84.6</v>
      </c>
      <c r="AU93" s="18">
        <f>Table1[[#This Row],[Object_B_._head_time]]-Table1[[#This Row],[Object_A_._head_time]]</f>
        <v>-17.800000000000004</v>
      </c>
      <c r="AV93" s="19">
        <f>Table1[[#This Row],[D1: Absolute discrimination measure (D1 = B2- A2)]]/Table1[[#This Row],[E2: total exploration time in second trial E2 ( E2 = A2 + B2)]]</f>
        <v>-0.21040189125295514</v>
      </c>
      <c r="AW93" s="309">
        <f>Table1[[#This Row],[Object_B_._head_time]]/Table1[[#This Row],[E2: total exploration time in second trial E2 ( E2 = A2 + B2)]]</f>
        <v>0.39479905437352247</v>
      </c>
      <c r="AX93" s="294"/>
      <c r="AY93" s="14" t="s">
        <v>487</v>
      </c>
      <c r="AZ93" s="14" t="s">
        <v>476</v>
      </c>
      <c r="BA93" s="18" t="s">
        <v>473</v>
      </c>
      <c r="BB93" s="18">
        <v>42</v>
      </c>
      <c r="BC93" s="19">
        <v>1.4</v>
      </c>
      <c r="BD93" s="18" t="s">
        <v>474</v>
      </c>
      <c r="BE93" s="295">
        <v>7</v>
      </c>
      <c r="BF93" s="18"/>
      <c r="BG93" s="279"/>
      <c r="BH93" s="279"/>
      <c r="BI93" s="279"/>
      <c r="BJ93" s="279"/>
      <c r="BK93" s="279"/>
      <c r="BL93" s="279"/>
      <c r="BM93" s="279"/>
      <c r="BN93" s="279"/>
      <c r="BO93" s="279"/>
      <c r="BP93" s="279"/>
      <c r="BQ93" s="279"/>
      <c r="BR93" s="279"/>
      <c r="BS93" s="279"/>
      <c r="BT93" s="279"/>
      <c r="BU93" s="279"/>
      <c r="BV93" s="279"/>
      <c r="BW93" s="279"/>
      <c r="BX93" s="279"/>
      <c r="BY93" s="279"/>
      <c r="BZ93" s="279"/>
      <c r="CA93" s="279"/>
      <c r="CB93" s="279"/>
      <c r="CC93" s="279"/>
      <c r="CD93" s="279"/>
      <c r="CE93" s="279"/>
      <c r="CF93" s="279"/>
      <c r="CG93" s="279"/>
      <c r="CH93" s="279"/>
      <c r="CI93" s="279"/>
      <c r="CJ93" s="279"/>
      <c r="CK93" s="279"/>
      <c r="CL93" s="279"/>
      <c r="CM93" s="279"/>
      <c r="CN93" s="279"/>
      <c r="CO93" s="279"/>
      <c r="CP93" s="279"/>
      <c r="CQ93" s="279"/>
      <c r="CR93" s="279"/>
      <c r="CS93" s="279"/>
      <c r="CT93" s="279"/>
      <c r="CU93" s="279"/>
      <c r="CV93" s="279"/>
      <c r="CW93" s="279"/>
      <c r="CX93" s="279"/>
      <c r="CY93" s="279"/>
      <c r="CZ93" s="279"/>
      <c r="DA93" s="279"/>
      <c r="DB93" s="279"/>
      <c r="DC93" s="279"/>
      <c r="DD93" s="279"/>
      <c r="DE93" s="279"/>
      <c r="DF93" s="279"/>
      <c r="DG93" s="279"/>
      <c r="DH93" s="279"/>
      <c r="DI93" s="279"/>
      <c r="DJ93" s="279"/>
      <c r="DK93" s="279"/>
      <c r="DL93" s="279"/>
      <c r="DM93" s="279"/>
      <c r="DN93" s="279"/>
      <c r="DO93" s="279"/>
      <c r="DP93" s="279"/>
      <c r="DQ93" s="279"/>
      <c r="DR93" s="279"/>
      <c r="DS93" s="279"/>
      <c r="DT93" s="279"/>
      <c r="DU93" s="279"/>
      <c r="DV93" s="279"/>
      <c r="DW93" s="279"/>
      <c r="DX93" s="279"/>
      <c r="DY93" s="279"/>
      <c r="DZ93" s="279"/>
      <c r="EA93" s="279"/>
      <c r="EB93" s="296"/>
    </row>
    <row r="94" spans="1:132" ht="12" customHeight="1" x14ac:dyDescent="0.15">
      <c r="A94" s="314">
        <v>2</v>
      </c>
      <c r="B94" s="313" t="s">
        <v>39</v>
      </c>
      <c r="C94" s="314" t="s">
        <v>40</v>
      </c>
      <c r="D94" s="314" t="s">
        <v>41</v>
      </c>
      <c r="E94" s="314" t="s">
        <v>42</v>
      </c>
      <c r="F94" s="314" t="s">
        <v>43</v>
      </c>
      <c r="G94" s="314" t="s">
        <v>44</v>
      </c>
      <c r="H94" s="315">
        <v>300</v>
      </c>
      <c r="I94" s="316">
        <v>10.212</v>
      </c>
      <c r="J94" s="316">
        <v>3.4000000000000002E-2</v>
      </c>
      <c r="K94" s="316">
        <v>0.32300000000000001</v>
      </c>
      <c r="L94" s="315">
        <v>35.9</v>
      </c>
      <c r="M94" s="317">
        <v>17</v>
      </c>
      <c r="N94" s="315">
        <v>9.9</v>
      </c>
      <c r="O94" s="316">
        <v>0.85099999999999998</v>
      </c>
      <c r="P94" s="316">
        <v>8.5999999999999993E-2</v>
      </c>
      <c r="Q94" s="316">
        <v>0.28399999999999997</v>
      </c>
      <c r="R94" s="315">
        <v>1.8</v>
      </c>
      <c r="S94" s="317">
        <v>724</v>
      </c>
      <c r="T94" s="315">
        <v>0</v>
      </c>
      <c r="U94" s="315">
        <v>1.7</v>
      </c>
      <c r="V94" s="317">
        <v>12</v>
      </c>
      <c r="W94" s="315">
        <v>9.4</v>
      </c>
      <c r="X94" s="316">
        <v>0.82099999999999995</v>
      </c>
      <c r="Y94" s="316">
        <v>8.7999999999999995E-2</v>
      </c>
      <c r="Z94" s="316">
        <v>0.22700000000000001</v>
      </c>
      <c r="AA94" s="315">
        <v>0.9</v>
      </c>
      <c r="AB94" s="317">
        <v>508</v>
      </c>
      <c r="AC94" s="315">
        <v>0</v>
      </c>
      <c r="AD94" s="315">
        <v>4.0999999999999996</v>
      </c>
      <c r="AE94" s="317">
        <v>7</v>
      </c>
      <c r="AF94" s="315">
        <v>7.3</v>
      </c>
      <c r="AG94" s="316">
        <v>1.19</v>
      </c>
      <c r="AH94" s="316">
        <v>0.16200000000000001</v>
      </c>
      <c r="AI94" s="315">
        <v>0</v>
      </c>
      <c r="AJ94" s="317">
        <v>8</v>
      </c>
      <c r="AK94" s="315">
        <v>292.7</v>
      </c>
      <c r="AL94" s="316">
        <v>9.0220000000000002</v>
      </c>
      <c r="AM94" s="316">
        <v>3.1E-2</v>
      </c>
      <c r="AN94" s="315">
        <v>35.9</v>
      </c>
      <c r="AO94" s="318">
        <f>Table1[[#This Row],[Inside_._time]]/Table1[[#This Row],[Duration]]</f>
        <v>2.4333333333333332E-2</v>
      </c>
      <c r="AP94" s="318">
        <f>Table1[[#This Row],[Outside_._time]]/Table1[[#This Row],[Duration]]</f>
        <v>0.97566666666666668</v>
      </c>
      <c r="AQ94" s="318">
        <f>Table1[[#This Row],[Inside_._distance]]/Table1[[#This Row],[Distance]]</f>
        <v>0.11652957305131217</v>
      </c>
      <c r="AR94" s="318">
        <f>Table1[[#This Row],[Outside_._distance]]/Table1[[#This Row],[Distance]]</f>
        <v>0.88347042694868783</v>
      </c>
      <c r="AS94" s="317"/>
      <c r="AT94" s="319"/>
      <c r="AU94" s="319"/>
      <c r="AV94" s="320"/>
      <c r="AW94" s="319"/>
      <c r="AX94" s="319"/>
      <c r="AY94" s="321" t="s">
        <v>486</v>
      </c>
      <c r="AZ94" s="321" t="s">
        <v>472</v>
      </c>
      <c r="BA94" s="317" t="s">
        <v>473</v>
      </c>
      <c r="BB94" s="317">
        <v>99</v>
      </c>
      <c r="BC94" s="315">
        <v>3.3</v>
      </c>
      <c r="BD94" s="317" t="s">
        <v>474</v>
      </c>
      <c r="BE94" s="340">
        <v>3</v>
      </c>
      <c r="BF94" s="317"/>
      <c r="BG94" s="279"/>
      <c r="BH94" s="279"/>
      <c r="BI94" s="279"/>
      <c r="BJ94" s="279"/>
      <c r="BK94" s="279"/>
      <c r="BL94" s="279"/>
      <c r="BM94" s="279"/>
      <c r="BN94" s="279"/>
      <c r="BO94" s="279"/>
      <c r="BP94" s="279"/>
      <c r="BQ94" s="279"/>
      <c r="BR94" s="279"/>
      <c r="BS94" s="279"/>
      <c r="BT94" s="279"/>
      <c r="BU94" s="279"/>
      <c r="BV94" s="279"/>
      <c r="BW94" s="279"/>
      <c r="BX94" s="279"/>
      <c r="BY94" s="279"/>
      <c r="BZ94" s="279"/>
      <c r="CA94" s="279"/>
      <c r="CB94" s="279"/>
      <c r="CC94" s="279"/>
      <c r="CD94" s="279"/>
      <c r="CE94" s="279"/>
      <c r="CF94" s="279"/>
      <c r="CG94" s="279"/>
      <c r="CH94" s="279"/>
      <c r="CI94" s="279"/>
      <c r="CJ94" s="279"/>
      <c r="CK94" s="279"/>
      <c r="CL94" s="279"/>
      <c r="CM94" s="279"/>
      <c r="CN94" s="279"/>
      <c r="CO94" s="279"/>
      <c r="CP94" s="279"/>
      <c r="CQ94" s="279"/>
      <c r="CR94" s="279"/>
      <c r="CS94" s="279"/>
      <c r="CT94" s="279"/>
      <c r="CU94" s="279"/>
      <c r="CV94" s="279"/>
      <c r="CW94" s="279"/>
      <c r="CX94" s="279"/>
      <c r="CY94" s="279"/>
      <c r="CZ94" s="279"/>
      <c r="DA94" s="279"/>
      <c r="DB94" s="279"/>
      <c r="DC94" s="279"/>
      <c r="DD94" s="279"/>
      <c r="DE94" s="279"/>
      <c r="DF94" s="279"/>
      <c r="DG94" s="279"/>
      <c r="DH94" s="279"/>
      <c r="DI94" s="279"/>
      <c r="DJ94" s="279"/>
      <c r="DK94" s="279"/>
      <c r="DL94" s="279"/>
      <c r="DM94" s="279"/>
      <c r="DN94" s="279"/>
      <c r="DO94" s="279"/>
      <c r="DP94" s="279"/>
      <c r="DQ94" s="279"/>
      <c r="DR94" s="279"/>
      <c r="DS94" s="279"/>
      <c r="DT94" s="279"/>
      <c r="DU94" s="279"/>
      <c r="DV94" s="279"/>
      <c r="DW94" s="279"/>
      <c r="DX94" s="279"/>
      <c r="DY94" s="279"/>
      <c r="DZ94" s="279"/>
      <c r="EA94" s="279"/>
    </row>
    <row r="95" spans="1:132" ht="12" customHeight="1" x14ac:dyDescent="0.15">
      <c r="A95" s="314">
        <v>1</v>
      </c>
      <c r="B95" s="313" t="s">
        <v>45</v>
      </c>
      <c r="C95" s="314" t="s">
        <v>40</v>
      </c>
      <c r="D95" s="314" t="s">
        <v>46</v>
      </c>
      <c r="E95" s="314" t="s">
        <v>42</v>
      </c>
      <c r="F95" s="314" t="s">
        <v>43</v>
      </c>
      <c r="G95" s="314" t="s">
        <v>47</v>
      </c>
      <c r="H95" s="315">
        <v>300</v>
      </c>
      <c r="I95" s="316">
        <v>10.920999999999999</v>
      </c>
      <c r="J95" s="316">
        <v>3.5999999999999997E-2</v>
      </c>
      <c r="K95" s="316">
        <v>0.24299999999999999</v>
      </c>
      <c r="L95" s="315">
        <v>11.9</v>
      </c>
      <c r="M95" s="317">
        <v>20</v>
      </c>
      <c r="N95" s="315">
        <v>53.4</v>
      </c>
      <c r="O95" s="316">
        <v>1.1519999999999999</v>
      </c>
      <c r="P95" s="316">
        <v>2.1999999999999999E-2</v>
      </c>
      <c r="Q95" s="316">
        <v>0.216</v>
      </c>
      <c r="R95" s="315">
        <v>7.9</v>
      </c>
      <c r="S95" s="317">
        <v>3572</v>
      </c>
      <c r="T95" s="315">
        <v>3.7</v>
      </c>
      <c r="U95" s="315">
        <v>13.5</v>
      </c>
      <c r="V95" s="317">
        <v>28</v>
      </c>
      <c r="W95" s="315">
        <v>31.2</v>
      </c>
      <c r="X95" s="316">
        <v>1.4510000000000001</v>
      </c>
      <c r="Y95" s="316">
        <v>4.5999999999999999E-2</v>
      </c>
      <c r="Z95" s="316">
        <v>0.21299999999999999</v>
      </c>
      <c r="AA95" s="315">
        <v>7.3</v>
      </c>
      <c r="AB95" s="317">
        <v>2497</v>
      </c>
      <c r="AC95" s="315">
        <v>0</v>
      </c>
      <c r="AD95" s="315">
        <v>9.1999999999999993</v>
      </c>
      <c r="AE95" s="317">
        <v>26</v>
      </c>
      <c r="AF95" s="315">
        <v>48.9</v>
      </c>
      <c r="AG95" s="316">
        <v>3.4249999999999998</v>
      </c>
      <c r="AH95" s="316">
        <v>7.0000000000000007E-2</v>
      </c>
      <c r="AI95" s="315">
        <v>0</v>
      </c>
      <c r="AJ95" s="317">
        <v>27</v>
      </c>
      <c r="AK95" s="315">
        <v>251.1</v>
      </c>
      <c r="AL95" s="316">
        <v>7.4969999999999999</v>
      </c>
      <c r="AM95" s="316">
        <v>0.03</v>
      </c>
      <c r="AN95" s="315">
        <v>11.9</v>
      </c>
      <c r="AO95" s="318">
        <f>Table1[[#This Row],[Inside_._time]]/Table1[[#This Row],[Duration]]</f>
        <v>0.16300000000000001</v>
      </c>
      <c r="AP95" s="318">
        <f>Table1[[#This Row],[Outside_._time]]/Table1[[#This Row],[Duration]]</f>
        <v>0.83699999999999997</v>
      </c>
      <c r="AQ95" s="318">
        <f>Table1[[#This Row],[Inside_._distance]]/Table1[[#This Row],[Distance]]</f>
        <v>0.31361596923358664</v>
      </c>
      <c r="AR95" s="318">
        <f>Table1[[#This Row],[Outside_._distance]]/Table1[[#This Row],[Distance]]</f>
        <v>0.68647559747275888</v>
      </c>
      <c r="AS95" s="317"/>
      <c r="AT95" s="319"/>
      <c r="AU95" s="319"/>
      <c r="AV95" s="320"/>
      <c r="AW95" s="319"/>
      <c r="AX95" s="319"/>
      <c r="AY95" s="321" t="s">
        <v>487</v>
      </c>
      <c r="AZ95" s="321" t="s">
        <v>472</v>
      </c>
      <c r="BA95" s="317" t="s">
        <v>475</v>
      </c>
      <c r="BB95" s="317">
        <v>99</v>
      </c>
      <c r="BC95" s="315">
        <v>3.3</v>
      </c>
      <c r="BD95" s="317" t="s">
        <v>474</v>
      </c>
      <c r="BE95" s="340">
        <v>1</v>
      </c>
      <c r="BF95" s="317"/>
      <c r="BG95" s="279"/>
      <c r="BH95" s="279"/>
      <c r="BI95" s="279"/>
      <c r="BJ95" s="279"/>
      <c r="BK95" s="279"/>
      <c r="BL95" s="279"/>
      <c r="BM95" s="279"/>
      <c r="BN95" s="279"/>
      <c r="BO95" s="279"/>
      <c r="BP95" s="279"/>
      <c r="BQ95" s="279"/>
      <c r="BR95" s="279"/>
      <c r="BS95" s="279"/>
      <c r="BT95" s="279"/>
      <c r="BU95" s="279"/>
      <c r="BV95" s="279"/>
      <c r="BW95" s="279"/>
      <c r="BX95" s="279"/>
      <c r="BY95" s="279"/>
      <c r="BZ95" s="279"/>
      <c r="CA95" s="279"/>
      <c r="CB95" s="279"/>
      <c r="CC95" s="279"/>
      <c r="CD95" s="279"/>
      <c r="CE95" s="279"/>
      <c r="CF95" s="279"/>
      <c r="CG95" s="279"/>
      <c r="CH95" s="279"/>
      <c r="CI95" s="279"/>
      <c r="CJ95" s="279"/>
      <c r="CK95" s="279"/>
      <c r="CL95" s="279"/>
      <c r="CM95" s="279"/>
      <c r="CN95" s="279"/>
      <c r="CO95" s="279"/>
      <c r="CP95" s="279"/>
      <c r="CQ95" s="279"/>
      <c r="CR95" s="279"/>
      <c r="CS95" s="279"/>
      <c r="CT95" s="279"/>
      <c r="CU95" s="279"/>
      <c r="CV95" s="279"/>
      <c r="CW95" s="279"/>
      <c r="CX95" s="279"/>
      <c r="CY95" s="279"/>
      <c r="CZ95" s="279"/>
      <c r="DA95" s="279"/>
      <c r="DB95" s="279"/>
      <c r="DC95" s="279"/>
      <c r="DD95" s="279"/>
      <c r="DE95" s="279"/>
      <c r="DF95" s="279"/>
      <c r="DG95" s="279"/>
      <c r="DH95" s="279"/>
      <c r="DI95" s="279"/>
      <c r="DJ95" s="279"/>
      <c r="DK95" s="279"/>
      <c r="DL95" s="279"/>
      <c r="DM95" s="279"/>
      <c r="DN95" s="279"/>
      <c r="DO95" s="279"/>
      <c r="DP95" s="279"/>
      <c r="DQ95" s="279"/>
      <c r="DR95" s="279"/>
      <c r="DS95" s="279"/>
      <c r="DT95" s="279"/>
      <c r="DU95" s="279"/>
      <c r="DV95" s="279"/>
      <c r="DW95" s="279"/>
      <c r="DX95" s="279"/>
      <c r="DY95" s="279"/>
      <c r="DZ95" s="279"/>
      <c r="EA95" s="279"/>
    </row>
    <row r="96" spans="1:132" ht="12" customHeight="1" x14ac:dyDescent="0.15">
      <c r="A96" s="314">
        <v>4</v>
      </c>
      <c r="B96" s="313" t="s">
        <v>48</v>
      </c>
      <c r="C96" s="314" t="s">
        <v>40</v>
      </c>
      <c r="D96" s="314" t="s">
        <v>49</v>
      </c>
      <c r="E96" s="314" t="s">
        <v>42</v>
      </c>
      <c r="F96" s="314" t="s">
        <v>43</v>
      </c>
      <c r="G96" s="314" t="s">
        <v>50</v>
      </c>
      <c r="H96" s="315">
        <v>300</v>
      </c>
      <c r="I96" s="316">
        <v>7.4870000000000001</v>
      </c>
      <c r="J96" s="316">
        <v>2.5000000000000001E-2</v>
      </c>
      <c r="K96" s="316">
        <v>0.248</v>
      </c>
      <c r="L96" s="315">
        <v>95.7</v>
      </c>
      <c r="M96" s="317">
        <v>21</v>
      </c>
      <c r="N96" s="315">
        <v>40.299999999999997</v>
      </c>
      <c r="O96" s="316">
        <v>0.76300000000000001</v>
      </c>
      <c r="P96" s="316">
        <v>1.9E-2</v>
      </c>
      <c r="Q96" s="316">
        <v>0.20200000000000001</v>
      </c>
      <c r="R96" s="315">
        <v>3.2</v>
      </c>
      <c r="S96" s="317">
        <v>2133</v>
      </c>
      <c r="T96" s="315">
        <v>12.7</v>
      </c>
      <c r="U96" s="315">
        <v>18.8</v>
      </c>
      <c r="V96" s="317">
        <v>2</v>
      </c>
      <c r="W96" s="315">
        <v>6.6</v>
      </c>
      <c r="X96" s="316">
        <v>0.52900000000000003</v>
      </c>
      <c r="Y96" s="316">
        <v>0.08</v>
      </c>
      <c r="Z96" s="316">
        <v>0.20100000000000001</v>
      </c>
      <c r="AA96" s="315">
        <v>0</v>
      </c>
      <c r="AB96" s="317">
        <v>175</v>
      </c>
      <c r="AC96" s="315">
        <v>0</v>
      </c>
      <c r="AD96" s="315" t="s">
        <v>51</v>
      </c>
      <c r="AE96" s="317">
        <v>9</v>
      </c>
      <c r="AF96" s="315">
        <v>26.5</v>
      </c>
      <c r="AG96" s="316">
        <v>1.234</v>
      </c>
      <c r="AH96" s="316">
        <v>4.7E-2</v>
      </c>
      <c r="AI96" s="315">
        <v>6.7</v>
      </c>
      <c r="AJ96" s="317">
        <v>10</v>
      </c>
      <c r="AK96" s="315">
        <v>273.5</v>
      </c>
      <c r="AL96" s="316">
        <v>6.2539999999999996</v>
      </c>
      <c r="AM96" s="316">
        <v>2.3E-2</v>
      </c>
      <c r="AN96" s="315">
        <v>89.1</v>
      </c>
      <c r="AO96" s="318">
        <f>Table1[[#This Row],[Inside_._time]]/Table1[[#This Row],[Duration]]</f>
        <v>8.8333333333333333E-2</v>
      </c>
      <c r="AP96" s="318">
        <f>Table1[[#This Row],[Outside_._time]]/Table1[[#This Row],[Duration]]</f>
        <v>0.91166666666666663</v>
      </c>
      <c r="AQ96" s="318">
        <f>Table1[[#This Row],[Inside_._distance]]/Table1[[#This Row],[Distance]]</f>
        <v>0.16481901963403231</v>
      </c>
      <c r="AR96" s="318">
        <f>Table1[[#This Row],[Outside_._distance]]/Table1[[#This Row],[Distance]]</f>
        <v>0.83531454521170023</v>
      </c>
      <c r="AS96" s="317"/>
      <c r="AT96" s="319"/>
      <c r="AU96" s="319"/>
      <c r="AV96" s="320"/>
      <c r="AW96" s="319"/>
      <c r="AX96" s="319"/>
      <c r="AY96" s="321" t="s">
        <v>486</v>
      </c>
      <c r="AZ96" s="321" t="s">
        <v>476</v>
      </c>
      <c r="BA96" s="317" t="s">
        <v>475</v>
      </c>
      <c r="BB96" s="317">
        <v>94</v>
      </c>
      <c r="BC96" s="315">
        <v>3.1333333333333333</v>
      </c>
      <c r="BD96" s="317" t="s">
        <v>474</v>
      </c>
      <c r="BE96" s="340">
        <v>5</v>
      </c>
      <c r="BF96" s="317" t="s">
        <v>458</v>
      </c>
      <c r="BG96" s="279"/>
      <c r="BH96" s="279"/>
      <c r="BI96" s="279"/>
      <c r="BJ96" s="279"/>
      <c r="BK96" s="279"/>
      <c r="BL96" s="279"/>
      <c r="BM96" s="279"/>
      <c r="BN96" s="279"/>
      <c r="BO96" s="279"/>
      <c r="BP96" s="279"/>
      <c r="BQ96" s="279"/>
      <c r="BR96" s="279"/>
      <c r="BS96" s="279"/>
      <c r="BT96" s="279"/>
      <c r="BU96" s="279"/>
      <c r="BV96" s="279"/>
      <c r="BW96" s="279"/>
      <c r="BX96" s="279"/>
      <c r="BY96" s="279"/>
      <c r="BZ96" s="279"/>
      <c r="CA96" s="279"/>
      <c r="CB96" s="279"/>
      <c r="CC96" s="279"/>
      <c r="CD96" s="279"/>
      <c r="CE96" s="279"/>
      <c r="CF96" s="279"/>
      <c r="CG96" s="279"/>
      <c r="CH96" s="279"/>
      <c r="CI96" s="279"/>
      <c r="CJ96" s="279"/>
      <c r="CK96" s="279"/>
      <c r="CL96" s="279"/>
      <c r="CM96" s="279"/>
      <c r="CN96" s="279"/>
      <c r="CO96" s="279"/>
      <c r="CP96" s="279"/>
      <c r="CQ96" s="279"/>
      <c r="CR96" s="279"/>
      <c r="CS96" s="279"/>
      <c r="CT96" s="279"/>
      <c r="CU96" s="279"/>
      <c r="CV96" s="279"/>
      <c r="CW96" s="279"/>
      <c r="CX96" s="279"/>
      <c r="CY96" s="279"/>
      <c r="CZ96" s="279"/>
      <c r="DA96" s="279"/>
      <c r="DB96" s="279"/>
      <c r="DC96" s="279"/>
      <c r="DD96" s="279"/>
      <c r="DE96" s="279"/>
      <c r="DF96" s="279"/>
      <c r="DG96" s="279"/>
      <c r="DH96" s="279"/>
      <c r="DI96" s="279"/>
      <c r="DJ96" s="279"/>
      <c r="DK96" s="279"/>
      <c r="DL96" s="279"/>
      <c r="DM96" s="279"/>
      <c r="DN96" s="279"/>
      <c r="DO96" s="279"/>
      <c r="DP96" s="279"/>
      <c r="DQ96" s="279"/>
      <c r="DR96" s="279"/>
      <c r="DS96" s="279"/>
      <c r="DT96" s="279"/>
      <c r="DU96" s="279"/>
      <c r="DV96" s="279"/>
      <c r="DW96" s="279"/>
      <c r="DX96" s="279"/>
      <c r="DY96" s="279"/>
      <c r="DZ96" s="279"/>
      <c r="EA96" s="279"/>
    </row>
    <row r="97" spans="1:131" ht="12" customHeight="1" x14ac:dyDescent="0.15">
      <c r="A97" s="314">
        <v>3</v>
      </c>
      <c r="B97" s="313" t="s">
        <v>52</v>
      </c>
      <c r="C97" s="314" t="s">
        <v>40</v>
      </c>
      <c r="D97" s="314" t="s">
        <v>53</v>
      </c>
      <c r="E97" s="314" t="s">
        <v>42</v>
      </c>
      <c r="F97" s="314" t="s">
        <v>43</v>
      </c>
      <c r="G97" s="314" t="s">
        <v>54</v>
      </c>
      <c r="H97" s="315">
        <v>300</v>
      </c>
      <c r="I97" s="316">
        <v>20.006</v>
      </c>
      <c r="J97" s="316">
        <v>6.7000000000000004E-2</v>
      </c>
      <c r="K97" s="316">
        <v>0.28999999999999998</v>
      </c>
      <c r="L97" s="315">
        <v>12</v>
      </c>
      <c r="M97" s="317">
        <v>19</v>
      </c>
      <c r="N97" s="315">
        <v>15.5</v>
      </c>
      <c r="O97" s="316">
        <v>1.3380000000000001</v>
      </c>
      <c r="P97" s="316">
        <v>8.6999999999999994E-2</v>
      </c>
      <c r="Q97" s="316">
        <v>0.251</v>
      </c>
      <c r="R97" s="315">
        <v>4.2</v>
      </c>
      <c r="S97" s="317">
        <v>1571</v>
      </c>
      <c r="T97" s="315">
        <v>0</v>
      </c>
      <c r="U97" s="315">
        <v>3.7</v>
      </c>
      <c r="V97" s="317">
        <v>26</v>
      </c>
      <c r="W97" s="315">
        <v>30.2</v>
      </c>
      <c r="X97" s="316">
        <v>2.1379999999999999</v>
      </c>
      <c r="Y97" s="316">
        <v>7.0999999999999994E-2</v>
      </c>
      <c r="Z97" s="316">
        <v>0.251</v>
      </c>
      <c r="AA97" s="315">
        <v>4.9000000000000004</v>
      </c>
      <c r="AB97" s="317">
        <v>2106</v>
      </c>
      <c r="AC97" s="315">
        <v>2.7</v>
      </c>
      <c r="AD97" s="315">
        <v>6.1</v>
      </c>
      <c r="AE97" s="317">
        <v>28</v>
      </c>
      <c r="AF97" s="315">
        <v>33.299999999999997</v>
      </c>
      <c r="AG97" s="316">
        <v>3.7389999999999999</v>
      </c>
      <c r="AH97" s="316">
        <v>0.112</v>
      </c>
      <c r="AI97" s="315">
        <v>0</v>
      </c>
      <c r="AJ97" s="317">
        <v>29</v>
      </c>
      <c r="AK97" s="315">
        <v>266.7</v>
      </c>
      <c r="AL97" s="316">
        <v>16.266999999999999</v>
      </c>
      <c r="AM97" s="316">
        <v>6.0999999999999999E-2</v>
      </c>
      <c r="AN97" s="315">
        <v>12</v>
      </c>
      <c r="AO97" s="318">
        <f>Table1[[#This Row],[Inside_._time]]/Table1[[#This Row],[Duration]]</f>
        <v>0.11099999999999999</v>
      </c>
      <c r="AP97" s="318">
        <f>Table1[[#This Row],[Outside_._time]]/Table1[[#This Row],[Duration]]</f>
        <v>0.88900000000000001</v>
      </c>
      <c r="AQ97" s="318">
        <f>Table1[[#This Row],[Inside_._distance]]/Table1[[#This Row],[Distance]]</f>
        <v>0.18689393182045386</v>
      </c>
      <c r="AR97" s="318">
        <f>Table1[[#This Row],[Outside_._distance]]/Table1[[#This Row],[Distance]]</f>
        <v>0.81310606817954612</v>
      </c>
      <c r="AS97" s="317"/>
      <c r="AT97" s="319"/>
      <c r="AU97" s="319"/>
      <c r="AV97" s="320"/>
      <c r="AW97" s="319"/>
      <c r="AX97" s="319"/>
      <c r="AY97" s="321" t="s">
        <v>486</v>
      </c>
      <c r="AZ97" s="321" t="s">
        <v>476</v>
      </c>
      <c r="BA97" s="317" t="s">
        <v>473</v>
      </c>
      <c r="BB97" s="317">
        <v>94</v>
      </c>
      <c r="BC97" s="315">
        <v>3.1333333333333333</v>
      </c>
      <c r="BD97" s="317" t="s">
        <v>477</v>
      </c>
      <c r="BE97" s="340">
        <v>8</v>
      </c>
      <c r="BF97" s="317"/>
      <c r="BG97" s="279"/>
      <c r="BH97" s="279"/>
      <c r="BI97" s="279"/>
      <c r="BJ97" s="279"/>
      <c r="BK97" s="279"/>
      <c r="BL97" s="279"/>
      <c r="BM97" s="279"/>
      <c r="BN97" s="279"/>
      <c r="BO97" s="279"/>
      <c r="BP97" s="279"/>
      <c r="BQ97" s="279"/>
      <c r="BR97" s="279"/>
      <c r="BS97" s="279"/>
      <c r="BT97" s="279"/>
      <c r="BU97" s="279"/>
      <c r="BV97" s="279"/>
      <c r="BW97" s="279"/>
      <c r="BX97" s="279"/>
      <c r="BY97" s="279"/>
      <c r="BZ97" s="279"/>
      <c r="CA97" s="279"/>
      <c r="CB97" s="279"/>
      <c r="CC97" s="279"/>
      <c r="CD97" s="279"/>
      <c r="CE97" s="279"/>
      <c r="CF97" s="279"/>
      <c r="CG97" s="279"/>
      <c r="CH97" s="279"/>
      <c r="CI97" s="279"/>
      <c r="CJ97" s="279"/>
      <c r="CK97" s="279"/>
      <c r="CL97" s="279"/>
      <c r="CM97" s="279"/>
      <c r="CN97" s="279"/>
      <c r="CO97" s="279"/>
      <c r="CP97" s="279"/>
      <c r="CQ97" s="279"/>
      <c r="CR97" s="279"/>
      <c r="CS97" s="279"/>
      <c r="CT97" s="279"/>
      <c r="CU97" s="279"/>
      <c r="CV97" s="279"/>
      <c r="CW97" s="279"/>
      <c r="CX97" s="279"/>
      <c r="CY97" s="279"/>
      <c r="CZ97" s="279"/>
      <c r="DA97" s="279"/>
      <c r="DB97" s="279"/>
      <c r="DC97" s="279"/>
      <c r="DD97" s="279"/>
      <c r="DE97" s="279"/>
      <c r="DF97" s="279"/>
      <c r="DG97" s="279"/>
      <c r="DH97" s="279"/>
      <c r="DI97" s="279"/>
      <c r="DJ97" s="279"/>
      <c r="DK97" s="279"/>
      <c r="DL97" s="279"/>
      <c r="DM97" s="279"/>
      <c r="DN97" s="279"/>
      <c r="DO97" s="279"/>
      <c r="DP97" s="279"/>
      <c r="DQ97" s="279"/>
      <c r="DR97" s="279"/>
      <c r="DS97" s="279"/>
      <c r="DT97" s="279"/>
      <c r="DU97" s="279"/>
      <c r="DV97" s="279"/>
      <c r="DW97" s="279"/>
      <c r="DX97" s="279"/>
      <c r="DY97" s="279"/>
      <c r="DZ97" s="279"/>
      <c r="EA97" s="279"/>
    </row>
    <row r="98" spans="1:131" ht="12" customHeight="1" x14ac:dyDescent="0.15">
      <c r="A98" s="314">
        <v>5</v>
      </c>
      <c r="B98" s="313" t="s">
        <v>55</v>
      </c>
      <c r="C98" s="314" t="s">
        <v>40</v>
      </c>
      <c r="D98" s="314" t="s">
        <v>41</v>
      </c>
      <c r="E98" s="314" t="s">
        <v>42</v>
      </c>
      <c r="F98" s="314" t="s">
        <v>56</v>
      </c>
      <c r="G98" s="314" t="s">
        <v>57</v>
      </c>
      <c r="H98" s="315">
        <v>300</v>
      </c>
      <c r="I98" s="316">
        <v>10.15</v>
      </c>
      <c r="J98" s="316">
        <v>3.4000000000000002E-2</v>
      </c>
      <c r="K98" s="316">
        <v>0.251</v>
      </c>
      <c r="L98" s="315">
        <v>11.1</v>
      </c>
      <c r="M98" s="317">
        <v>22</v>
      </c>
      <c r="N98" s="315">
        <v>33.299999999999997</v>
      </c>
      <c r="O98" s="316">
        <v>1.369</v>
      </c>
      <c r="P98" s="316">
        <v>4.1000000000000002E-2</v>
      </c>
      <c r="Q98" s="316">
        <v>0.187</v>
      </c>
      <c r="R98" s="315">
        <v>4.0999999999999996</v>
      </c>
      <c r="S98" s="317">
        <v>2435</v>
      </c>
      <c r="T98" s="315">
        <v>0</v>
      </c>
      <c r="U98" s="315">
        <v>6.7</v>
      </c>
      <c r="V98" s="317">
        <v>13</v>
      </c>
      <c r="W98" s="315">
        <v>10.9</v>
      </c>
      <c r="X98" s="316">
        <v>0.53400000000000003</v>
      </c>
      <c r="Y98" s="316">
        <v>4.9000000000000002E-2</v>
      </c>
      <c r="Z98" s="316">
        <v>0.20399999999999999</v>
      </c>
      <c r="AA98" s="315">
        <v>6.3</v>
      </c>
      <c r="AB98" s="317">
        <v>832</v>
      </c>
      <c r="AC98" s="315">
        <v>0</v>
      </c>
      <c r="AD98" s="315">
        <v>8</v>
      </c>
      <c r="AE98" s="317">
        <v>24</v>
      </c>
      <c r="AF98" s="315">
        <v>90.5</v>
      </c>
      <c r="AG98" s="316">
        <v>3.2869999999999999</v>
      </c>
      <c r="AH98" s="316">
        <v>3.5999999999999997E-2</v>
      </c>
      <c r="AI98" s="315">
        <v>2.5</v>
      </c>
      <c r="AJ98" s="317">
        <v>25</v>
      </c>
      <c r="AK98" s="315">
        <v>209.5</v>
      </c>
      <c r="AL98" s="316">
        <v>6.8630000000000004</v>
      </c>
      <c r="AM98" s="316">
        <v>3.3000000000000002E-2</v>
      </c>
      <c r="AN98" s="315">
        <v>8.6</v>
      </c>
      <c r="AO98" s="318">
        <f>Table1[[#This Row],[Inside_._time]]/Table1[[#This Row],[Duration]]</f>
        <v>0.30166666666666669</v>
      </c>
      <c r="AP98" s="318">
        <f>Table1[[#This Row],[Outside_._time]]/Table1[[#This Row],[Duration]]</f>
        <v>0.69833333333333336</v>
      </c>
      <c r="AQ98" s="318">
        <f>Table1[[#This Row],[Inside_._distance]]/Table1[[#This Row],[Distance]]</f>
        <v>0.3238423645320197</v>
      </c>
      <c r="AR98" s="318">
        <f>Table1[[#This Row],[Outside_._distance]]/Table1[[#This Row],[Distance]]</f>
        <v>0.67615763546798036</v>
      </c>
      <c r="AS98" s="317"/>
      <c r="AT98" s="319"/>
      <c r="AU98" s="319"/>
      <c r="AV98" s="320"/>
      <c r="AW98" s="319"/>
      <c r="AX98" s="319"/>
      <c r="AY98" s="321" t="s">
        <v>486</v>
      </c>
      <c r="AZ98" s="321" t="s">
        <v>476</v>
      </c>
      <c r="BA98" s="317" t="s">
        <v>473</v>
      </c>
      <c r="BB98" s="317">
        <v>94</v>
      </c>
      <c r="BC98" s="315">
        <v>3.1333333333333333</v>
      </c>
      <c r="BD98" s="317" t="s">
        <v>474</v>
      </c>
      <c r="BE98" s="340">
        <v>7</v>
      </c>
      <c r="BF98" s="317" t="s">
        <v>458</v>
      </c>
      <c r="BG98" s="279"/>
      <c r="BH98" s="279"/>
      <c r="BI98" s="279"/>
      <c r="BJ98" s="279"/>
      <c r="BK98" s="279"/>
      <c r="BL98" s="279"/>
      <c r="BM98" s="279"/>
      <c r="BN98" s="279"/>
      <c r="BO98" s="279"/>
      <c r="BP98" s="279"/>
      <c r="BQ98" s="279"/>
      <c r="BR98" s="279"/>
      <c r="BS98" s="279"/>
      <c r="BT98" s="279"/>
      <c r="BU98" s="279"/>
      <c r="BV98" s="279"/>
      <c r="BW98" s="279"/>
      <c r="BX98" s="279"/>
      <c r="BY98" s="279"/>
      <c r="BZ98" s="279"/>
      <c r="CA98" s="279"/>
      <c r="CB98" s="279"/>
      <c r="CC98" s="279"/>
      <c r="CD98" s="279"/>
      <c r="CE98" s="279"/>
      <c r="CF98" s="279"/>
      <c r="CG98" s="279"/>
      <c r="CH98" s="279"/>
      <c r="CI98" s="279"/>
      <c r="CJ98" s="279"/>
      <c r="CK98" s="279"/>
      <c r="CL98" s="279"/>
      <c r="CM98" s="279"/>
      <c r="CN98" s="279"/>
      <c r="CO98" s="279"/>
      <c r="CP98" s="279"/>
      <c r="CQ98" s="279"/>
      <c r="CR98" s="279"/>
      <c r="CS98" s="279"/>
      <c r="CT98" s="279"/>
      <c r="CU98" s="279"/>
      <c r="CV98" s="279"/>
      <c r="CW98" s="279"/>
      <c r="CX98" s="279"/>
      <c r="CY98" s="279"/>
      <c r="CZ98" s="279"/>
      <c r="DA98" s="279"/>
      <c r="DB98" s="279"/>
      <c r="DC98" s="279"/>
      <c r="DD98" s="279"/>
      <c r="DE98" s="279"/>
      <c r="DF98" s="279"/>
      <c r="DG98" s="279"/>
      <c r="DH98" s="279"/>
      <c r="DI98" s="279"/>
      <c r="DJ98" s="279"/>
      <c r="DK98" s="279"/>
      <c r="DL98" s="279"/>
      <c r="DM98" s="279"/>
      <c r="DN98" s="279"/>
      <c r="DO98" s="279"/>
      <c r="DP98" s="279"/>
      <c r="DQ98" s="279"/>
      <c r="DR98" s="279"/>
      <c r="DS98" s="279"/>
      <c r="DT98" s="279"/>
      <c r="DU98" s="279"/>
      <c r="DV98" s="279"/>
      <c r="DW98" s="279"/>
      <c r="DX98" s="279"/>
      <c r="DY98" s="279"/>
      <c r="DZ98" s="279"/>
      <c r="EA98" s="279"/>
    </row>
    <row r="99" spans="1:131" ht="12" customHeight="1" x14ac:dyDescent="0.15">
      <c r="A99" s="314">
        <v>6</v>
      </c>
      <c r="B99" s="313" t="s">
        <v>58</v>
      </c>
      <c r="C99" s="314" t="s">
        <v>40</v>
      </c>
      <c r="D99" s="314" t="s">
        <v>46</v>
      </c>
      <c r="E99" s="314" t="s">
        <v>42</v>
      </c>
      <c r="F99" s="314" t="s">
        <v>56</v>
      </c>
      <c r="G99" s="314" t="s">
        <v>59</v>
      </c>
      <c r="H99" s="315">
        <v>300</v>
      </c>
      <c r="I99" s="316">
        <v>7.9880000000000004</v>
      </c>
      <c r="J99" s="316">
        <v>2.7E-2</v>
      </c>
      <c r="K99" s="316">
        <v>0.19900000000000001</v>
      </c>
      <c r="L99" s="315">
        <v>39.9</v>
      </c>
      <c r="M99" s="317">
        <v>23</v>
      </c>
      <c r="N99" s="315">
        <v>38.5</v>
      </c>
      <c r="O99" s="316">
        <v>1.0549999999999999</v>
      </c>
      <c r="P99" s="316">
        <v>2.7E-2</v>
      </c>
      <c r="Q99" s="316">
        <v>0.191</v>
      </c>
      <c r="R99" s="315">
        <v>10.199999999999999</v>
      </c>
      <c r="S99" s="317">
        <v>2247</v>
      </c>
      <c r="T99" s="315">
        <v>7.5</v>
      </c>
      <c r="U99" s="315">
        <v>18.7</v>
      </c>
      <c r="V99" s="317">
        <v>14</v>
      </c>
      <c r="W99" s="315">
        <v>19.2</v>
      </c>
      <c r="X99" s="316">
        <v>0.90100000000000002</v>
      </c>
      <c r="Y99" s="316">
        <v>4.7E-2</v>
      </c>
      <c r="Z99" s="316">
        <v>0.189</v>
      </c>
      <c r="AA99" s="315">
        <v>2.4</v>
      </c>
      <c r="AB99" s="317">
        <v>1249</v>
      </c>
      <c r="AC99" s="315">
        <v>0</v>
      </c>
      <c r="AD99" s="315">
        <v>3.6</v>
      </c>
      <c r="AE99" s="317">
        <v>15</v>
      </c>
      <c r="AF99" s="315">
        <v>56.6</v>
      </c>
      <c r="AG99" s="316">
        <v>1.7789999999999999</v>
      </c>
      <c r="AH99" s="316">
        <v>3.1E-2</v>
      </c>
      <c r="AI99" s="315">
        <v>5.6</v>
      </c>
      <c r="AJ99" s="317">
        <v>16</v>
      </c>
      <c r="AK99" s="315">
        <v>243.4</v>
      </c>
      <c r="AL99" s="316">
        <v>6.2089999999999996</v>
      </c>
      <c r="AM99" s="316">
        <v>2.5999999999999999E-2</v>
      </c>
      <c r="AN99" s="315">
        <v>34.299999999999997</v>
      </c>
      <c r="AO99" s="318">
        <f>Table1[[#This Row],[Inside_._time]]/Table1[[#This Row],[Duration]]</f>
        <v>0.18866666666666668</v>
      </c>
      <c r="AP99" s="318">
        <f>Table1[[#This Row],[Outside_._time]]/Table1[[#This Row],[Duration]]</f>
        <v>0.81133333333333335</v>
      </c>
      <c r="AQ99" s="318">
        <f>Table1[[#This Row],[Inside_._distance]]/Table1[[#This Row],[Distance]]</f>
        <v>0.22270906359539305</v>
      </c>
      <c r="AR99" s="318">
        <f>Table1[[#This Row],[Outside_._distance]]/Table1[[#This Row],[Distance]]</f>
        <v>0.77729093640460678</v>
      </c>
      <c r="AS99" s="317"/>
      <c r="AT99" s="319"/>
      <c r="AU99" s="319"/>
      <c r="AV99" s="320"/>
      <c r="AW99" s="319"/>
      <c r="AX99" s="319"/>
      <c r="AY99" s="321" t="s">
        <v>487</v>
      </c>
      <c r="AZ99" s="321" t="s">
        <v>476</v>
      </c>
      <c r="BA99" s="317" t="s">
        <v>473</v>
      </c>
      <c r="BB99" s="317">
        <v>94</v>
      </c>
      <c r="BC99" s="315">
        <v>3.1333333333333333</v>
      </c>
      <c r="BD99" s="317" t="s">
        <v>477</v>
      </c>
      <c r="BE99" s="340">
        <v>8</v>
      </c>
      <c r="BF99" s="317"/>
      <c r="BG99" s="279"/>
      <c r="BH99" s="279"/>
      <c r="BI99" s="279"/>
      <c r="BJ99" s="279"/>
      <c r="BK99" s="279"/>
      <c r="BL99" s="279"/>
      <c r="BM99" s="279"/>
      <c r="BN99" s="279"/>
      <c r="BO99" s="279"/>
      <c r="BP99" s="279"/>
      <c r="BQ99" s="279"/>
      <c r="BR99" s="279"/>
      <c r="BS99" s="279"/>
      <c r="BT99" s="279"/>
      <c r="BU99" s="279"/>
      <c r="BV99" s="279"/>
      <c r="BW99" s="279"/>
      <c r="BX99" s="279"/>
      <c r="BY99" s="279"/>
      <c r="BZ99" s="279"/>
      <c r="CA99" s="279"/>
      <c r="CB99" s="279"/>
      <c r="CC99" s="279"/>
      <c r="CD99" s="279"/>
      <c r="CE99" s="279"/>
      <c r="CF99" s="279"/>
      <c r="CG99" s="279"/>
      <c r="CH99" s="279"/>
      <c r="CI99" s="279"/>
      <c r="CJ99" s="279"/>
      <c r="CK99" s="279"/>
      <c r="CL99" s="279"/>
      <c r="CM99" s="279"/>
      <c r="CN99" s="279"/>
      <c r="CO99" s="279"/>
      <c r="CP99" s="279"/>
      <c r="CQ99" s="279"/>
      <c r="CR99" s="279"/>
      <c r="CS99" s="279"/>
      <c r="CT99" s="279"/>
      <c r="CU99" s="279"/>
      <c r="CV99" s="279"/>
      <c r="CW99" s="279"/>
      <c r="CX99" s="279"/>
      <c r="CY99" s="279"/>
      <c r="CZ99" s="279"/>
      <c r="DA99" s="279"/>
      <c r="DB99" s="279"/>
      <c r="DC99" s="279"/>
      <c r="DD99" s="279"/>
      <c r="DE99" s="279"/>
      <c r="DF99" s="279"/>
      <c r="DG99" s="279"/>
      <c r="DH99" s="279"/>
      <c r="DI99" s="279"/>
      <c r="DJ99" s="279"/>
      <c r="DK99" s="279"/>
      <c r="DL99" s="279"/>
      <c r="DM99" s="279"/>
      <c r="DN99" s="279"/>
      <c r="DO99" s="279"/>
      <c r="DP99" s="279"/>
      <c r="DQ99" s="279"/>
      <c r="DR99" s="279"/>
      <c r="DS99" s="279"/>
      <c r="DT99" s="279"/>
      <c r="DU99" s="279"/>
      <c r="DV99" s="279"/>
      <c r="DW99" s="279"/>
      <c r="DX99" s="279"/>
      <c r="DY99" s="279"/>
      <c r="DZ99" s="279"/>
      <c r="EA99" s="279"/>
    </row>
    <row r="100" spans="1:131" ht="12" customHeight="1" x14ac:dyDescent="0.15">
      <c r="A100" s="314">
        <v>7</v>
      </c>
      <c r="B100" s="313" t="s">
        <v>60</v>
      </c>
      <c r="C100" s="314" t="s">
        <v>40</v>
      </c>
      <c r="D100" s="314" t="s">
        <v>49</v>
      </c>
      <c r="E100" s="314" t="s">
        <v>42</v>
      </c>
      <c r="F100" s="314" t="s">
        <v>56</v>
      </c>
      <c r="G100" s="314" t="s">
        <v>61</v>
      </c>
      <c r="H100" s="315">
        <v>300</v>
      </c>
      <c r="I100" s="316">
        <v>10.189</v>
      </c>
      <c r="J100" s="316">
        <v>3.4000000000000002E-2</v>
      </c>
      <c r="K100" s="316">
        <v>0.24</v>
      </c>
      <c r="L100" s="315">
        <v>13.7</v>
      </c>
      <c r="M100" s="317">
        <v>22</v>
      </c>
      <c r="N100" s="315">
        <v>25.6</v>
      </c>
      <c r="O100" s="316">
        <v>1.423</v>
      </c>
      <c r="P100" s="316">
        <v>5.6000000000000001E-2</v>
      </c>
      <c r="Q100" s="316">
        <v>0.24</v>
      </c>
      <c r="R100" s="315">
        <v>1.6</v>
      </c>
      <c r="S100" s="317">
        <v>2254</v>
      </c>
      <c r="T100" s="315">
        <v>1.2</v>
      </c>
      <c r="U100" s="315">
        <v>1.7</v>
      </c>
      <c r="V100" s="317">
        <v>15</v>
      </c>
      <c r="W100" s="315">
        <v>16.899999999999999</v>
      </c>
      <c r="X100" s="316">
        <v>0.76200000000000001</v>
      </c>
      <c r="Y100" s="316">
        <v>4.4999999999999998E-2</v>
      </c>
      <c r="Z100" s="316">
        <v>0.19400000000000001</v>
      </c>
      <c r="AA100" s="315">
        <v>2.2999999999999998</v>
      </c>
      <c r="AB100" s="317">
        <v>1633</v>
      </c>
      <c r="AC100" s="315">
        <v>0</v>
      </c>
      <c r="AD100" s="315">
        <v>4</v>
      </c>
      <c r="AE100" s="317">
        <v>21</v>
      </c>
      <c r="AF100" s="315">
        <v>28.5</v>
      </c>
      <c r="AG100" s="316">
        <v>1.865</v>
      </c>
      <c r="AH100" s="316">
        <v>6.5000000000000002E-2</v>
      </c>
      <c r="AI100" s="315">
        <v>0</v>
      </c>
      <c r="AJ100" s="317">
        <v>22</v>
      </c>
      <c r="AK100" s="315">
        <v>271.5</v>
      </c>
      <c r="AL100" s="316">
        <v>8.3230000000000004</v>
      </c>
      <c r="AM100" s="316">
        <v>3.1E-2</v>
      </c>
      <c r="AN100" s="315">
        <v>13.7</v>
      </c>
      <c r="AO100" s="318">
        <f>Table1[[#This Row],[Inside_._time]]/Table1[[#This Row],[Duration]]</f>
        <v>9.5000000000000001E-2</v>
      </c>
      <c r="AP100" s="318">
        <f>Table1[[#This Row],[Outside_._time]]/Table1[[#This Row],[Duration]]</f>
        <v>0.90500000000000003</v>
      </c>
      <c r="AQ100" s="318">
        <f>Table1[[#This Row],[Inside_._distance]]/Table1[[#This Row],[Distance]]</f>
        <v>0.18304053390911768</v>
      </c>
      <c r="AR100" s="318">
        <f>Table1[[#This Row],[Outside_._distance]]/Table1[[#This Row],[Distance]]</f>
        <v>0.8168613210324861</v>
      </c>
      <c r="AS100" s="317"/>
      <c r="AT100" s="319"/>
      <c r="AU100" s="319"/>
      <c r="AV100" s="320"/>
      <c r="AW100" s="319"/>
      <c r="AX100" s="319"/>
      <c r="AY100" s="321" t="s">
        <v>487</v>
      </c>
      <c r="AZ100" s="321" t="s">
        <v>476</v>
      </c>
      <c r="BA100" s="317" t="s">
        <v>475</v>
      </c>
      <c r="BB100" s="317">
        <v>94</v>
      </c>
      <c r="BC100" s="315">
        <v>3.1333333333333333</v>
      </c>
      <c r="BD100" s="317" t="s">
        <v>474</v>
      </c>
      <c r="BE100" s="340">
        <v>5</v>
      </c>
      <c r="BF100" s="317"/>
      <c r="BG100" s="279"/>
      <c r="BH100" s="279"/>
      <c r="BI100" s="279"/>
      <c r="BJ100" s="279"/>
      <c r="BK100" s="279"/>
      <c r="BL100" s="279"/>
      <c r="BM100" s="279"/>
      <c r="BN100" s="279"/>
      <c r="BO100" s="279"/>
      <c r="BP100" s="279"/>
      <c r="BQ100" s="279"/>
      <c r="BR100" s="279"/>
      <c r="BS100" s="279"/>
      <c r="BT100" s="279"/>
      <c r="BU100" s="279"/>
      <c r="BV100" s="279"/>
      <c r="BW100" s="279"/>
      <c r="BX100" s="279"/>
      <c r="BY100" s="279"/>
      <c r="BZ100" s="279"/>
      <c r="CA100" s="279"/>
      <c r="CB100" s="279"/>
      <c r="CC100" s="279"/>
      <c r="CD100" s="279"/>
      <c r="CE100" s="279"/>
      <c r="CF100" s="279"/>
      <c r="CG100" s="279"/>
      <c r="CH100" s="279"/>
      <c r="CI100" s="279"/>
      <c r="CJ100" s="279"/>
      <c r="CK100" s="279"/>
      <c r="CL100" s="279"/>
      <c r="CM100" s="279"/>
      <c r="CN100" s="279"/>
      <c r="CO100" s="279"/>
      <c r="CP100" s="279"/>
      <c r="CQ100" s="279"/>
      <c r="CR100" s="279"/>
      <c r="CS100" s="279"/>
      <c r="CT100" s="279"/>
      <c r="CU100" s="279"/>
      <c r="CV100" s="279"/>
      <c r="CW100" s="279"/>
      <c r="CX100" s="279"/>
      <c r="CY100" s="279"/>
      <c r="CZ100" s="279"/>
      <c r="DA100" s="279"/>
      <c r="DB100" s="279"/>
      <c r="DC100" s="279"/>
      <c r="DD100" s="279"/>
      <c r="DE100" s="279"/>
      <c r="DF100" s="279"/>
      <c r="DG100" s="279"/>
      <c r="DH100" s="279"/>
      <c r="DI100" s="279"/>
      <c r="DJ100" s="279"/>
      <c r="DK100" s="279"/>
      <c r="DL100" s="279"/>
      <c r="DM100" s="279"/>
      <c r="DN100" s="279"/>
      <c r="DO100" s="279"/>
      <c r="DP100" s="279"/>
      <c r="DQ100" s="279"/>
      <c r="DR100" s="279"/>
      <c r="DS100" s="279"/>
      <c r="DT100" s="279"/>
      <c r="DU100" s="279"/>
      <c r="DV100" s="279"/>
      <c r="DW100" s="279"/>
      <c r="DX100" s="279"/>
      <c r="DY100" s="279"/>
      <c r="DZ100" s="279"/>
      <c r="EA100" s="279"/>
    </row>
    <row r="101" spans="1:131" ht="12" customHeight="1" x14ac:dyDescent="0.15">
      <c r="A101" s="314">
        <v>8</v>
      </c>
      <c r="B101" s="313" t="s">
        <v>62</v>
      </c>
      <c r="C101" s="314" t="s">
        <v>40</v>
      </c>
      <c r="D101" s="314" t="s">
        <v>53</v>
      </c>
      <c r="E101" s="314" t="s">
        <v>42</v>
      </c>
      <c r="F101" s="314" t="s">
        <v>56</v>
      </c>
      <c r="G101" s="314" t="s">
        <v>63</v>
      </c>
      <c r="H101" s="315">
        <v>300</v>
      </c>
      <c r="I101" s="316">
        <v>12.250999999999999</v>
      </c>
      <c r="J101" s="316">
        <v>4.1000000000000002E-2</v>
      </c>
      <c r="K101" s="316">
        <v>0.224</v>
      </c>
      <c r="L101" s="315">
        <v>39</v>
      </c>
      <c r="M101" s="317">
        <v>9</v>
      </c>
      <c r="N101" s="315">
        <v>5.8</v>
      </c>
      <c r="O101" s="316">
        <v>0.40699999999999997</v>
      </c>
      <c r="P101" s="316">
        <v>7.0999999999999994E-2</v>
      </c>
      <c r="Q101" s="316">
        <v>0.19600000000000001</v>
      </c>
      <c r="R101" s="315">
        <v>1.2</v>
      </c>
      <c r="S101" s="317">
        <v>446</v>
      </c>
      <c r="T101" s="315">
        <v>0</v>
      </c>
      <c r="U101" s="315">
        <v>2.9</v>
      </c>
      <c r="V101" s="317">
        <v>15</v>
      </c>
      <c r="W101" s="315">
        <v>16.2</v>
      </c>
      <c r="X101" s="316">
        <v>0.70199999999999996</v>
      </c>
      <c r="Y101" s="316">
        <v>4.2999999999999997E-2</v>
      </c>
      <c r="Z101" s="316">
        <v>0.157</v>
      </c>
      <c r="AA101" s="315">
        <v>9.6</v>
      </c>
      <c r="AB101" s="317">
        <v>997</v>
      </c>
      <c r="AC101" s="315">
        <v>2.1</v>
      </c>
      <c r="AD101" s="315">
        <v>9.6999999999999993</v>
      </c>
      <c r="AE101" s="317">
        <v>8</v>
      </c>
      <c r="AF101" s="315">
        <v>61.9</v>
      </c>
      <c r="AG101" s="316">
        <v>1.6020000000000001</v>
      </c>
      <c r="AH101" s="316">
        <v>2.5999999999999999E-2</v>
      </c>
      <c r="AI101" s="315">
        <v>18.5</v>
      </c>
      <c r="AJ101" s="317">
        <v>9</v>
      </c>
      <c r="AK101" s="315">
        <v>238.1</v>
      </c>
      <c r="AL101" s="316">
        <v>10.648999999999999</v>
      </c>
      <c r="AM101" s="316">
        <v>4.4999999999999998E-2</v>
      </c>
      <c r="AN101" s="315">
        <v>20.5</v>
      </c>
      <c r="AO101" s="318">
        <f>Table1[[#This Row],[Inside_._time]]/Table1[[#This Row],[Duration]]</f>
        <v>0.20633333333333334</v>
      </c>
      <c r="AP101" s="318">
        <f>Table1[[#This Row],[Outside_._time]]/Table1[[#This Row],[Duration]]</f>
        <v>0.79366666666666663</v>
      </c>
      <c r="AQ101" s="318">
        <f>Table1[[#This Row],[Inside_._distance]]/Table1[[#This Row],[Distance]]</f>
        <v>0.13076483552363075</v>
      </c>
      <c r="AR101" s="318">
        <f>Table1[[#This Row],[Outside_._distance]]/Table1[[#This Row],[Distance]]</f>
        <v>0.86923516447636928</v>
      </c>
      <c r="AS101" s="317"/>
      <c r="AT101" s="319"/>
      <c r="AU101" s="319"/>
      <c r="AV101" s="320"/>
      <c r="AW101" s="319"/>
      <c r="AX101" s="319"/>
      <c r="AY101" s="321" t="s">
        <v>487</v>
      </c>
      <c r="AZ101" s="321" t="s">
        <v>476</v>
      </c>
      <c r="BA101" s="317" t="s">
        <v>473</v>
      </c>
      <c r="BB101" s="317">
        <v>94</v>
      </c>
      <c r="BC101" s="315">
        <v>3.1333333333333333</v>
      </c>
      <c r="BD101" s="317" t="s">
        <v>477</v>
      </c>
      <c r="BE101" s="340">
        <v>8</v>
      </c>
      <c r="BF101" s="317" t="s">
        <v>459</v>
      </c>
      <c r="BG101" s="279"/>
      <c r="BH101" s="279"/>
      <c r="BI101" s="279"/>
      <c r="BJ101" s="279"/>
      <c r="BK101" s="279"/>
      <c r="BL101" s="279"/>
      <c r="BM101" s="279"/>
      <c r="BN101" s="279"/>
      <c r="BO101" s="279"/>
      <c r="BP101" s="279"/>
      <c r="BQ101" s="279"/>
      <c r="BR101" s="279"/>
      <c r="BS101" s="279"/>
      <c r="BT101" s="279"/>
      <c r="BU101" s="279"/>
      <c r="BV101" s="279"/>
      <c r="BW101" s="279"/>
      <c r="BX101" s="279"/>
      <c r="BY101" s="279"/>
      <c r="BZ101" s="279"/>
      <c r="CA101" s="279"/>
      <c r="CB101" s="279"/>
      <c r="CC101" s="279"/>
      <c r="CD101" s="279"/>
      <c r="CE101" s="279"/>
      <c r="CF101" s="279"/>
      <c r="CG101" s="279"/>
      <c r="CH101" s="279"/>
      <c r="CI101" s="279"/>
      <c r="CJ101" s="279"/>
      <c r="CK101" s="279"/>
      <c r="CL101" s="279"/>
      <c r="CM101" s="279"/>
      <c r="CN101" s="279"/>
      <c r="CO101" s="279"/>
      <c r="CP101" s="279"/>
      <c r="CQ101" s="279"/>
      <c r="CR101" s="279"/>
      <c r="CS101" s="279"/>
      <c r="CT101" s="279"/>
      <c r="CU101" s="279"/>
      <c r="CV101" s="279"/>
      <c r="CW101" s="279"/>
      <c r="CX101" s="279"/>
      <c r="CY101" s="279"/>
      <c r="CZ101" s="279"/>
      <c r="DA101" s="279"/>
      <c r="DB101" s="279"/>
      <c r="DC101" s="279"/>
      <c r="DD101" s="279"/>
      <c r="DE101" s="279"/>
      <c r="DF101" s="279"/>
      <c r="DG101" s="279"/>
      <c r="DH101" s="279"/>
      <c r="DI101" s="279"/>
      <c r="DJ101" s="279"/>
      <c r="DK101" s="279"/>
      <c r="DL101" s="279"/>
      <c r="DM101" s="279"/>
      <c r="DN101" s="279"/>
      <c r="DO101" s="279"/>
      <c r="DP101" s="279"/>
      <c r="DQ101" s="279"/>
      <c r="DR101" s="279"/>
      <c r="DS101" s="279"/>
      <c r="DT101" s="279"/>
      <c r="DU101" s="279"/>
      <c r="DV101" s="279"/>
      <c r="DW101" s="279"/>
      <c r="DX101" s="279"/>
      <c r="DY101" s="279"/>
      <c r="DZ101" s="279"/>
      <c r="EA101" s="279"/>
    </row>
    <row r="102" spans="1:131" ht="12" customHeight="1" x14ac:dyDescent="0.15">
      <c r="A102" s="314">
        <v>9</v>
      </c>
      <c r="B102" s="313" t="s">
        <v>64</v>
      </c>
      <c r="C102" s="314" t="s">
        <v>40</v>
      </c>
      <c r="D102" s="314" t="s">
        <v>41</v>
      </c>
      <c r="E102" s="314" t="s">
        <v>42</v>
      </c>
      <c r="F102" s="314" t="s">
        <v>65</v>
      </c>
      <c r="G102" s="314" t="s">
        <v>66</v>
      </c>
      <c r="H102" s="315">
        <v>300</v>
      </c>
      <c r="I102" s="316">
        <v>11.808999999999999</v>
      </c>
      <c r="J102" s="316">
        <v>3.9E-2</v>
      </c>
      <c r="K102" s="316">
        <v>0.28499999999999998</v>
      </c>
      <c r="L102" s="315">
        <v>20.5</v>
      </c>
      <c r="M102" s="317">
        <v>17</v>
      </c>
      <c r="N102" s="315">
        <v>11.1</v>
      </c>
      <c r="O102" s="316">
        <v>0.96899999999999997</v>
      </c>
      <c r="P102" s="316">
        <v>8.6999999999999994E-2</v>
      </c>
      <c r="Q102" s="316">
        <v>0.20200000000000001</v>
      </c>
      <c r="R102" s="315">
        <v>1.7</v>
      </c>
      <c r="S102" s="317">
        <v>1093</v>
      </c>
      <c r="T102" s="315">
        <v>0</v>
      </c>
      <c r="U102" s="315">
        <v>5</v>
      </c>
      <c r="V102" s="317">
        <v>19</v>
      </c>
      <c r="W102" s="315">
        <v>22.8</v>
      </c>
      <c r="X102" s="316">
        <v>1.2010000000000001</v>
      </c>
      <c r="Y102" s="316">
        <v>5.2999999999999999E-2</v>
      </c>
      <c r="Z102" s="316">
        <v>0.25</v>
      </c>
      <c r="AA102" s="315">
        <v>6</v>
      </c>
      <c r="AB102" s="317">
        <v>1400</v>
      </c>
      <c r="AC102" s="315">
        <v>1.1000000000000001</v>
      </c>
      <c r="AD102" s="315">
        <v>8</v>
      </c>
      <c r="AE102" s="317">
        <v>19</v>
      </c>
      <c r="AF102" s="315">
        <v>23.4</v>
      </c>
      <c r="AG102" s="316">
        <v>1.9850000000000001</v>
      </c>
      <c r="AH102" s="316">
        <v>8.5000000000000006E-2</v>
      </c>
      <c r="AI102" s="315">
        <v>0</v>
      </c>
      <c r="AJ102" s="317">
        <v>20</v>
      </c>
      <c r="AK102" s="315">
        <v>276.60000000000002</v>
      </c>
      <c r="AL102" s="316">
        <v>9.8230000000000004</v>
      </c>
      <c r="AM102" s="316">
        <v>3.5999999999999997E-2</v>
      </c>
      <c r="AN102" s="315">
        <v>20.5</v>
      </c>
      <c r="AO102" s="318">
        <f>Table1[[#This Row],[Inside_._time]]/Table1[[#This Row],[Duration]]</f>
        <v>7.8E-2</v>
      </c>
      <c r="AP102" s="318">
        <f>Table1[[#This Row],[Outside_._time]]/Table1[[#This Row],[Duration]]</f>
        <v>0.92200000000000004</v>
      </c>
      <c r="AQ102" s="318">
        <f>Table1[[#This Row],[Inside_._distance]]/Table1[[#This Row],[Distance]]</f>
        <v>0.16809213311880772</v>
      </c>
      <c r="AR102" s="318">
        <f>Table1[[#This Row],[Outside_._distance]]/Table1[[#This Row],[Distance]]</f>
        <v>0.8318231857058177</v>
      </c>
      <c r="AS102" s="317"/>
      <c r="AT102" s="319"/>
      <c r="AU102" s="319"/>
      <c r="AV102" s="320"/>
      <c r="AW102" s="319"/>
      <c r="AX102" s="319"/>
      <c r="AY102" s="321" t="s">
        <v>487</v>
      </c>
      <c r="AZ102" s="321" t="s">
        <v>476</v>
      </c>
      <c r="BA102" s="317" t="s">
        <v>473</v>
      </c>
      <c r="BB102" s="317">
        <v>94</v>
      </c>
      <c r="BC102" s="315">
        <v>3.1333333333333333</v>
      </c>
      <c r="BD102" s="317" t="s">
        <v>474</v>
      </c>
      <c r="BE102" s="340">
        <v>7</v>
      </c>
      <c r="BF102" s="317" t="s">
        <v>460</v>
      </c>
      <c r="BG102" s="279"/>
      <c r="BH102" s="279"/>
      <c r="BI102" s="279"/>
      <c r="BJ102" s="279"/>
      <c r="BK102" s="279"/>
      <c r="BL102" s="279"/>
      <c r="BM102" s="279"/>
      <c r="BN102" s="279"/>
      <c r="BO102" s="279"/>
      <c r="BP102" s="279"/>
      <c r="BQ102" s="279"/>
      <c r="BR102" s="279"/>
      <c r="BS102" s="279"/>
      <c r="BT102" s="279"/>
      <c r="BU102" s="279"/>
      <c r="BV102" s="279"/>
      <c r="BW102" s="279"/>
      <c r="BX102" s="279"/>
      <c r="BY102" s="279"/>
      <c r="BZ102" s="279"/>
      <c r="CA102" s="279"/>
      <c r="CB102" s="279"/>
      <c r="CC102" s="279"/>
      <c r="CD102" s="279"/>
      <c r="CE102" s="279"/>
      <c r="CF102" s="279"/>
      <c r="CG102" s="279"/>
      <c r="CH102" s="279"/>
      <c r="CI102" s="279"/>
      <c r="CJ102" s="279"/>
      <c r="CK102" s="279"/>
      <c r="CL102" s="279"/>
      <c r="CM102" s="279"/>
      <c r="CN102" s="279"/>
      <c r="CO102" s="279"/>
      <c r="CP102" s="279"/>
      <c r="CQ102" s="279"/>
      <c r="CR102" s="279"/>
      <c r="CS102" s="279"/>
      <c r="CT102" s="279"/>
      <c r="CU102" s="279"/>
      <c r="CV102" s="279"/>
      <c r="CW102" s="279"/>
      <c r="CX102" s="279"/>
      <c r="CY102" s="279"/>
      <c r="CZ102" s="279"/>
      <c r="DA102" s="279"/>
      <c r="DB102" s="279"/>
      <c r="DC102" s="279"/>
      <c r="DD102" s="279"/>
      <c r="DE102" s="279"/>
      <c r="DF102" s="279"/>
      <c r="DG102" s="279"/>
      <c r="DH102" s="279"/>
      <c r="DI102" s="279"/>
      <c r="DJ102" s="279"/>
      <c r="DK102" s="279"/>
      <c r="DL102" s="279"/>
      <c r="DM102" s="279"/>
      <c r="DN102" s="279"/>
      <c r="DO102" s="279"/>
      <c r="DP102" s="279"/>
      <c r="DQ102" s="279"/>
      <c r="DR102" s="279"/>
      <c r="DS102" s="279"/>
      <c r="DT102" s="279"/>
      <c r="DU102" s="279"/>
      <c r="DV102" s="279"/>
      <c r="DW102" s="279"/>
      <c r="DX102" s="279"/>
      <c r="DY102" s="279"/>
      <c r="DZ102" s="279"/>
      <c r="EA102" s="279"/>
    </row>
    <row r="103" spans="1:131" ht="12" customHeight="1" x14ac:dyDescent="0.15">
      <c r="A103" s="314">
        <v>10</v>
      </c>
      <c r="B103" s="313" t="s">
        <v>67</v>
      </c>
      <c r="C103" s="314" t="s">
        <v>40</v>
      </c>
      <c r="D103" s="314" t="s">
        <v>46</v>
      </c>
      <c r="E103" s="314" t="s">
        <v>42</v>
      </c>
      <c r="F103" s="314" t="s">
        <v>65</v>
      </c>
      <c r="G103" s="314" t="s">
        <v>68</v>
      </c>
      <c r="H103" s="315">
        <v>300</v>
      </c>
      <c r="I103" s="316">
        <v>11.738</v>
      </c>
      <c r="J103" s="316">
        <v>3.9E-2</v>
      </c>
      <c r="K103" s="316">
        <v>0.21099999999999999</v>
      </c>
      <c r="L103" s="315">
        <v>29.9</v>
      </c>
      <c r="M103" s="317">
        <v>45</v>
      </c>
      <c r="N103" s="315">
        <v>41.9</v>
      </c>
      <c r="O103" s="316">
        <v>1.327</v>
      </c>
      <c r="P103" s="316">
        <v>3.2000000000000001E-2</v>
      </c>
      <c r="Q103" s="316">
        <v>0.19400000000000001</v>
      </c>
      <c r="R103" s="315">
        <v>3.4</v>
      </c>
      <c r="S103" s="317">
        <v>3899</v>
      </c>
      <c r="T103" s="315">
        <v>2.2000000000000002</v>
      </c>
      <c r="U103" s="315">
        <v>5.4</v>
      </c>
      <c r="V103" s="317">
        <v>13</v>
      </c>
      <c r="W103" s="315">
        <v>10.1</v>
      </c>
      <c r="X103" s="316">
        <v>1.097</v>
      </c>
      <c r="Y103" s="316">
        <v>0.108</v>
      </c>
      <c r="Z103" s="316">
        <v>0.21099999999999999</v>
      </c>
      <c r="AA103" s="315">
        <v>1.9</v>
      </c>
      <c r="AB103" s="317">
        <v>1230</v>
      </c>
      <c r="AC103" s="315">
        <v>0</v>
      </c>
      <c r="AD103" s="315">
        <v>2</v>
      </c>
      <c r="AE103" s="317">
        <v>21</v>
      </c>
      <c r="AF103" s="315">
        <v>51.8</v>
      </c>
      <c r="AG103" s="316">
        <v>2.1589999999999998</v>
      </c>
      <c r="AH103" s="316">
        <v>4.2000000000000003E-2</v>
      </c>
      <c r="AI103" s="315">
        <v>7.1</v>
      </c>
      <c r="AJ103" s="317">
        <v>21</v>
      </c>
      <c r="AK103" s="315">
        <v>248.2</v>
      </c>
      <c r="AL103" s="316">
        <v>9.5790000000000006</v>
      </c>
      <c r="AM103" s="316">
        <v>3.9E-2</v>
      </c>
      <c r="AN103" s="315">
        <v>22.8</v>
      </c>
      <c r="AO103" s="318">
        <f>Table1[[#This Row],[Inside_._time]]/Table1[[#This Row],[Duration]]</f>
        <v>0.17266666666666666</v>
      </c>
      <c r="AP103" s="318">
        <f>Table1[[#This Row],[Outside_._time]]/Table1[[#This Row],[Duration]]</f>
        <v>0.82733333333333325</v>
      </c>
      <c r="AQ103" s="318">
        <f>Table1[[#This Row],[Inside_._distance]]/Table1[[#This Row],[Distance]]</f>
        <v>0.18393252683591751</v>
      </c>
      <c r="AR103" s="318">
        <f>Table1[[#This Row],[Outside_._distance]]/Table1[[#This Row],[Distance]]</f>
        <v>0.81606747316408257</v>
      </c>
      <c r="AS103" s="317"/>
      <c r="AT103" s="319"/>
      <c r="AU103" s="319"/>
      <c r="AV103" s="320"/>
      <c r="AW103" s="319"/>
      <c r="AX103" s="319"/>
      <c r="AY103" s="321" t="s">
        <v>487</v>
      </c>
      <c r="AZ103" s="321" t="s">
        <v>476</v>
      </c>
      <c r="BA103" s="317" t="s">
        <v>475</v>
      </c>
      <c r="BB103" s="317">
        <v>94</v>
      </c>
      <c r="BC103" s="315">
        <v>3.1333333333333333</v>
      </c>
      <c r="BD103" s="317" t="s">
        <v>477</v>
      </c>
      <c r="BE103" s="340">
        <v>6</v>
      </c>
      <c r="BF103" s="317" t="s">
        <v>461</v>
      </c>
      <c r="BG103" s="279"/>
      <c r="BH103" s="279"/>
      <c r="BI103" s="279"/>
      <c r="BJ103" s="279"/>
      <c r="BK103" s="279"/>
      <c r="BL103" s="279"/>
      <c r="BM103" s="279"/>
      <c r="BN103" s="279"/>
      <c r="BO103" s="279"/>
      <c r="BP103" s="279"/>
      <c r="BQ103" s="279"/>
      <c r="BR103" s="279"/>
      <c r="BS103" s="279"/>
      <c r="BT103" s="279"/>
      <c r="BU103" s="279"/>
      <c r="BV103" s="279"/>
      <c r="BW103" s="279"/>
      <c r="BX103" s="279"/>
      <c r="BY103" s="279"/>
      <c r="BZ103" s="279"/>
      <c r="CA103" s="279"/>
      <c r="CB103" s="279"/>
      <c r="CC103" s="279"/>
      <c r="CD103" s="279"/>
      <c r="CE103" s="279"/>
      <c r="CF103" s="279"/>
      <c r="CG103" s="279"/>
      <c r="CH103" s="279"/>
      <c r="CI103" s="279"/>
      <c r="CJ103" s="279"/>
      <c r="CK103" s="279"/>
      <c r="CL103" s="279"/>
      <c r="CM103" s="279"/>
      <c r="CN103" s="279"/>
      <c r="CO103" s="279"/>
      <c r="CP103" s="279"/>
      <c r="CQ103" s="279"/>
      <c r="CR103" s="279"/>
      <c r="CS103" s="279"/>
      <c r="CT103" s="279"/>
      <c r="CU103" s="279"/>
      <c r="CV103" s="279"/>
      <c r="CW103" s="279"/>
      <c r="CX103" s="279"/>
      <c r="CY103" s="279"/>
      <c r="CZ103" s="279"/>
      <c r="DA103" s="279"/>
      <c r="DB103" s="279"/>
      <c r="DC103" s="279"/>
      <c r="DD103" s="279"/>
      <c r="DE103" s="279"/>
      <c r="DF103" s="279"/>
      <c r="DG103" s="279"/>
      <c r="DH103" s="279"/>
      <c r="DI103" s="279"/>
      <c r="DJ103" s="279"/>
      <c r="DK103" s="279"/>
      <c r="DL103" s="279"/>
      <c r="DM103" s="279"/>
      <c r="DN103" s="279"/>
      <c r="DO103" s="279"/>
      <c r="DP103" s="279"/>
      <c r="DQ103" s="279"/>
      <c r="DR103" s="279"/>
      <c r="DS103" s="279"/>
      <c r="DT103" s="279"/>
      <c r="DU103" s="279"/>
      <c r="DV103" s="279"/>
      <c r="DW103" s="279"/>
      <c r="DX103" s="279"/>
      <c r="DY103" s="279"/>
      <c r="DZ103" s="279"/>
      <c r="EA103" s="279"/>
    </row>
    <row r="104" spans="1:131" ht="12" customHeight="1" x14ac:dyDescent="0.15">
      <c r="A104" s="314">
        <v>11</v>
      </c>
      <c r="B104" s="313" t="s">
        <v>69</v>
      </c>
      <c r="C104" s="314" t="s">
        <v>40</v>
      </c>
      <c r="D104" s="314" t="s">
        <v>49</v>
      </c>
      <c r="E104" s="314" t="s">
        <v>42</v>
      </c>
      <c r="F104" s="314" t="s">
        <v>65</v>
      </c>
      <c r="G104" s="314" t="s">
        <v>70</v>
      </c>
      <c r="H104" s="315">
        <v>300</v>
      </c>
      <c r="I104" s="316">
        <v>8.3290000000000006</v>
      </c>
      <c r="J104" s="316">
        <v>2.8000000000000001E-2</v>
      </c>
      <c r="K104" s="316">
        <v>0.218</v>
      </c>
      <c r="L104" s="315">
        <v>42.3</v>
      </c>
      <c r="M104" s="317">
        <v>12</v>
      </c>
      <c r="N104" s="315">
        <v>14.7</v>
      </c>
      <c r="O104" s="316">
        <v>0.55900000000000005</v>
      </c>
      <c r="P104" s="316">
        <v>3.7999999999999999E-2</v>
      </c>
      <c r="Q104" s="316">
        <v>0.155</v>
      </c>
      <c r="R104" s="315">
        <v>4.7</v>
      </c>
      <c r="S104" s="317">
        <v>1004</v>
      </c>
      <c r="T104" s="315">
        <v>3.1</v>
      </c>
      <c r="U104" s="315">
        <v>9.5</v>
      </c>
      <c r="V104" s="317">
        <v>12</v>
      </c>
      <c r="W104" s="315">
        <v>7.5</v>
      </c>
      <c r="X104" s="316">
        <v>0.69799999999999995</v>
      </c>
      <c r="Y104" s="316">
        <v>9.2999999999999999E-2</v>
      </c>
      <c r="Z104" s="316">
        <v>0.192</v>
      </c>
      <c r="AA104" s="315">
        <v>2.5</v>
      </c>
      <c r="AB104" s="317">
        <v>798</v>
      </c>
      <c r="AC104" s="315">
        <v>0</v>
      </c>
      <c r="AD104" s="315">
        <v>3.1</v>
      </c>
      <c r="AE104" s="317">
        <v>20</v>
      </c>
      <c r="AF104" s="315">
        <v>48.7</v>
      </c>
      <c r="AG104" s="316">
        <v>1.67</v>
      </c>
      <c r="AH104" s="316">
        <v>3.4000000000000002E-2</v>
      </c>
      <c r="AI104" s="315">
        <v>10.8</v>
      </c>
      <c r="AJ104" s="317">
        <v>20</v>
      </c>
      <c r="AK104" s="315">
        <v>251.3</v>
      </c>
      <c r="AL104" s="316">
        <v>6.66</v>
      </c>
      <c r="AM104" s="316">
        <v>2.7E-2</v>
      </c>
      <c r="AN104" s="315">
        <v>31.4</v>
      </c>
      <c r="AO104" s="318">
        <f>Table1[[#This Row],[Inside_._time]]/Table1[[#This Row],[Duration]]</f>
        <v>0.16233333333333333</v>
      </c>
      <c r="AP104" s="318">
        <f>Table1[[#This Row],[Outside_._time]]/Table1[[#This Row],[Duration]]</f>
        <v>0.83766666666666667</v>
      </c>
      <c r="AQ104" s="318">
        <f>Table1[[#This Row],[Inside_._distance]]/Table1[[#This Row],[Distance]]</f>
        <v>0.20050426221635248</v>
      </c>
      <c r="AR104" s="318">
        <f>Table1[[#This Row],[Outside_._distance]]/Table1[[#This Row],[Distance]]</f>
        <v>0.79961580021611234</v>
      </c>
      <c r="AS104" s="317"/>
      <c r="AT104" s="319"/>
      <c r="AU104" s="319"/>
      <c r="AV104" s="320"/>
      <c r="AW104" s="319"/>
      <c r="AX104" s="319"/>
      <c r="AY104" s="321" t="s">
        <v>487</v>
      </c>
      <c r="AZ104" s="321" t="s">
        <v>476</v>
      </c>
      <c r="BA104" s="317" t="s">
        <v>475</v>
      </c>
      <c r="BB104" s="317">
        <v>94</v>
      </c>
      <c r="BC104" s="315">
        <v>3.1333333333333333</v>
      </c>
      <c r="BD104" s="317" t="s">
        <v>474</v>
      </c>
      <c r="BE104" s="340">
        <v>5</v>
      </c>
      <c r="BF104" s="317" t="s">
        <v>462</v>
      </c>
      <c r="BG104" s="279"/>
      <c r="BH104" s="279"/>
      <c r="BI104" s="279"/>
      <c r="BJ104" s="279"/>
      <c r="BK104" s="279"/>
      <c r="BL104" s="279"/>
      <c r="BM104" s="279"/>
      <c r="BN104" s="279"/>
      <c r="BO104" s="279"/>
      <c r="BP104" s="279"/>
      <c r="BQ104" s="279"/>
      <c r="BR104" s="279"/>
      <c r="BS104" s="279"/>
      <c r="BT104" s="279"/>
      <c r="BU104" s="279"/>
      <c r="BV104" s="279"/>
      <c r="BW104" s="279"/>
      <c r="BX104" s="279"/>
      <c r="BY104" s="279"/>
      <c r="BZ104" s="279"/>
      <c r="CA104" s="279"/>
      <c r="CB104" s="279"/>
      <c r="CC104" s="279"/>
      <c r="CD104" s="279"/>
      <c r="CE104" s="279"/>
      <c r="CF104" s="279"/>
      <c r="CG104" s="279"/>
      <c r="CH104" s="279"/>
      <c r="CI104" s="279"/>
      <c r="CJ104" s="279"/>
      <c r="CK104" s="279"/>
      <c r="CL104" s="279"/>
      <c r="CM104" s="279"/>
      <c r="CN104" s="279"/>
      <c r="CO104" s="279"/>
      <c r="CP104" s="279"/>
      <c r="CQ104" s="279"/>
      <c r="CR104" s="279"/>
      <c r="CS104" s="279"/>
      <c r="CT104" s="279"/>
      <c r="CU104" s="279"/>
      <c r="CV104" s="279"/>
      <c r="CW104" s="279"/>
      <c r="CX104" s="279"/>
      <c r="CY104" s="279"/>
      <c r="CZ104" s="279"/>
      <c r="DA104" s="279"/>
      <c r="DB104" s="279"/>
      <c r="DC104" s="279"/>
      <c r="DD104" s="279"/>
      <c r="DE104" s="279"/>
      <c r="DF104" s="279"/>
      <c r="DG104" s="279"/>
      <c r="DH104" s="279"/>
      <c r="DI104" s="279"/>
      <c r="DJ104" s="279"/>
      <c r="DK104" s="279"/>
      <c r="DL104" s="279"/>
      <c r="DM104" s="279"/>
      <c r="DN104" s="279"/>
      <c r="DO104" s="279"/>
      <c r="DP104" s="279"/>
      <c r="DQ104" s="279"/>
      <c r="DR104" s="279"/>
      <c r="DS104" s="279"/>
      <c r="DT104" s="279"/>
      <c r="DU104" s="279"/>
      <c r="DV104" s="279"/>
      <c r="DW104" s="279"/>
      <c r="DX104" s="279"/>
      <c r="DY104" s="279"/>
      <c r="DZ104" s="279"/>
      <c r="EA104" s="279"/>
    </row>
    <row r="105" spans="1:131" ht="12" customHeight="1" x14ac:dyDescent="0.15">
      <c r="A105" s="314">
        <v>12</v>
      </c>
      <c r="B105" s="313" t="s">
        <v>71</v>
      </c>
      <c r="C105" s="314" t="s">
        <v>40</v>
      </c>
      <c r="D105" s="314" t="s">
        <v>53</v>
      </c>
      <c r="E105" s="314" t="s">
        <v>42</v>
      </c>
      <c r="F105" s="314" t="s">
        <v>65</v>
      </c>
      <c r="G105" s="314" t="s">
        <v>72</v>
      </c>
      <c r="H105" s="315">
        <v>300</v>
      </c>
      <c r="I105" s="316">
        <v>7.0940000000000003</v>
      </c>
      <c r="J105" s="316">
        <v>2.4E-2</v>
      </c>
      <c r="K105" s="316">
        <v>0.26900000000000002</v>
      </c>
      <c r="L105" s="315">
        <v>95.1</v>
      </c>
      <c r="M105" s="317">
        <v>18</v>
      </c>
      <c r="N105" s="315">
        <v>26.2</v>
      </c>
      <c r="O105" s="316">
        <v>0.97299999999999998</v>
      </c>
      <c r="P105" s="316">
        <v>3.6999999999999998E-2</v>
      </c>
      <c r="Q105" s="316">
        <v>0.221</v>
      </c>
      <c r="R105" s="315">
        <v>4.5</v>
      </c>
      <c r="S105" s="317">
        <v>1960</v>
      </c>
      <c r="T105" s="315">
        <v>2.8</v>
      </c>
      <c r="U105" s="315">
        <v>1.5</v>
      </c>
      <c r="V105" s="317">
        <v>14</v>
      </c>
      <c r="W105" s="315">
        <v>9.5</v>
      </c>
      <c r="X105" s="316">
        <v>0.245</v>
      </c>
      <c r="Y105" s="316">
        <v>2.5999999999999999E-2</v>
      </c>
      <c r="Z105" s="316">
        <v>0.16</v>
      </c>
      <c r="AA105" s="315">
        <v>3.7</v>
      </c>
      <c r="AB105" s="317">
        <v>645</v>
      </c>
      <c r="AC105" s="315">
        <v>1.3</v>
      </c>
      <c r="AD105" s="315">
        <v>5.9</v>
      </c>
      <c r="AE105" s="317">
        <v>13</v>
      </c>
      <c r="AF105" s="315">
        <v>78.099999999999994</v>
      </c>
      <c r="AG105" s="316">
        <v>2.0720000000000001</v>
      </c>
      <c r="AH105" s="316">
        <v>2.7E-2</v>
      </c>
      <c r="AI105" s="315">
        <v>31.7</v>
      </c>
      <c r="AJ105" s="317">
        <v>13</v>
      </c>
      <c r="AK105" s="315">
        <v>221.9</v>
      </c>
      <c r="AL105" s="316">
        <v>5.0220000000000002</v>
      </c>
      <c r="AM105" s="316">
        <v>2.3E-2</v>
      </c>
      <c r="AN105" s="315">
        <v>63.3</v>
      </c>
      <c r="AO105" s="318">
        <f>Table1[[#This Row],[Inside_._time]]/Table1[[#This Row],[Duration]]</f>
        <v>0.26033333333333331</v>
      </c>
      <c r="AP105" s="318">
        <f>Table1[[#This Row],[Outside_._time]]/Table1[[#This Row],[Duration]]</f>
        <v>0.73966666666666669</v>
      </c>
      <c r="AQ105" s="318">
        <f>Table1[[#This Row],[Inside_._distance]]/Table1[[#This Row],[Distance]]</f>
        <v>0.29207781223569212</v>
      </c>
      <c r="AR105" s="318">
        <f>Table1[[#This Row],[Outside_._distance]]/Table1[[#This Row],[Distance]]</f>
        <v>0.70792218776430782</v>
      </c>
      <c r="AS105" s="317"/>
      <c r="AT105" s="319"/>
      <c r="AU105" s="319"/>
      <c r="AV105" s="320"/>
      <c r="AW105" s="319"/>
      <c r="AX105" s="319"/>
      <c r="AY105" s="321" t="s">
        <v>487</v>
      </c>
      <c r="AZ105" s="321" t="s">
        <v>476</v>
      </c>
      <c r="BA105" s="317" t="s">
        <v>475</v>
      </c>
      <c r="BB105" s="317">
        <v>94</v>
      </c>
      <c r="BC105" s="315">
        <v>3.1333333333333333</v>
      </c>
      <c r="BD105" s="317" t="s">
        <v>477</v>
      </c>
      <c r="BE105" s="340">
        <v>6</v>
      </c>
      <c r="BF105" s="317"/>
      <c r="BG105" s="279"/>
      <c r="BH105" s="279"/>
      <c r="BI105" s="279"/>
      <c r="BJ105" s="279"/>
      <c r="BK105" s="279"/>
      <c r="BL105" s="279"/>
      <c r="BM105" s="279"/>
      <c r="BN105" s="279"/>
      <c r="BO105" s="279"/>
      <c r="BP105" s="279"/>
      <c r="BQ105" s="279"/>
      <c r="BR105" s="279"/>
      <c r="BS105" s="279"/>
      <c r="BT105" s="279"/>
      <c r="BU105" s="279"/>
      <c r="BV105" s="279"/>
      <c r="BW105" s="279"/>
      <c r="BX105" s="279"/>
      <c r="BY105" s="279"/>
      <c r="BZ105" s="279"/>
      <c r="CA105" s="279"/>
      <c r="CB105" s="279"/>
      <c r="CC105" s="279"/>
      <c r="CD105" s="279"/>
      <c r="CE105" s="279"/>
      <c r="CF105" s="279"/>
      <c r="CG105" s="279"/>
      <c r="CH105" s="279"/>
      <c r="CI105" s="279"/>
      <c r="CJ105" s="279"/>
      <c r="CK105" s="279"/>
      <c r="CL105" s="279"/>
      <c r="CM105" s="279"/>
      <c r="CN105" s="279"/>
      <c r="CO105" s="279"/>
      <c r="CP105" s="279"/>
      <c r="CQ105" s="279"/>
      <c r="CR105" s="279"/>
      <c r="CS105" s="279"/>
      <c r="CT105" s="279"/>
      <c r="CU105" s="279"/>
      <c r="CV105" s="279"/>
      <c r="CW105" s="279"/>
      <c r="CX105" s="279"/>
      <c r="CY105" s="279"/>
      <c r="CZ105" s="279"/>
      <c r="DA105" s="279"/>
      <c r="DB105" s="279"/>
      <c r="DC105" s="279"/>
      <c r="DD105" s="279"/>
      <c r="DE105" s="279"/>
      <c r="DF105" s="279"/>
      <c r="DG105" s="279"/>
      <c r="DH105" s="279"/>
      <c r="DI105" s="279"/>
      <c r="DJ105" s="279"/>
      <c r="DK105" s="279"/>
      <c r="DL105" s="279"/>
      <c r="DM105" s="279"/>
      <c r="DN105" s="279"/>
      <c r="DO105" s="279"/>
      <c r="DP105" s="279"/>
      <c r="DQ105" s="279"/>
      <c r="DR105" s="279"/>
      <c r="DS105" s="279"/>
      <c r="DT105" s="279"/>
      <c r="DU105" s="279"/>
      <c r="DV105" s="279"/>
      <c r="DW105" s="279"/>
      <c r="DX105" s="279"/>
      <c r="DY105" s="279"/>
      <c r="DZ105" s="279"/>
      <c r="EA105" s="279"/>
    </row>
    <row r="106" spans="1:131" s="305" customFormat="1" ht="12" customHeight="1" x14ac:dyDescent="0.15">
      <c r="A106" s="323">
        <v>14</v>
      </c>
      <c r="B106" s="322" t="s">
        <v>73</v>
      </c>
      <c r="C106" s="323" t="s">
        <v>40</v>
      </c>
      <c r="D106" s="323" t="s">
        <v>41</v>
      </c>
      <c r="E106" s="323" t="s">
        <v>42</v>
      </c>
      <c r="F106" s="323" t="s">
        <v>74</v>
      </c>
      <c r="G106" s="323" t="s">
        <v>75</v>
      </c>
      <c r="H106" s="324">
        <v>300</v>
      </c>
      <c r="I106" s="325">
        <v>23.298999999999999</v>
      </c>
      <c r="J106" s="325">
        <v>7.8E-2</v>
      </c>
      <c r="K106" s="325">
        <v>0.38100000000000001</v>
      </c>
      <c r="L106" s="324">
        <v>15</v>
      </c>
      <c r="M106" s="326">
        <v>25</v>
      </c>
      <c r="N106" s="324">
        <v>14.7</v>
      </c>
      <c r="O106" s="325">
        <v>1.6839999999999999</v>
      </c>
      <c r="P106" s="325">
        <v>0.115</v>
      </c>
      <c r="Q106" s="325">
        <v>0.314</v>
      </c>
      <c r="R106" s="324">
        <v>1.8</v>
      </c>
      <c r="S106" s="326">
        <v>1578</v>
      </c>
      <c r="T106" s="324">
        <v>0</v>
      </c>
      <c r="U106" s="324">
        <v>3.4</v>
      </c>
      <c r="V106" s="326">
        <v>33</v>
      </c>
      <c r="W106" s="324">
        <v>20.3</v>
      </c>
      <c r="X106" s="325">
        <v>2.3420000000000001</v>
      </c>
      <c r="Y106" s="325">
        <v>0.115</v>
      </c>
      <c r="Z106" s="325">
        <v>0.30499999999999999</v>
      </c>
      <c r="AA106" s="324">
        <v>2.7</v>
      </c>
      <c r="AB106" s="326">
        <v>2384</v>
      </c>
      <c r="AC106" s="324">
        <v>0</v>
      </c>
      <c r="AD106" s="324">
        <v>4.5</v>
      </c>
      <c r="AE106" s="326">
        <v>37</v>
      </c>
      <c r="AF106" s="324">
        <v>51.5</v>
      </c>
      <c r="AG106" s="325">
        <v>5.7039999999999997</v>
      </c>
      <c r="AH106" s="325">
        <v>0.111</v>
      </c>
      <c r="AI106" s="324">
        <v>0</v>
      </c>
      <c r="AJ106" s="326">
        <v>36</v>
      </c>
      <c r="AK106" s="324">
        <v>248.5</v>
      </c>
      <c r="AL106" s="325">
        <v>17.594999999999999</v>
      </c>
      <c r="AM106" s="325">
        <v>7.0999999999999994E-2</v>
      </c>
      <c r="AN106" s="324">
        <v>2.4</v>
      </c>
      <c r="AO106" s="327">
        <f>Table1[[#This Row],[Inside_._time]]/Table1[[#This Row],[Duration]]</f>
        <v>0.17166666666666666</v>
      </c>
      <c r="AP106" s="327">
        <f>Table1[[#This Row],[Outside_._time]]/Table1[[#This Row],[Duration]]</f>
        <v>0.82833333333333337</v>
      </c>
      <c r="AQ106" s="327">
        <f>Table1[[#This Row],[Inside_._distance]]/Table1[[#This Row],[Distance]]</f>
        <v>0.244817374136229</v>
      </c>
      <c r="AR106" s="327">
        <f>Table1[[#This Row],[Outside_._distance]]/Table1[[#This Row],[Distance]]</f>
        <v>0.75518262586377094</v>
      </c>
      <c r="AS106" s="317"/>
      <c r="AT106" s="326"/>
      <c r="AU106" s="326"/>
      <c r="AV106" s="324"/>
      <c r="AW106" s="326"/>
      <c r="AX106" s="326"/>
      <c r="AY106" s="328" t="s">
        <v>486</v>
      </c>
      <c r="AZ106" s="328" t="s">
        <v>472</v>
      </c>
      <c r="BA106" s="328" t="s">
        <v>475</v>
      </c>
      <c r="BB106" s="328">
        <v>93</v>
      </c>
      <c r="BC106" s="329">
        <v>3.1</v>
      </c>
      <c r="BD106" s="326"/>
      <c r="BE106" s="341"/>
      <c r="BF106" s="326"/>
      <c r="BG106" s="290"/>
      <c r="BH106" s="290"/>
      <c r="BI106" s="290"/>
      <c r="BJ106" s="290"/>
      <c r="BK106" s="290"/>
      <c r="BL106" s="290"/>
      <c r="BM106" s="290"/>
      <c r="BN106" s="290"/>
      <c r="BO106" s="290"/>
      <c r="BP106" s="290"/>
      <c r="BQ106" s="290"/>
      <c r="BR106" s="290"/>
      <c r="BS106" s="290"/>
      <c r="BT106" s="290"/>
      <c r="BU106" s="290"/>
      <c r="BV106" s="290"/>
      <c r="BW106" s="290"/>
      <c r="BX106" s="290"/>
      <c r="BY106" s="290"/>
      <c r="BZ106" s="290"/>
      <c r="CA106" s="290"/>
      <c r="CB106" s="290"/>
      <c r="CC106" s="290"/>
      <c r="CD106" s="290"/>
      <c r="CE106" s="290"/>
      <c r="CF106" s="290"/>
      <c r="CG106" s="290"/>
      <c r="CH106" s="290"/>
      <c r="CI106" s="290"/>
      <c r="CJ106" s="290"/>
      <c r="CK106" s="290"/>
      <c r="CL106" s="290"/>
      <c r="CM106" s="290"/>
      <c r="CN106" s="290"/>
      <c r="CO106" s="290"/>
      <c r="CP106" s="290"/>
      <c r="CQ106" s="290"/>
      <c r="CR106" s="290"/>
      <c r="CS106" s="290"/>
      <c r="CT106" s="290"/>
      <c r="CU106" s="290"/>
      <c r="CV106" s="290"/>
      <c r="CW106" s="290"/>
      <c r="CX106" s="290"/>
      <c r="CY106" s="290"/>
      <c r="CZ106" s="290"/>
      <c r="DA106" s="290"/>
      <c r="DB106" s="290"/>
      <c r="DC106" s="290"/>
      <c r="DD106" s="290"/>
      <c r="DE106" s="290"/>
      <c r="DF106" s="290"/>
      <c r="DG106" s="290"/>
      <c r="DH106" s="290"/>
      <c r="DI106" s="290"/>
      <c r="DJ106" s="290"/>
      <c r="DK106" s="290"/>
      <c r="DL106" s="290"/>
      <c r="DM106" s="290"/>
      <c r="DN106" s="290"/>
      <c r="DO106" s="290"/>
      <c r="DP106" s="290"/>
      <c r="DQ106" s="290"/>
      <c r="DR106" s="290"/>
      <c r="DS106" s="290"/>
      <c r="DT106" s="290"/>
      <c r="DU106" s="290"/>
      <c r="DV106" s="290"/>
      <c r="DW106" s="290"/>
      <c r="DX106" s="290"/>
      <c r="DY106" s="290"/>
      <c r="DZ106" s="290"/>
      <c r="EA106" s="290"/>
    </row>
    <row r="107" spans="1:131" ht="12" customHeight="1" x14ac:dyDescent="0.15">
      <c r="A107" s="314">
        <v>13</v>
      </c>
      <c r="B107" s="313" t="s">
        <v>76</v>
      </c>
      <c r="C107" s="314" t="s">
        <v>40</v>
      </c>
      <c r="D107" s="314" t="s">
        <v>46</v>
      </c>
      <c r="E107" s="314" t="s">
        <v>42</v>
      </c>
      <c r="F107" s="314" t="s">
        <v>74</v>
      </c>
      <c r="G107" s="314" t="s">
        <v>77</v>
      </c>
      <c r="H107" s="315">
        <v>300</v>
      </c>
      <c r="I107" s="316">
        <v>9.9090000000000007</v>
      </c>
      <c r="J107" s="316">
        <v>3.3000000000000002E-2</v>
      </c>
      <c r="K107" s="316">
        <v>0.28999999999999998</v>
      </c>
      <c r="L107" s="315">
        <v>49.3</v>
      </c>
      <c r="M107" s="317">
        <v>23</v>
      </c>
      <c r="N107" s="315">
        <v>16.7</v>
      </c>
      <c r="O107" s="316">
        <v>0.82499999999999996</v>
      </c>
      <c r="P107" s="316">
        <v>4.9000000000000002E-2</v>
      </c>
      <c r="Q107" s="316">
        <v>0.222</v>
      </c>
      <c r="R107" s="315">
        <v>4.5999999999999996</v>
      </c>
      <c r="S107" s="317">
        <v>1661</v>
      </c>
      <c r="T107" s="315">
        <v>1.9</v>
      </c>
      <c r="U107" s="315">
        <v>4.4000000000000004</v>
      </c>
      <c r="V107" s="317">
        <v>30</v>
      </c>
      <c r="W107" s="315">
        <v>51</v>
      </c>
      <c r="X107" s="316">
        <v>1.2649999999999999</v>
      </c>
      <c r="Y107" s="316">
        <v>2.5000000000000001E-2</v>
      </c>
      <c r="Z107" s="316">
        <v>0.21</v>
      </c>
      <c r="AA107" s="315">
        <v>12.8</v>
      </c>
      <c r="AB107" s="317">
        <v>3233</v>
      </c>
      <c r="AC107" s="315">
        <v>15.1</v>
      </c>
      <c r="AD107" s="315">
        <v>20.100000000000001</v>
      </c>
      <c r="AE107" s="317">
        <v>17</v>
      </c>
      <c r="AF107" s="315">
        <v>54.4</v>
      </c>
      <c r="AG107" s="316">
        <v>2.8330000000000002</v>
      </c>
      <c r="AH107" s="316">
        <v>5.1999999999999998E-2</v>
      </c>
      <c r="AI107" s="315">
        <v>2.4</v>
      </c>
      <c r="AJ107" s="317">
        <v>18</v>
      </c>
      <c r="AK107" s="315">
        <v>245.6</v>
      </c>
      <c r="AL107" s="316">
        <v>7.0759999999999996</v>
      </c>
      <c r="AM107" s="316">
        <v>2.9000000000000001E-2</v>
      </c>
      <c r="AN107" s="315">
        <v>34.299999999999997</v>
      </c>
      <c r="AO107" s="318">
        <f>Table1[[#This Row],[Inside_._time]]/Table1[[#This Row],[Duration]]</f>
        <v>0.18133333333333332</v>
      </c>
      <c r="AP107" s="318">
        <f>Table1[[#This Row],[Outside_._time]]/Table1[[#This Row],[Duration]]</f>
        <v>0.81866666666666665</v>
      </c>
      <c r="AQ107" s="318">
        <f>Table1[[#This Row],[Inside_._distance]]/Table1[[#This Row],[Distance]]</f>
        <v>0.28590170552023414</v>
      </c>
      <c r="AR107" s="318">
        <f>Table1[[#This Row],[Outside_._distance]]/Table1[[#This Row],[Distance]]</f>
        <v>0.7140982944797658</v>
      </c>
      <c r="AS107" s="317"/>
      <c r="AT107" s="319"/>
      <c r="AU107" s="319"/>
      <c r="AV107" s="320"/>
      <c r="AW107" s="319"/>
      <c r="AX107" s="319"/>
      <c r="AY107" s="314" t="s">
        <v>486</v>
      </c>
      <c r="AZ107" s="314" t="s">
        <v>472</v>
      </c>
      <c r="BA107" s="317" t="s">
        <v>473</v>
      </c>
      <c r="BB107" s="317">
        <v>86</v>
      </c>
      <c r="BC107" s="317">
        <v>2.8666666666666667</v>
      </c>
      <c r="BD107" s="317" t="s">
        <v>477</v>
      </c>
      <c r="BE107" s="340">
        <v>4</v>
      </c>
      <c r="BF107" s="317" t="s">
        <v>463</v>
      </c>
      <c r="BG107" s="279"/>
      <c r="BH107" s="279"/>
      <c r="BI107" s="279"/>
      <c r="BJ107" s="279"/>
      <c r="BK107" s="279"/>
      <c r="BL107" s="279"/>
      <c r="BM107" s="279"/>
      <c r="BN107" s="279"/>
      <c r="BO107" s="279"/>
      <c r="BP107" s="279"/>
      <c r="BQ107" s="279"/>
      <c r="BR107" s="279"/>
      <c r="BS107" s="279"/>
      <c r="BT107" s="279"/>
      <c r="BU107" s="279"/>
      <c r="BV107" s="279"/>
      <c r="BW107" s="279"/>
      <c r="BX107" s="279"/>
      <c r="BY107" s="279"/>
      <c r="BZ107" s="279"/>
      <c r="CA107" s="279"/>
      <c r="CB107" s="279"/>
      <c r="CC107" s="279"/>
      <c r="CD107" s="279"/>
      <c r="CE107" s="279"/>
      <c r="CF107" s="279"/>
      <c r="CG107" s="279"/>
      <c r="CH107" s="279"/>
      <c r="CI107" s="279"/>
      <c r="CJ107" s="279"/>
      <c r="CK107" s="279"/>
      <c r="CL107" s="279"/>
      <c r="CM107" s="279"/>
      <c r="CN107" s="279"/>
      <c r="CO107" s="279"/>
      <c r="CP107" s="279"/>
      <c r="CQ107" s="279"/>
      <c r="CR107" s="279"/>
      <c r="CS107" s="279"/>
      <c r="CT107" s="279"/>
      <c r="CU107" s="279"/>
      <c r="CV107" s="279"/>
      <c r="CW107" s="279"/>
      <c r="CX107" s="279"/>
      <c r="CY107" s="279"/>
      <c r="CZ107" s="279"/>
      <c r="DA107" s="279"/>
      <c r="DB107" s="279"/>
      <c r="DC107" s="279"/>
      <c r="DD107" s="279"/>
      <c r="DE107" s="279"/>
      <c r="DF107" s="279"/>
      <c r="DG107" s="279"/>
      <c r="DH107" s="279"/>
      <c r="DI107" s="279"/>
      <c r="DJ107" s="279"/>
      <c r="DK107" s="279"/>
      <c r="DL107" s="279"/>
      <c r="DM107" s="279"/>
      <c r="DN107" s="279"/>
      <c r="DO107" s="279"/>
      <c r="DP107" s="279"/>
      <c r="DQ107" s="279"/>
      <c r="DR107" s="279"/>
      <c r="DS107" s="279"/>
      <c r="DT107" s="279"/>
      <c r="DU107" s="279"/>
      <c r="DV107" s="279"/>
      <c r="DW107" s="279"/>
      <c r="DX107" s="279"/>
      <c r="DY107" s="279"/>
      <c r="DZ107" s="279"/>
      <c r="EA107" s="279"/>
    </row>
    <row r="108" spans="1:131" ht="12" customHeight="1" x14ac:dyDescent="0.15">
      <c r="A108" s="314">
        <v>15</v>
      </c>
      <c r="B108" s="313" t="s">
        <v>78</v>
      </c>
      <c r="C108" s="314" t="s">
        <v>40</v>
      </c>
      <c r="D108" s="314" t="s">
        <v>49</v>
      </c>
      <c r="E108" s="314" t="s">
        <v>42</v>
      </c>
      <c r="F108" s="314" t="s">
        <v>74</v>
      </c>
      <c r="G108" s="314" t="s">
        <v>79</v>
      </c>
      <c r="H108" s="315">
        <v>300</v>
      </c>
      <c r="I108" s="316">
        <v>10.845000000000001</v>
      </c>
      <c r="J108" s="316">
        <v>3.5999999999999997E-2</v>
      </c>
      <c r="K108" s="316">
        <v>0.33</v>
      </c>
      <c r="L108" s="315">
        <v>83.9</v>
      </c>
      <c r="M108" s="317">
        <v>22</v>
      </c>
      <c r="N108" s="315">
        <v>21.6</v>
      </c>
      <c r="O108" s="316">
        <v>0.89800000000000002</v>
      </c>
      <c r="P108" s="316">
        <v>4.2000000000000003E-2</v>
      </c>
      <c r="Q108" s="316">
        <v>0.249</v>
      </c>
      <c r="R108" s="315">
        <v>11.5</v>
      </c>
      <c r="S108" s="317">
        <v>2141</v>
      </c>
      <c r="T108" s="315">
        <v>8.4</v>
      </c>
      <c r="U108" s="315">
        <v>14</v>
      </c>
      <c r="V108" s="317">
        <v>17</v>
      </c>
      <c r="W108" s="315">
        <v>9.9</v>
      </c>
      <c r="X108" s="316">
        <v>0.47799999999999998</v>
      </c>
      <c r="Y108" s="316">
        <v>4.8000000000000001E-2</v>
      </c>
      <c r="Z108" s="316">
        <v>0.248</v>
      </c>
      <c r="AA108" s="315">
        <v>2.4</v>
      </c>
      <c r="AB108" s="317">
        <v>951</v>
      </c>
      <c r="AC108" s="315">
        <v>1.5</v>
      </c>
      <c r="AD108" s="315">
        <v>3.6</v>
      </c>
      <c r="AE108" s="317">
        <v>13</v>
      </c>
      <c r="AF108" s="315">
        <v>14.6</v>
      </c>
      <c r="AG108" s="316">
        <v>1.5920000000000001</v>
      </c>
      <c r="AH108" s="316">
        <v>0.109</v>
      </c>
      <c r="AI108" s="315">
        <v>0</v>
      </c>
      <c r="AJ108" s="317">
        <v>14</v>
      </c>
      <c r="AK108" s="315">
        <v>285.39999999999998</v>
      </c>
      <c r="AL108" s="316">
        <v>9.2530000000000001</v>
      </c>
      <c r="AM108" s="316">
        <v>3.2000000000000001E-2</v>
      </c>
      <c r="AN108" s="315">
        <v>84.6</v>
      </c>
      <c r="AO108" s="318">
        <f>Table1[[#This Row],[Inside_._time]]/Table1[[#This Row],[Duration]]</f>
        <v>4.8666666666666664E-2</v>
      </c>
      <c r="AP108" s="318">
        <f>Table1[[#This Row],[Outside_._time]]/Table1[[#This Row],[Duration]]</f>
        <v>0.95133333333333325</v>
      </c>
      <c r="AQ108" s="318">
        <f>Table1[[#This Row],[Inside_._distance]]/Table1[[#This Row],[Distance]]</f>
        <v>0.14679575841401568</v>
      </c>
      <c r="AR108" s="318">
        <f>Table1[[#This Row],[Outside_._distance]]/Table1[[#This Row],[Distance]]</f>
        <v>0.85320424158598429</v>
      </c>
      <c r="AS108" s="317"/>
      <c r="AT108" s="319"/>
      <c r="AU108" s="319"/>
      <c r="AV108" s="320"/>
      <c r="AW108" s="319"/>
      <c r="AX108" s="319"/>
      <c r="AY108" s="314" t="s">
        <v>487</v>
      </c>
      <c r="AZ108" s="314" t="s">
        <v>472</v>
      </c>
      <c r="BA108" s="317" t="s">
        <v>475</v>
      </c>
      <c r="BB108" s="317">
        <v>86</v>
      </c>
      <c r="BC108" s="317">
        <v>2.8666666666666667</v>
      </c>
      <c r="BD108" s="317" t="s">
        <v>474</v>
      </c>
      <c r="BE108" s="340">
        <v>1</v>
      </c>
      <c r="BF108" s="317"/>
      <c r="BG108" s="279"/>
      <c r="BH108" s="279"/>
      <c r="BI108" s="279"/>
      <c r="BJ108" s="279"/>
      <c r="BK108" s="279"/>
      <c r="BL108" s="279"/>
      <c r="BM108" s="279"/>
      <c r="BN108" s="279"/>
      <c r="BO108" s="279"/>
      <c r="BP108" s="279"/>
      <c r="BQ108" s="279"/>
      <c r="BR108" s="279"/>
      <c r="BS108" s="279"/>
      <c r="BT108" s="279"/>
      <c r="BU108" s="279"/>
      <c r="BV108" s="279"/>
      <c r="BW108" s="279"/>
      <c r="BX108" s="279"/>
      <c r="BY108" s="279"/>
      <c r="BZ108" s="279"/>
      <c r="CA108" s="279"/>
      <c r="CB108" s="279"/>
      <c r="CC108" s="279"/>
      <c r="CD108" s="279"/>
      <c r="CE108" s="279"/>
      <c r="CF108" s="279"/>
      <c r="CG108" s="279"/>
      <c r="CH108" s="279"/>
      <c r="CI108" s="279"/>
      <c r="CJ108" s="279"/>
      <c r="CK108" s="279"/>
      <c r="CL108" s="279"/>
      <c r="CM108" s="279"/>
      <c r="CN108" s="279"/>
      <c r="CO108" s="279"/>
      <c r="CP108" s="279"/>
      <c r="CQ108" s="279"/>
      <c r="CR108" s="279"/>
      <c r="CS108" s="279"/>
      <c r="CT108" s="279"/>
      <c r="CU108" s="279"/>
      <c r="CV108" s="279"/>
      <c r="CW108" s="279"/>
      <c r="CX108" s="279"/>
      <c r="CY108" s="279"/>
      <c r="CZ108" s="279"/>
      <c r="DA108" s="279"/>
      <c r="DB108" s="279"/>
      <c r="DC108" s="279"/>
      <c r="DD108" s="279"/>
      <c r="DE108" s="279"/>
      <c r="DF108" s="279"/>
      <c r="DG108" s="279"/>
      <c r="DH108" s="279"/>
      <c r="DI108" s="279"/>
      <c r="DJ108" s="279"/>
      <c r="DK108" s="279"/>
      <c r="DL108" s="279"/>
      <c r="DM108" s="279"/>
      <c r="DN108" s="279"/>
      <c r="DO108" s="279"/>
      <c r="DP108" s="279"/>
      <c r="DQ108" s="279"/>
      <c r="DR108" s="279"/>
      <c r="DS108" s="279"/>
      <c r="DT108" s="279"/>
      <c r="DU108" s="279"/>
      <c r="DV108" s="279"/>
      <c r="DW108" s="279"/>
      <c r="DX108" s="279"/>
      <c r="DY108" s="279"/>
      <c r="DZ108" s="279"/>
      <c r="EA108" s="279"/>
    </row>
    <row r="109" spans="1:131" ht="12" customHeight="1" x14ac:dyDescent="0.15">
      <c r="A109" s="314">
        <v>16</v>
      </c>
      <c r="B109" s="313" t="s">
        <v>80</v>
      </c>
      <c r="C109" s="314" t="s">
        <v>40</v>
      </c>
      <c r="D109" s="314" t="s">
        <v>53</v>
      </c>
      <c r="E109" s="314" t="s">
        <v>42</v>
      </c>
      <c r="F109" s="314" t="s">
        <v>74</v>
      </c>
      <c r="G109" s="314" t="s">
        <v>81</v>
      </c>
      <c r="H109" s="315">
        <v>300</v>
      </c>
      <c r="I109" s="316">
        <v>23.18</v>
      </c>
      <c r="J109" s="316">
        <v>7.6999999999999999E-2</v>
      </c>
      <c r="K109" s="316">
        <v>0.40699999999999997</v>
      </c>
      <c r="L109" s="315">
        <v>17.2</v>
      </c>
      <c r="M109" s="317">
        <v>39</v>
      </c>
      <c r="N109" s="315">
        <v>19.7</v>
      </c>
      <c r="O109" s="316">
        <v>2.2109999999999999</v>
      </c>
      <c r="P109" s="316">
        <v>0.112</v>
      </c>
      <c r="Q109" s="316">
        <v>0.32800000000000001</v>
      </c>
      <c r="R109" s="315">
        <v>4.5</v>
      </c>
      <c r="S109" s="317">
        <v>3026</v>
      </c>
      <c r="T109" s="315">
        <v>0</v>
      </c>
      <c r="U109" s="315">
        <v>5.4</v>
      </c>
      <c r="V109" s="317">
        <v>26</v>
      </c>
      <c r="W109" s="315">
        <v>16.5</v>
      </c>
      <c r="X109" s="316">
        <v>1.6919999999999999</v>
      </c>
      <c r="Y109" s="316">
        <v>0.10199999999999999</v>
      </c>
      <c r="Z109" s="316">
        <v>0.36399999999999999</v>
      </c>
      <c r="AA109" s="315">
        <v>2.5</v>
      </c>
      <c r="AB109" s="317">
        <v>2604</v>
      </c>
      <c r="AC109" s="315">
        <v>1.2</v>
      </c>
      <c r="AD109" s="315">
        <v>3.1</v>
      </c>
      <c r="AE109" s="317">
        <v>29</v>
      </c>
      <c r="AF109" s="315">
        <v>59.8</v>
      </c>
      <c r="AG109" s="316">
        <v>5.5279999999999996</v>
      </c>
      <c r="AH109" s="316">
        <v>9.1999999999999998E-2</v>
      </c>
      <c r="AI109" s="315">
        <v>0</v>
      </c>
      <c r="AJ109" s="317">
        <v>29</v>
      </c>
      <c r="AK109" s="315">
        <v>240.2</v>
      </c>
      <c r="AL109" s="316">
        <v>17.652999999999999</v>
      </c>
      <c r="AM109" s="316">
        <v>7.3999999999999996E-2</v>
      </c>
      <c r="AN109" s="315">
        <v>3.7</v>
      </c>
      <c r="AO109" s="318">
        <f>Table1[[#This Row],[Inside_._time]]/Table1[[#This Row],[Duration]]</f>
        <v>0.19933333333333333</v>
      </c>
      <c r="AP109" s="318">
        <f>Table1[[#This Row],[Outside_._time]]/Table1[[#This Row],[Duration]]</f>
        <v>0.80066666666666664</v>
      </c>
      <c r="AQ109" s="318">
        <f>Table1[[#This Row],[Inside_._distance]]/Table1[[#This Row],[Distance]]</f>
        <v>0.23848144952545297</v>
      </c>
      <c r="AR109" s="318">
        <f>Table1[[#This Row],[Outside_._distance]]/Table1[[#This Row],[Distance]]</f>
        <v>0.76156169111302841</v>
      </c>
      <c r="AS109" s="317"/>
      <c r="AT109" s="319"/>
      <c r="AU109" s="319"/>
      <c r="AV109" s="320"/>
      <c r="AW109" s="319"/>
      <c r="AX109" s="319"/>
      <c r="AY109" s="314" t="s">
        <v>487</v>
      </c>
      <c r="AZ109" s="314" t="s">
        <v>476</v>
      </c>
      <c r="BA109" s="317" t="s">
        <v>473</v>
      </c>
      <c r="BB109" s="317">
        <v>86</v>
      </c>
      <c r="BC109" s="317">
        <v>2.8666666666666667</v>
      </c>
      <c r="BD109" s="317" t="s">
        <v>474</v>
      </c>
      <c r="BE109" s="340">
        <v>7</v>
      </c>
      <c r="BF109" s="317"/>
      <c r="BG109" s="279"/>
      <c r="BH109" s="279"/>
      <c r="BI109" s="279"/>
      <c r="BJ109" s="279"/>
      <c r="BK109" s="279"/>
      <c r="BL109" s="279"/>
      <c r="BM109" s="279"/>
      <c r="BN109" s="279"/>
      <c r="BO109" s="279"/>
      <c r="BP109" s="279"/>
      <c r="BQ109" s="279"/>
      <c r="BR109" s="279"/>
      <c r="BS109" s="279"/>
      <c r="BT109" s="279"/>
      <c r="BU109" s="279"/>
      <c r="BV109" s="279"/>
      <c r="BW109" s="279"/>
      <c r="BX109" s="279"/>
      <c r="BY109" s="279"/>
      <c r="BZ109" s="279"/>
      <c r="CA109" s="279"/>
      <c r="CB109" s="279"/>
      <c r="CC109" s="279"/>
      <c r="CD109" s="279"/>
      <c r="CE109" s="279"/>
      <c r="CF109" s="279"/>
      <c r="CG109" s="279"/>
      <c r="CH109" s="279"/>
      <c r="CI109" s="279"/>
      <c r="CJ109" s="279"/>
      <c r="CK109" s="279"/>
      <c r="CL109" s="279"/>
      <c r="CM109" s="279"/>
      <c r="CN109" s="279"/>
      <c r="CO109" s="279"/>
      <c r="CP109" s="279"/>
      <c r="CQ109" s="279"/>
      <c r="CR109" s="279"/>
      <c r="CS109" s="279"/>
      <c r="CT109" s="279"/>
      <c r="CU109" s="279"/>
      <c r="CV109" s="279"/>
      <c r="CW109" s="279"/>
      <c r="CX109" s="279"/>
      <c r="CY109" s="279"/>
      <c r="CZ109" s="279"/>
      <c r="DA109" s="279"/>
      <c r="DB109" s="279"/>
      <c r="DC109" s="279"/>
      <c r="DD109" s="279"/>
      <c r="DE109" s="279"/>
      <c r="DF109" s="279"/>
      <c r="DG109" s="279"/>
      <c r="DH109" s="279"/>
      <c r="DI109" s="279"/>
      <c r="DJ109" s="279"/>
      <c r="DK109" s="279"/>
      <c r="DL109" s="279"/>
      <c r="DM109" s="279"/>
      <c r="DN109" s="279"/>
      <c r="DO109" s="279"/>
      <c r="DP109" s="279"/>
      <c r="DQ109" s="279"/>
      <c r="DR109" s="279"/>
      <c r="DS109" s="279"/>
      <c r="DT109" s="279"/>
      <c r="DU109" s="279"/>
      <c r="DV109" s="279"/>
      <c r="DW109" s="279"/>
      <c r="DX109" s="279"/>
      <c r="DY109" s="279"/>
      <c r="DZ109" s="279"/>
      <c r="EA109" s="279"/>
    </row>
    <row r="110" spans="1:131" ht="12" customHeight="1" x14ac:dyDescent="0.15">
      <c r="A110" s="314">
        <v>17</v>
      </c>
      <c r="B110" s="313" t="s">
        <v>82</v>
      </c>
      <c r="C110" s="314" t="s">
        <v>40</v>
      </c>
      <c r="D110" s="314" t="s">
        <v>41</v>
      </c>
      <c r="E110" s="314" t="s">
        <v>42</v>
      </c>
      <c r="F110" s="314" t="s">
        <v>83</v>
      </c>
      <c r="G110" s="314" t="s">
        <v>84</v>
      </c>
      <c r="H110" s="315">
        <v>300</v>
      </c>
      <c r="I110" s="316">
        <v>6.7290000000000001</v>
      </c>
      <c r="J110" s="316">
        <v>2.1999999999999999E-2</v>
      </c>
      <c r="K110" s="316">
        <v>0.29399999999999998</v>
      </c>
      <c r="L110" s="315">
        <v>38</v>
      </c>
      <c r="M110" s="317">
        <v>12</v>
      </c>
      <c r="N110" s="315">
        <v>21.8</v>
      </c>
      <c r="O110" s="316">
        <v>0.59599999999999997</v>
      </c>
      <c r="P110" s="316">
        <v>2.7E-2</v>
      </c>
      <c r="Q110" s="316">
        <v>0.23</v>
      </c>
      <c r="R110" s="315">
        <v>1</v>
      </c>
      <c r="S110" s="317">
        <v>1082</v>
      </c>
      <c r="T110" s="315">
        <v>1.1000000000000001</v>
      </c>
      <c r="U110" s="315">
        <v>4.2</v>
      </c>
      <c r="V110" s="317">
        <v>9</v>
      </c>
      <c r="W110" s="315">
        <v>9.9</v>
      </c>
      <c r="X110" s="316">
        <v>0.33400000000000002</v>
      </c>
      <c r="Y110" s="316">
        <v>3.4000000000000002E-2</v>
      </c>
      <c r="Z110" s="316">
        <v>0.192</v>
      </c>
      <c r="AA110" s="315">
        <v>2.7</v>
      </c>
      <c r="AB110" s="317">
        <v>674</v>
      </c>
      <c r="AC110" s="315">
        <v>0</v>
      </c>
      <c r="AD110" s="315">
        <v>3.7</v>
      </c>
      <c r="AE110" s="317">
        <v>10</v>
      </c>
      <c r="AF110" s="315">
        <v>25.1</v>
      </c>
      <c r="AG110" s="316">
        <v>1.48</v>
      </c>
      <c r="AH110" s="316">
        <v>5.8999999999999997E-2</v>
      </c>
      <c r="AI110" s="315">
        <v>0</v>
      </c>
      <c r="AJ110" s="317">
        <v>10</v>
      </c>
      <c r="AK110" s="315">
        <v>274.89999999999998</v>
      </c>
      <c r="AL110" s="316">
        <v>5.25</v>
      </c>
      <c r="AM110" s="316">
        <v>1.9E-2</v>
      </c>
      <c r="AN110" s="315">
        <v>38</v>
      </c>
      <c r="AO110" s="318">
        <f>Table1[[#This Row],[Inside_._time]]/Table1[[#This Row],[Duration]]</f>
        <v>8.3666666666666667E-2</v>
      </c>
      <c r="AP110" s="318">
        <f>Table1[[#This Row],[Outside_._time]]/Table1[[#This Row],[Duration]]</f>
        <v>0.91633333333333322</v>
      </c>
      <c r="AQ110" s="318">
        <f>Table1[[#This Row],[Inside_._distance]]/Table1[[#This Row],[Distance]]</f>
        <v>0.2199435280130777</v>
      </c>
      <c r="AR110" s="318">
        <f>Table1[[#This Row],[Outside_._distance]]/Table1[[#This Row],[Distance]]</f>
        <v>0.78020508247882303</v>
      </c>
      <c r="AS110" s="317"/>
      <c r="AT110" s="319"/>
      <c r="AU110" s="319"/>
      <c r="AV110" s="320"/>
      <c r="AW110" s="319"/>
      <c r="AX110" s="319"/>
      <c r="AY110" s="314" t="s">
        <v>487</v>
      </c>
      <c r="AZ110" s="314" t="s">
        <v>472</v>
      </c>
      <c r="BA110" s="317" t="s">
        <v>473</v>
      </c>
      <c r="BB110" s="317">
        <v>86</v>
      </c>
      <c r="BC110" s="317">
        <v>2.8666666666666667</v>
      </c>
      <c r="BD110" s="317" t="s">
        <v>474</v>
      </c>
      <c r="BE110" s="340">
        <v>3</v>
      </c>
      <c r="BF110" s="317"/>
      <c r="BG110" s="279"/>
      <c r="BH110" s="279"/>
      <c r="BI110" s="279"/>
      <c r="BJ110" s="279"/>
      <c r="BK110" s="279"/>
      <c r="BL110" s="279"/>
      <c r="BM110" s="279"/>
      <c r="BN110" s="279"/>
      <c r="BO110" s="279"/>
      <c r="BP110" s="279"/>
      <c r="BQ110" s="279"/>
      <c r="BR110" s="279"/>
      <c r="BS110" s="279"/>
      <c r="BT110" s="279"/>
      <c r="BU110" s="279"/>
      <c r="BV110" s="279"/>
      <c r="BW110" s="279"/>
      <c r="BX110" s="279"/>
      <c r="BY110" s="279"/>
      <c r="BZ110" s="279"/>
      <c r="CA110" s="279"/>
      <c r="CB110" s="279"/>
      <c r="CC110" s="279"/>
      <c r="CD110" s="279"/>
      <c r="CE110" s="279"/>
      <c r="CF110" s="279"/>
      <c r="CG110" s="279"/>
      <c r="CH110" s="279"/>
      <c r="CI110" s="279"/>
      <c r="CJ110" s="279"/>
      <c r="CK110" s="279"/>
      <c r="CL110" s="279"/>
      <c r="CM110" s="279"/>
      <c r="CN110" s="279"/>
      <c r="CO110" s="279"/>
      <c r="CP110" s="279"/>
      <c r="CQ110" s="279"/>
      <c r="CR110" s="279"/>
      <c r="CS110" s="279"/>
      <c r="CT110" s="279"/>
      <c r="CU110" s="279"/>
      <c r="CV110" s="279"/>
      <c r="CW110" s="279"/>
      <c r="CX110" s="279"/>
      <c r="CY110" s="279"/>
      <c r="CZ110" s="279"/>
      <c r="DA110" s="279"/>
      <c r="DB110" s="279"/>
      <c r="DC110" s="279"/>
      <c r="DD110" s="279"/>
      <c r="DE110" s="279"/>
      <c r="DF110" s="279"/>
      <c r="DG110" s="279"/>
      <c r="DH110" s="279"/>
      <c r="DI110" s="279"/>
      <c r="DJ110" s="279"/>
      <c r="DK110" s="279"/>
      <c r="DL110" s="279"/>
      <c r="DM110" s="279"/>
      <c r="DN110" s="279"/>
      <c r="DO110" s="279"/>
      <c r="DP110" s="279"/>
      <c r="DQ110" s="279"/>
      <c r="DR110" s="279"/>
      <c r="DS110" s="279"/>
      <c r="DT110" s="279"/>
      <c r="DU110" s="279"/>
      <c r="DV110" s="279"/>
      <c r="DW110" s="279"/>
      <c r="DX110" s="279"/>
      <c r="DY110" s="279"/>
      <c r="DZ110" s="279"/>
      <c r="EA110" s="279"/>
    </row>
    <row r="111" spans="1:131" ht="12" customHeight="1" x14ac:dyDescent="0.15">
      <c r="A111" s="314">
        <v>18</v>
      </c>
      <c r="B111" s="313" t="s">
        <v>85</v>
      </c>
      <c r="C111" s="314" t="s">
        <v>40</v>
      </c>
      <c r="D111" s="314" t="s">
        <v>46</v>
      </c>
      <c r="E111" s="314" t="s">
        <v>42</v>
      </c>
      <c r="F111" s="314" t="s">
        <v>83</v>
      </c>
      <c r="G111" s="314" t="s">
        <v>86</v>
      </c>
      <c r="H111" s="315">
        <v>300</v>
      </c>
      <c r="I111" s="316">
        <v>12.122999999999999</v>
      </c>
      <c r="J111" s="316">
        <v>0.04</v>
      </c>
      <c r="K111" s="316">
        <v>0.27</v>
      </c>
      <c r="L111" s="315">
        <v>31.6</v>
      </c>
      <c r="M111" s="317">
        <v>26</v>
      </c>
      <c r="N111" s="315">
        <v>23.5</v>
      </c>
      <c r="O111" s="316">
        <v>1.28</v>
      </c>
      <c r="P111" s="316">
        <v>5.3999999999999999E-2</v>
      </c>
      <c r="Q111" s="316">
        <v>0.20899999999999999</v>
      </c>
      <c r="R111" s="315">
        <v>5.0999999999999996</v>
      </c>
      <c r="S111" s="317">
        <v>1996</v>
      </c>
      <c r="T111" s="315">
        <v>1.3</v>
      </c>
      <c r="U111" s="315">
        <v>7.7</v>
      </c>
      <c r="V111" s="317">
        <v>12</v>
      </c>
      <c r="W111" s="315">
        <v>8.8000000000000007</v>
      </c>
      <c r="X111" s="316">
        <v>0.85699999999999998</v>
      </c>
      <c r="Y111" s="316">
        <v>9.8000000000000004E-2</v>
      </c>
      <c r="Z111" s="316">
        <v>0.25900000000000001</v>
      </c>
      <c r="AA111" s="315">
        <v>3.3</v>
      </c>
      <c r="AB111" s="317">
        <v>986</v>
      </c>
      <c r="AC111" s="315">
        <v>0</v>
      </c>
      <c r="AD111" s="315">
        <v>3.3</v>
      </c>
      <c r="AE111" s="317">
        <v>30</v>
      </c>
      <c r="AF111" s="315">
        <v>50</v>
      </c>
      <c r="AG111" s="316">
        <v>3.7109999999999999</v>
      </c>
      <c r="AH111" s="316">
        <v>7.3999999999999996E-2</v>
      </c>
      <c r="AI111" s="315">
        <v>3.8</v>
      </c>
      <c r="AJ111" s="317">
        <v>31</v>
      </c>
      <c r="AK111" s="315">
        <v>250</v>
      </c>
      <c r="AL111" s="316">
        <v>8.4120000000000008</v>
      </c>
      <c r="AM111" s="316">
        <v>3.4000000000000002E-2</v>
      </c>
      <c r="AN111" s="315">
        <v>27.8</v>
      </c>
      <c r="AO111" s="318">
        <f>Table1[[#This Row],[Inside_._time]]/Table1[[#This Row],[Duration]]</f>
        <v>0.16666666666666666</v>
      </c>
      <c r="AP111" s="318">
        <f>Table1[[#This Row],[Outside_._time]]/Table1[[#This Row],[Duration]]</f>
        <v>0.83333333333333337</v>
      </c>
      <c r="AQ111" s="318">
        <f>Table1[[#This Row],[Inside_._distance]]/Table1[[#This Row],[Distance]]</f>
        <v>0.3061123484286068</v>
      </c>
      <c r="AR111" s="318">
        <f>Table1[[#This Row],[Outside_._distance]]/Table1[[#This Row],[Distance]]</f>
        <v>0.69388765157139332</v>
      </c>
      <c r="AS111" s="317"/>
      <c r="AT111" s="319"/>
      <c r="AU111" s="319"/>
      <c r="AV111" s="320"/>
      <c r="AW111" s="319"/>
      <c r="AX111" s="319"/>
      <c r="AY111" s="314" t="s">
        <v>486</v>
      </c>
      <c r="AZ111" s="314" t="s">
        <v>472</v>
      </c>
      <c r="BA111" s="317" t="s">
        <v>473</v>
      </c>
      <c r="BB111" s="317">
        <v>76</v>
      </c>
      <c r="BC111" s="317">
        <v>2.5333333333333332</v>
      </c>
      <c r="BD111" s="317" t="s">
        <v>474</v>
      </c>
      <c r="BE111" s="340">
        <v>3</v>
      </c>
      <c r="BF111" s="317"/>
      <c r="BG111" s="279"/>
      <c r="BH111" s="279"/>
      <c r="BI111" s="279"/>
      <c r="BJ111" s="279"/>
      <c r="BK111" s="279"/>
      <c r="BL111" s="279"/>
      <c r="BM111" s="279"/>
      <c r="BN111" s="279"/>
      <c r="BO111" s="279"/>
      <c r="BP111" s="279"/>
      <c r="BQ111" s="279"/>
      <c r="BR111" s="279"/>
      <c r="BS111" s="279"/>
      <c r="BT111" s="279"/>
      <c r="BU111" s="279"/>
      <c r="BV111" s="279"/>
      <c r="BW111" s="279"/>
      <c r="BX111" s="279"/>
      <c r="BY111" s="279"/>
      <c r="BZ111" s="279"/>
      <c r="CA111" s="279"/>
      <c r="CB111" s="279"/>
      <c r="CC111" s="279"/>
      <c r="CD111" s="279"/>
      <c r="CE111" s="279"/>
      <c r="CF111" s="279"/>
      <c r="CG111" s="279"/>
      <c r="CH111" s="279"/>
      <c r="CI111" s="279"/>
      <c r="CJ111" s="279"/>
      <c r="CK111" s="279"/>
      <c r="CL111" s="279"/>
      <c r="CM111" s="279"/>
      <c r="CN111" s="279"/>
      <c r="CO111" s="279"/>
      <c r="CP111" s="279"/>
      <c r="CQ111" s="279"/>
      <c r="CR111" s="279"/>
      <c r="CS111" s="279"/>
      <c r="CT111" s="279"/>
      <c r="CU111" s="279"/>
      <c r="CV111" s="279"/>
      <c r="CW111" s="279"/>
      <c r="CX111" s="279"/>
      <c r="CY111" s="279"/>
      <c r="CZ111" s="279"/>
      <c r="DA111" s="279"/>
      <c r="DB111" s="279"/>
      <c r="DC111" s="279"/>
      <c r="DD111" s="279"/>
      <c r="DE111" s="279"/>
      <c r="DF111" s="279"/>
      <c r="DG111" s="279"/>
      <c r="DH111" s="279"/>
      <c r="DI111" s="279"/>
      <c r="DJ111" s="279"/>
      <c r="DK111" s="279"/>
      <c r="DL111" s="279"/>
      <c r="DM111" s="279"/>
      <c r="DN111" s="279"/>
      <c r="DO111" s="279"/>
      <c r="DP111" s="279"/>
      <c r="DQ111" s="279"/>
      <c r="DR111" s="279"/>
      <c r="DS111" s="279"/>
      <c r="DT111" s="279"/>
      <c r="DU111" s="279"/>
      <c r="DV111" s="279"/>
      <c r="DW111" s="279"/>
      <c r="DX111" s="279"/>
      <c r="DY111" s="279"/>
      <c r="DZ111" s="279"/>
      <c r="EA111" s="279"/>
    </row>
    <row r="112" spans="1:131" ht="12" customHeight="1" x14ac:dyDescent="0.15">
      <c r="A112" s="314">
        <v>20</v>
      </c>
      <c r="B112" s="313" t="s">
        <v>87</v>
      </c>
      <c r="C112" s="314" t="s">
        <v>40</v>
      </c>
      <c r="D112" s="314" t="s">
        <v>49</v>
      </c>
      <c r="E112" s="314" t="s">
        <v>42</v>
      </c>
      <c r="F112" s="314" t="s">
        <v>83</v>
      </c>
      <c r="G112" s="314" t="s">
        <v>88</v>
      </c>
      <c r="H112" s="315">
        <v>300</v>
      </c>
      <c r="I112" s="316">
        <v>6.4930000000000003</v>
      </c>
      <c r="J112" s="316">
        <v>2.1999999999999999E-2</v>
      </c>
      <c r="K112" s="316">
        <v>0.19600000000000001</v>
      </c>
      <c r="L112" s="315">
        <v>36.299999999999997</v>
      </c>
      <c r="M112" s="317">
        <v>19</v>
      </c>
      <c r="N112" s="315">
        <v>68</v>
      </c>
      <c r="O112" s="316">
        <v>0.49</v>
      </c>
      <c r="P112" s="316">
        <v>7.0000000000000001E-3</v>
      </c>
      <c r="Q112" s="316">
        <v>0.184</v>
      </c>
      <c r="R112" s="315">
        <v>19.100000000000001</v>
      </c>
      <c r="S112" s="317">
        <v>3777</v>
      </c>
      <c r="T112" s="315">
        <v>13.8</v>
      </c>
      <c r="U112" s="315">
        <v>26.2</v>
      </c>
      <c r="V112" s="317">
        <v>7</v>
      </c>
      <c r="W112" s="315">
        <v>25.8</v>
      </c>
      <c r="X112" s="316">
        <v>0.48399999999999999</v>
      </c>
      <c r="Y112" s="316">
        <v>1.9E-2</v>
      </c>
      <c r="Z112" s="316">
        <v>0.186</v>
      </c>
      <c r="AA112" s="315">
        <v>0.8</v>
      </c>
      <c r="AB112" s="317">
        <v>548</v>
      </c>
      <c r="AC112" s="315">
        <v>11.3</v>
      </c>
      <c r="AD112" s="315">
        <v>1.9</v>
      </c>
      <c r="AE112" s="317">
        <v>9</v>
      </c>
      <c r="AF112" s="315">
        <v>32.700000000000003</v>
      </c>
      <c r="AG112" s="316">
        <v>1.151</v>
      </c>
      <c r="AH112" s="316">
        <v>3.5000000000000003E-2</v>
      </c>
      <c r="AI112" s="315">
        <v>11.3</v>
      </c>
      <c r="AJ112" s="317">
        <v>10</v>
      </c>
      <c r="AK112" s="315">
        <v>267.3</v>
      </c>
      <c r="AL112" s="316">
        <v>5.3419999999999996</v>
      </c>
      <c r="AM112" s="316">
        <v>0.02</v>
      </c>
      <c r="AN112" s="315">
        <v>25</v>
      </c>
      <c r="AO112" s="318">
        <f>Table1[[#This Row],[Inside_._time]]/Table1[[#This Row],[Duration]]</f>
        <v>0.10900000000000001</v>
      </c>
      <c r="AP112" s="318">
        <f>Table1[[#This Row],[Outside_._time]]/Table1[[#This Row],[Duration]]</f>
        <v>0.89100000000000001</v>
      </c>
      <c r="AQ112" s="318">
        <f>Table1[[#This Row],[Inside_._distance]]/Table1[[#This Row],[Distance]]</f>
        <v>0.17726782689049744</v>
      </c>
      <c r="AR112" s="318">
        <f>Table1[[#This Row],[Outside_._distance]]/Table1[[#This Row],[Distance]]</f>
        <v>0.82273217310950242</v>
      </c>
      <c r="AS112" s="317"/>
      <c r="AT112" s="319"/>
      <c r="AU112" s="319"/>
      <c r="AV112" s="320"/>
      <c r="AW112" s="319"/>
      <c r="AX112" s="319"/>
      <c r="AY112" s="314" t="s">
        <v>486</v>
      </c>
      <c r="AZ112" s="314" t="s">
        <v>476</v>
      </c>
      <c r="BA112" s="317" t="s">
        <v>473</v>
      </c>
      <c r="BB112" s="317">
        <v>76</v>
      </c>
      <c r="BC112" s="317">
        <v>2.5333333333333332</v>
      </c>
      <c r="BD112" s="317" t="s">
        <v>477</v>
      </c>
      <c r="BE112" s="340">
        <v>8</v>
      </c>
      <c r="BF112" s="317"/>
      <c r="BG112" s="279"/>
      <c r="BH112" s="279"/>
      <c r="BI112" s="279"/>
      <c r="BJ112" s="279"/>
      <c r="BK112" s="279"/>
      <c r="BL112" s="279"/>
      <c r="BM112" s="279"/>
      <c r="BN112" s="279"/>
      <c r="BO112" s="279"/>
      <c r="BP112" s="279"/>
      <c r="BQ112" s="279"/>
      <c r="BR112" s="279"/>
      <c r="BS112" s="279"/>
      <c r="BT112" s="279"/>
      <c r="BU112" s="279"/>
      <c r="BV112" s="279"/>
      <c r="BW112" s="279"/>
      <c r="BX112" s="279"/>
      <c r="BY112" s="279"/>
      <c r="BZ112" s="279"/>
      <c r="CA112" s="279"/>
      <c r="CB112" s="279"/>
      <c r="CC112" s="279"/>
      <c r="CD112" s="279"/>
      <c r="CE112" s="279"/>
      <c r="CF112" s="279"/>
      <c r="CG112" s="279"/>
      <c r="CH112" s="279"/>
      <c r="CI112" s="279"/>
      <c r="CJ112" s="279"/>
      <c r="CK112" s="279"/>
      <c r="CL112" s="279"/>
      <c r="CM112" s="279"/>
      <c r="CN112" s="279"/>
      <c r="CO112" s="279"/>
      <c r="CP112" s="279"/>
      <c r="CQ112" s="279"/>
      <c r="CR112" s="279"/>
      <c r="CS112" s="279"/>
      <c r="CT112" s="279"/>
      <c r="CU112" s="279"/>
      <c r="CV112" s="279"/>
      <c r="CW112" s="279"/>
      <c r="CX112" s="279"/>
      <c r="CY112" s="279"/>
      <c r="CZ112" s="279"/>
      <c r="DA112" s="279"/>
      <c r="DB112" s="279"/>
      <c r="DC112" s="279"/>
      <c r="DD112" s="279"/>
      <c r="DE112" s="279"/>
      <c r="DF112" s="279"/>
      <c r="DG112" s="279"/>
      <c r="DH112" s="279"/>
      <c r="DI112" s="279"/>
      <c r="DJ112" s="279"/>
      <c r="DK112" s="279"/>
      <c r="DL112" s="279"/>
      <c r="DM112" s="279"/>
      <c r="DN112" s="279"/>
      <c r="DO112" s="279"/>
      <c r="DP112" s="279"/>
      <c r="DQ112" s="279"/>
      <c r="DR112" s="279"/>
      <c r="DS112" s="279"/>
      <c r="DT112" s="279"/>
      <c r="DU112" s="279"/>
      <c r="DV112" s="279"/>
      <c r="DW112" s="279"/>
      <c r="DX112" s="279"/>
      <c r="DY112" s="279"/>
      <c r="DZ112" s="279"/>
      <c r="EA112" s="279"/>
    </row>
    <row r="113" spans="1:131" ht="12" customHeight="1" x14ac:dyDescent="0.15">
      <c r="A113" s="314">
        <v>19</v>
      </c>
      <c r="B113" s="313" t="s">
        <v>89</v>
      </c>
      <c r="C113" s="314" t="s">
        <v>40</v>
      </c>
      <c r="D113" s="314" t="s">
        <v>53</v>
      </c>
      <c r="E113" s="314" t="s">
        <v>42</v>
      </c>
      <c r="F113" s="314" t="s">
        <v>83</v>
      </c>
      <c r="G113" s="314" t="s">
        <v>90</v>
      </c>
      <c r="H113" s="315">
        <v>300</v>
      </c>
      <c r="I113" s="316">
        <v>14.231999999999999</v>
      </c>
      <c r="J113" s="316">
        <v>4.7E-2</v>
      </c>
      <c r="K113" s="316">
        <v>0.27200000000000002</v>
      </c>
      <c r="L113" s="315">
        <v>26.3</v>
      </c>
      <c r="M113" s="317">
        <v>17</v>
      </c>
      <c r="N113" s="315">
        <v>18.899999999999999</v>
      </c>
      <c r="O113" s="316">
        <v>1.256</v>
      </c>
      <c r="P113" s="316">
        <v>6.6000000000000003E-2</v>
      </c>
      <c r="Q113" s="316">
        <v>0.19600000000000001</v>
      </c>
      <c r="R113" s="315">
        <v>2.5</v>
      </c>
      <c r="S113" s="317">
        <v>1614</v>
      </c>
      <c r="T113" s="315">
        <v>0</v>
      </c>
      <c r="U113" s="315">
        <v>3.2</v>
      </c>
      <c r="V113" s="317">
        <v>24</v>
      </c>
      <c r="W113" s="315">
        <v>12.1</v>
      </c>
      <c r="X113" s="316">
        <v>1.042</v>
      </c>
      <c r="Y113" s="316">
        <v>8.5999999999999993E-2</v>
      </c>
      <c r="Z113" s="316">
        <v>0.23799999999999999</v>
      </c>
      <c r="AA113" s="315">
        <v>1.7</v>
      </c>
      <c r="AB113" s="317">
        <v>1190</v>
      </c>
      <c r="AC113" s="315">
        <v>0.8</v>
      </c>
      <c r="AD113" s="315">
        <v>1.9</v>
      </c>
      <c r="AE113" s="317">
        <v>19</v>
      </c>
      <c r="AF113" s="315">
        <v>53.9</v>
      </c>
      <c r="AG113" s="316">
        <v>2.8079999999999998</v>
      </c>
      <c r="AH113" s="316">
        <v>5.1999999999999998E-2</v>
      </c>
      <c r="AI113" s="315">
        <v>14.9</v>
      </c>
      <c r="AJ113" s="317">
        <v>19</v>
      </c>
      <c r="AK113" s="315">
        <v>246.1</v>
      </c>
      <c r="AL113" s="316">
        <v>11.423999999999999</v>
      </c>
      <c r="AM113" s="316">
        <v>4.5999999999999999E-2</v>
      </c>
      <c r="AN113" s="315">
        <v>11.5</v>
      </c>
      <c r="AO113" s="318">
        <f>Table1[[#This Row],[Inside_._time]]/Table1[[#This Row],[Duration]]</f>
        <v>0.17966666666666667</v>
      </c>
      <c r="AP113" s="318">
        <f>Table1[[#This Row],[Outside_._time]]/Table1[[#This Row],[Duration]]</f>
        <v>0.82033333333333336</v>
      </c>
      <c r="AQ113" s="318">
        <f>Table1[[#This Row],[Inside_._distance]]/Table1[[#This Row],[Distance]]</f>
        <v>0.1973018549747049</v>
      </c>
      <c r="AR113" s="318">
        <f>Table1[[#This Row],[Outside_._distance]]/Table1[[#This Row],[Distance]]</f>
        <v>0.80269814502529513</v>
      </c>
      <c r="AS113" s="317"/>
      <c r="AT113" s="319"/>
      <c r="AU113" s="319"/>
      <c r="AV113" s="320"/>
      <c r="AW113" s="319"/>
      <c r="AX113" s="319"/>
      <c r="AY113" s="314" t="s">
        <v>487</v>
      </c>
      <c r="AZ113" s="314" t="s">
        <v>472</v>
      </c>
      <c r="BA113" s="317" t="s">
        <v>473</v>
      </c>
      <c r="BB113" s="317">
        <v>76</v>
      </c>
      <c r="BC113" s="317">
        <v>2.5333333333333332</v>
      </c>
      <c r="BD113" s="317" t="s">
        <v>474</v>
      </c>
      <c r="BE113" s="340">
        <v>3</v>
      </c>
      <c r="BF113" s="317"/>
      <c r="BG113" s="279"/>
      <c r="BH113" s="279"/>
      <c r="BI113" s="279"/>
      <c r="BJ113" s="279"/>
      <c r="BK113" s="279"/>
      <c r="BL113" s="279"/>
      <c r="BM113" s="279"/>
      <c r="BN113" s="279"/>
      <c r="BO113" s="279"/>
      <c r="BP113" s="279"/>
      <c r="BQ113" s="279"/>
      <c r="BR113" s="279"/>
      <c r="BS113" s="279"/>
      <c r="BT113" s="279"/>
      <c r="BU113" s="279"/>
      <c r="BV113" s="279"/>
      <c r="BW113" s="279"/>
      <c r="BX113" s="279"/>
      <c r="BY113" s="279"/>
      <c r="BZ113" s="279"/>
      <c r="CA113" s="279"/>
      <c r="CB113" s="279"/>
      <c r="CC113" s="279"/>
      <c r="CD113" s="279"/>
      <c r="CE113" s="279"/>
      <c r="CF113" s="279"/>
      <c r="CG113" s="279"/>
      <c r="CH113" s="279"/>
      <c r="CI113" s="279"/>
      <c r="CJ113" s="279"/>
      <c r="CK113" s="279"/>
      <c r="CL113" s="279"/>
      <c r="CM113" s="279"/>
      <c r="CN113" s="279"/>
      <c r="CO113" s="279"/>
      <c r="CP113" s="279"/>
      <c r="CQ113" s="279"/>
      <c r="CR113" s="279"/>
      <c r="CS113" s="279"/>
      <c r="CT113" s="279"/>
      <c r="CU113" s="279"/>
      <c r="CV113" s="279"/>
      <c r="CW113" s="279"/>
      <c r="CX113" s="279"/>
      <c r="CY113" s="279"/>
      <c r="CZ113" s="279"/>
      <c r="DA113" s="279"/>
      <c r="DB113" s="279"/>
      <c r="DC113" s="279"/>
      <c r="DD113" s="279"/>
      <c r="DE113" s="279"/>
      <c r="DF113" s="279"/>
      <c r="DG113" s="279"/>
      <c r="DH113" s="279"/>
      <c r="DI113" s="279"/>
      <c r="DJ113" s="279"/>
      <c r="DK113" s="279"/>
      <c r="DL113" s="279"/>
      <c r="DM113" s="279"/>
      <c r="DN113" s="279"/>
      <c r="DO113" s="279"/>
      <c r="DP113" s="279"/>
      <c r="DQ113" s="279"/>
      <c r="DR113" s="279"/>
      <c r="DS113" s="279"/>
      <c r="DT113" s="279"/>
      <c r="DU113" s="279"/>
      <c r="DV113" s="279"/>
      <c r="DW113" s="279"/>
      <c r="DX113" s="279"/>
      <c r="DY113" s="279"/>
      <c r="DZ113" s="279"/>
      <c r="EA113" s="279"/>
    </row>
    <row r="114" spans="1:131" ht="12" customHeight="1" x14ac:dyDescent="0.15">
      <c r="A114" s="314">
        <v>23</v>
      </c>
      <c r="B114" s="313" t="s">
        <v>91</v>
      </c>
      <c r="C114" s="314" t="s">
        <v>40</v>
      </c>
      <c r="D114" s="314" t="s">
        <v>41</v>
      </c>
      <c r="E114" s="314" t="s">
        <v>42</v>
      </c>
      <c r="F114" s="314" t="s">
        <v>92</v>
      </c>
      <c r="G114" s="314" t="s">
        <v>93</v>
      </c>
      <c r="H114" s="315">
        <v>300</v>
      </c>
      <c r="I114" s="316">
        <v>20.986000000000001</v>
      </c>
      <c r="J114" s="316">
        <v>7.0000000000000007E-2</v>
      </c>
      <c r="K114" s="316">
        <v>0.33700000000000002</v>
      </c>
      <c r="L114" s="315">
        <v>2.2000000000000002</v>
      </c>
      <c r="M114" s="317">
        <v>29</v>
      </c>
      <c r="N114" s="315">
        <v>13.6</v>
      </c>
      <c r="O114" s="316">
        <v>1.9450000000000001</v>
      </c>
      <c r="P114" s="316">
        <v>0.14299999999999999</v>
      </c>
      <c r="Q114" s="316">
        <v>0.30599999999999999</v>
      </c>
      <c r="R114" s="315">
        <v>1.7</v>
      </c>
      <c r="S114" s="317">
        <v>1909</v>
      </c>
      <c r="T114" s="315">
        <v>0</v>
      </c>
      <c r="U114" s="315">
        <v>2.8</v>
      </c>
      <c r="V114" s="317">
        <v>16</v>
      </c>
      <c r="W114" s="315">
        <v>10.1</v>
      </c>
      <c r="X114" s="316">
        <v>1.1950000000000001</v>
      </c>
      <c r="Y114" s="316">
        <v>0.11799999999999999</v>
      </c>
      <c r="Z114" s="316">
        <v>0.31</v>
      </c>
      <c r="AA114" s="315">
        <v>0.9</v>
      </c>
      <c r="AB114" s="317">
        <v>1604</v>
      </c>
      <c r="AC114" s="315">
        <v>0</v>
      </c>
      <c r="AD114" s="315">
        <v>1.9</v>
      </c>
      <c r="AE114" s="317">
        <v>32</v>
      </c>
      <c r="AF114" s="315">
        <v>34.6</v>
      </c>
      <c r="AG114" s="316">
        <v>5.4160000000000004</v>
      </c>
      <c r="AH114" s="316">
        <v>0.156</v>
      </c>
      <c r="AI114" s="315">
        <v>0</v>
      </c>
      <c r="AJ114" s="317">
        <v>33</v>
      </c>
      <c r="AK114" s="315">
        <v>265.39999999999998</v>
      </c>
      <c r="AL114" s="316">
        <v>15.57</v>
      </c>
      <c r="AM114" s="316">
        <v>5.8999999999999997E-2</v>
      </c>
      <c r="AN114" s="315">
        <v>2.2000000000000002</v>
      </c>
      <c r="AO114" s="318">
        <f>Table1[[#This Row],[Inside_._time]]/Table1[[#This Row],[Duration]]</f>
        <v>0.11533333333333334</v>
      </c>
      <c r="AP114" s="318">
        <f>Table1[[#This Row],[Outside_._time]]/Table1[[#This Row],[Duration]]</f>
        <v>0.8846666666666666</v>
      </c>
      <c r="AQ114" s="318">
        <f>Table1[[#This Row],[Inside_._distance]]/Table1[[#This Row],[Distance]]</f>
        <v>0.25807681311350428</v>
      </c>
      <c r="AR114" s="318">
        <f>Table1[[#This Row],[Outside_._distance]]/Table1[[#This Row],[Distance]]</f>
        <v>0.74192318688649572</v>
      </c>
      <c r="AS114" s="317"/>
      <c r="AT114" s="319"/>
      <c r="AU114" s="319"/>
      <c r="AV114" s="320"/>
      <c r="AW114" s="319"/>
      <c r="AX114" s="319"/>
      <c r="AY114" s="314" t="s">
        <v>487</v>
      </c>
      <c r="AZ114" s="314" t="s">
        <v>476</v>
      </c>
      <c r="BA114" s="317" t="s">
        <v>475</v>
      </c>
      <c r="BB114" s="317">
        <v>76</v>
      </c>
      <c r="BC114" s="317">
        <v>2.5333333333333332</v>
      </c>
      <c r="BD114" s="317" t="s">
        <v>474</v>
      </c>
      <c r="BE114" s="340">
        <v>5</v>
      </c>
      <c r="BF114" s="317"/>
      <c r="BG114" s="279"/>
      <c r="BH114" s="279"/>
      <c r="BI114" s="279"/>
      <c r="BJ114" s="279"/>
      <c r="BK114" s="279"/>
      <c r="BL114" s="279"/>
      <c r="BM114" s="279"/>
      <c r="BN114" s="279"/>
      <c r="BO114" s="279"/>
      <c r="BP114" s="279"/>
      <c r="BQ114" s="279"/>
      <c r="BR114" s="279"/>
      <c r="BS114" s="279"/>
      <c r="BT114" s="279"/>
      <c r="BU114" s="279"/>
      <c r="BV114" s="279"/>
      <c r="BW114" s="279"/>
      <c r="BX114" s="279"/>
      <c r="BY114" s="279"/>
      <c r="BZ114" s="279"/>
      <c r="CA114" s="279"/>
      <c r="CB114" s="279"/>
      <c r="CC114" s="279"/>
      <c r="CD114" s="279"/>
      <c r="CE114" s="279"/>
      <c r="CF114" s="279"/>
      <c r="CG114" s="279"/>
      <c r="CH114" s="279"/>
      <c r="CI114" s="279"/>
      <c r="CJ114" s="279"/>
      <c r="CK114" s="279"/>
      <c r="CL114" s="279"/>
      <c r="CM114" s="279"/>
      <c r="CN114" s="279"/>
      <c r="CO114" s="279"/>
      <c r="CP114" s="279"/>
      <c r="CQ114" s="279"/>
      <c r="CR114" s="279"/>
      <c r="CS114" s="279"/>
      <c r="CT114" s="279"/>
      <c r="CU114" s="279"/>
      <c r="CV114" s="279"/>
      <c r="CW114" s="279"/>
      <c r="CX114" s="279"/>
      <c r="CY114" s="279"/>
      <c r="CZ114" s="279"/>
      <c r="DA114" s="279"/>
      <c r="DB114" s="279"/>
      <c r="DC114" s="279"/>
      <c r="DD114" s="279"/>
      <c r="DE114" s="279"/>
      <c r="DF114" s="279"/>
      <c r="DG114" s="279"/>
      <c r="DH114" s="279"/>
      <c r="DI114" s="279"/>
      <c r="DJ114" s="279"/>
      <c r="DK114" s="279"/>
      <c r="DL114" s="279"/>
      <c r="DM114" s="279"/>
      <c r="DN114" s="279"/>
      <c r="DO114" s="279"/>
      <c r="DP114" s="279"/>
      <c r="DQ114" s="279"/>
      <c r="DR114" s="279"/>
      <c r="DS114" s="279"/>
      <c r="DT114" s="279"/>
      <c r="DU114" s="279"/>
      <c r="DV114" s="279"/>
      <c r="DW114" s="279"/>
      <c r="DX114" s="279"/>
      <c r="DY114" s="279"/>
      <c r="DZ114" s="279"/>
      <c r="EA114" s="279"/>
    </row>
    <row r="115" spans="1:131" s="305" customFormat="1" ht="12" customHeight="1" x14ac:dyDescent="0.15">
      <c r="A115" s="323">
        <v>24</v>
      </c>
      <c r="B115" s="322" t="s">
        <v>94</v>
      </c>
      <c r="C115" s="323" t="s">
        <v>40</v>
      </c>
      <c r="D115" s="323" t="s">
        <v>46</v>
      </c>
      <c r="E115" s="323" t="s">
        <v>42</v>
      </c>
      <c r="F115" s="323" t="s">
        <v>92</v>
      </c>
      <c r="G115" s="323" t="s">
        <v>95</v>
      </c>
      <c r="H115" s="324">
        <v>300</v>
      </c>
      <c r="I115" s="325">
        <v>18.440999999999999</v>
      </c>
      <c r="J115" s="325">
        <v>6.0999999999999999E-2</v>
      </c>
      <c r="K115" s="325">
        <v>0.309</v>
      </c>
      <c r="L115" s="324">
        <v>11.1</v>
      </c>
      <c r="M115" s="326">
        <v>19</v>
      </c>
      <c r="N115" s="324">
        <v>11.6</v>
      </c>
      <c r="O115" s="325">
        <v>1.1859999999999999</v>
      </c>
      <c r="P115" s="325">
        <v>0.10199999999999999</v>
      </c>
      <c r="Q115" s="325">
        <v>0.249</v>
      </c>
      <c r="R115" s="324">
        <v>4.5</v>
      </c>
      <c r="S115" s="326">
        <v>1242</v>
      </c>
      <c r="T115" s="324">
        <v>0</v>
      </c>
      <c r="U115" s="324">
        <v>5.0999999999999996</v>
      </c>
      <c r="V115" s="326">
        <v>25</v>
      </c>
      <c r="W115" s="324">
        <v>20.5</v>
      </c>
      <c r="X115" s="325">
        <v>1.843</v>
      </c>
      <c r="Y115" s="325">
        <v>0.09</v>
      </c>
      <c r="Z115" s="325">
        <v>0.27200000000000002</v>
      </c>
      <c r="AA115" s="324">
        <v>1.7</v>
      </c>
      <c r="AB115" s="326">
        <v>2621</v>
      </c>
      <c r="AC115" s="324">
        <v>0.5</v>
      </c>
      <c r="AD115" s="324">
        <v>3.8</v>
      </c>
      <c r="AE115" s="326">
        <v>18</v>
      </c>
      <c r="AF115" s="324">
        <v>25.7</v>
      </c>
      <c r="AG115" s="325">
        <v>3.097</v>
      </c>
      <c r="AH115" s="325">
        <v>0.12</v>
      </c>
      <c r="AI115" s="324">
        <v>0</v>
      </c>
      <c r="AJ115" s="326">
        <v>19</v>
      </c>
      <c r="AK115" s="324">
        <v>274.3</v>
      </c>
      <c r="AL115" s="325">
        <v>15.343999999999999</v>
      </c>
      <c r="AM115" s="325">
        <v>5.6000000000000001E-2</v>
      </c>
      <c r="AN115" s="324">
        <v>11.1</v>
      </c>
      <c r="AO115" s="327">
        <f>Table1[[#This Row],[Inside_._time]]/Table1[[#This Row],[Duration]]</f>
        <v>8.5666666666666669E-2</v>
      </c>
      <c r="AP115" s="327">
        <f>Table1[[#This Row],[Outside_._time]]/Table1[[#This Row],[Duration]]</f>
        <v>0.91433333333333333</v>
      </c>
      <c r="AQ115" s="327">
        <f>Table1[[#This Row],[Inside_._distance]]/Table1[[#This Row],[Distance]]</f>
        <v>0.1679410010303129</v>
      </c>
      <c r="AR115" s="327">
        <f>Table1[[#This Row],[Outside_._distance]]/Table1[[#This Row],[Distance]]</f>
        <v>0.83205899896968716</v>
      </c>
      <c r="AS115" s="317"/>
      <c r="AT115" s="326"/>
      <c r="AU115" s="326"/>
      <c r="AV115" s="324"/>
      <c r="AW115" s="326"/>
      <c r="AX115" s="326"/>
      <c r="AY115" s="323" t="s">
        <v>487</v>
      </c>
      <c r="AZ115" s="323" t="s">
        <v>472</v>
      </c>
      <c r="BA115" s="323" t="s">
        <v>475</v>
      </c>
      <c r="BB115" s="323">
        <v>81</v>
      </c>
      <c r="BC115" s="324">
        <v>2.7</v>
      </c>
      <c r="BD115" s="326"/>
      <c r="BE115" s="341"/>
      <c r="BF115" s="326"/>
      <c r="BG115" s="290"/>
      <c r="BH115" s="290"/>
      <c r="BI115" s="290"/>
      <c r="BJ115" s="290"/>
      <c r="BK115" s="290"/>
      <c r="BL115" s="290"/>
      <c r="BM115" s="290"/>
      <c r="BN115" s="290"/>
      <c r="BO115" s="290"/>
      <c r="BP115" s="290"/>
      <c r="BQ115" s="290"/>
      <c r="BR115" s="290"/>
      <c r="BS115" s="290"/>
      <c r="BT115" s="290"/>
      <c r="BU115" s="290"/>
      <c r="BV115" s="290"/>
      <c r="BW115" s="290"/>
      <c r="BX115" s="290"/>
      <c r="BY115" s="290"/>
      <c r="BZ115" s="290"/>
      <c r="CA115" s="290"/>
      <c r="CB115" s="290"/>
      <c r="CC115" s="290"/>
      <c r="CD115" s="290"/>
      <c r="CE115" s="290"/>
      <c r="CF115" s="290"/>
      <c r="CG115" s="290"/>
      <c r="CH115" s="290"/>
      <c r="CI115" s="290"/>
      <c r="CJ115" s="290"/>
      <c r="CK115" s="290"/>
      <c r="CL115" s="290"/>
      <c r="CM115" s="290"/>
      <c r="CN115" s="290"/>
      <c r="CO115" s="290"/>
      <c r="CP115" s="290"/>
      <c r="CQ115" s="290"/>
      <c r="CR115" s="290"/>
      <c r="CS115" s="290"/>
      <c r="CT115" s="290"/>
      <c r="CU115" s="290"/>
      <c r="CV115" s="290"/>
      <c r="CW115" s="290"/>
      <c r="CX115" s="290"/>
      <c r="CY115" s="290"/>
      <c r="CZ115" s="290"/>
      <c r="DA115" s="290"/>
      <c r="DB115" s="290"/>
      <c r="DC115" s="290"/>
      <c r="DD115" s="290"/>
      <c r="DE115" s="290"/>
      <c r="DF115" s="290"/>
      <c r="DG115" s="290"/>
      <c r="DH115" s="290"/>
      <c r="DI115" s="290"/>
      <c r="DJ115" s="290"/>
      <c r="DK115" s="290"/>
      <c r="DL115" s="290"/>
      <c r="DM115" s="290"/>
      <c r="DN115" s="290"/>
      <c r="DO115" s="290"/>
      <c r="DP115" s="290"/>
      <c r="DQ115" s="290"/>
      <c r="DR115" s="290"/>
      <c r="DS115" s="290"/>
      <c r="DT115" s="290"/>
      <c r="DU115" s="290"/>
      <c r="DV115" s="290"/>
      <c r="DW115" s="290"/>
      <c r="DX115" s="290"/>
      <c r="DY115" s="290"/>
      <c r="DZ115" s="290"/>
      <c r="EA115" s="290"/>
    </row>
    <row r="116" spans="1:131" ht="12" customHeight="1" x14ac:dyDescent="0.15">
      <c r="A116" s="314">
        <v>22</v>
      </c>
      <c r="B116" s="313" t="s">
        <v>96</v>
      </c>
      <c r="C116" s="314" t="s">
        <v>40</v>
      </c>
      <c r="D116" s="314" t="s">
        <v>49</v>
      </c>
      <c r="E116" s="314" t="s">
        <v>42</v>
      </c>
      <c r="F116" s="314" t="s">
        <v>92</v>
      </c>
      <c r="G116" s="314" t="s">
        <v>97</v>
      </c>
      <c r="H116" s="315">
        <v>300</v>
      </c>
      <c r="I116" s="316">
        <v>10.276999999999999</v>
      </c>
      <c r="J116" s="316">
        <v>3.4000000000000002E-2</v>
      </c>
      <c r="K116" s="316">
        <v>0.20499999999999999</v>
      </c>
      <c r="L116" s="315">
        <v>38.6</v>
      </c>
      <c r="M116" s="317">
        <v>25</v>
      </c>
      <c r="N116" s="315">
        <v>40.9</v>
      </c>
      <c r="O116" s="316">
        <v>0.77400000000000002</v>
      </c>
      <c r="P116" s="316">
        <v>1.9E-2</v>
      </c>
      <c r="Q116" s="316">
        <v>0.17599999999999999</v>
      </c>
      <c r="R116" s="315">
        <v>24.2</v>
      </c>
      <c r="S116" s="317">
        <v>2153</v>
      </c>
      <c r="T116" s="315">
        <v>6.7</v>
      </c>
      <c r="U116" s="315">
        <v>30.2</v>
      </c>
      <c r="V116" s="317">
        <v>13</v>
      </c>
      <c r="W116" s="315">
        <v>10.5</v>
      </c>
      <c r="X116" s="316">
        <v>0.76900000000000002</v>
      </c>
      <c r="Y116" s="316">
        <v>7.2999999999999995E-2</v>
      </c>
      <c r="Z116" s="316">
        <v>0.19600000000000001</v>
      </c>
      <c r="AA116" s="315">
        <v>4.9000000000000004</v>
      </c>
      <c r="AB116" s="317">
        <v>685</v>
      </c>
      <c r="AC116" s="315">
        <v>0</v>
      </c>
      <c r="AD116" s="315">
        <v>6.1</v>
      </c>
      <c r="AE116" s="317">
        <v>10</v>
      </c>
      <c r="AF116" s="315">
        <v>65.5</v>
      </c>
      <c r="AG116" s="316">
        <v>1.9470000000000001</v>
      </c>
      <c r="AH116" s="316">
        <v>0.03</v>
      </c>
      <c r="AI116" s="315">
        <v>7.9</v>
      </c>
      <c r="AJ116" s="317">
        <v>11</v>
      </c>
      <c r="AK116" s="315">
        <v>234.5</v>
      </c>
      <c r="AL116" s="316">
        <v>8.33</v>
      </c>
      <c r="AM116" s="316">
        <v>3.5999999999999997E-2</v>
      </c>
      <c r="AN116" s="315">
        <v>30.8</v>
      </c>
      <c r="AO116" s="318">
        <f>Table1[[#This Row],[Inside_._time]]/Table1[[#This Row],[Duration]]</f>
        <v>0.21833333333333332</v>
      </c>
      <c r="AP116" s="318">
        <f>Table1[[#This Row],[Outside_._time]]/Table1[[#This Row],[Duration]]</f>
        <v>0.78166666666666662</v>
      </c>
      <c r="AQ116" s="318">
        <f>Table1[[#This Row],[Inside_._distance]]/Table1[[#This Row],[Distance]]</f>
        <v>0.18945217475917098</v>
      </c>
      <c r="AR116" s="318">
        <f>Table1[[#This Row],[Outside_._distance]]/Table1[[#This Row],[Distance]]</f>
        <v>0.81054782524082913</v>
      </c>
      <c r="AS116" s="317"/>
      <c r="AT116" s="319"/>
      <c r="AU116" s="319"/>
      <c r="AV116" s="320"/>
      <c r="AW116" s="319"/>
      <c r="AX116" s="319"/>
      <c r="AY116" s="314" t="s">
        <v>486</v>
      </c>
      <c r="AZ116" s="314" t="s">
        <v>476</v>
      </c>
      <c r="BA116" s="317" t="s">
        <v>475</v>
      </c>
      <c r="BB116" s="317">
        <v>68</v>
      </c>
      <c r="BC116" s="317">
        <v>2.2666666666666666</v>
      </c>
      <c r="BD116" s="317" t="s">
        <v>477</v>
      </c>
      <c r="BE116" s="340">
        <v>6</v>
      </c>
      <c r="BF116" s="317"/>
      <c r="BG116" s="279"/>
      <c r="BH116" s="279"/>
      <c r="BI116" s="279"/>
      <c r="BJ116" s="279"/>
      <c r="BK116" s="279"/>
      <c r="BL116" s="279"/>
      <c r="BM116" s="279"/>
      <c r="BN116" s="279"/>
      <c r="BO116" s="279"/>
      <c r="BP116" s="279"/>
      <c r="BQ116" s="279"/>
      <c r="BR116" s="279"/>
      <c r="BS116" s="279"/>
      <c r="BT116" s="279"/>
      <c r="BU116" s="279"/>
      <c r="BV116" s="279"/>
      <c r="BW116" s="279"/>
      <c r="BX116" s="279"/>
      <c r="BY116" s="279"/>
      <c r="BZ116" s="279"/>
      <c r="CA116" s="279"/>
      <c r="CB116" s="279"/>
      <c r="CC116" s="279"/>
      <c r="CD116" s="279"/>
      <c r="CE116" s="279"/>
      <c r="CF116" s="279"/>
      <c r="CG116" s="279"/>
      <c r="CH116" s="279"/>
      <c r="CI116" s="279"/>
      <c r="CJ116" s="279"/>
      <c r="CK116" s="279"/>
      <c r="CL116" s="279"/>
      <c r="CM116" s="279"/>
      <c r="CN116" s="279"/>
      <c r="CO116" s="279"/>
      <c r="CP116" s="279"/>
      <c r="CQ116" s="279"/>
      <c r="CR116" s="279"/>
      <c r="CS116" s="279"/>
      <c r="CT116" s="279"/>
      <c r="CU116" s="279"/>
      <c r="CV116" s="279"/>
      <c r="CW116" s="279"/>
      <c r="CX116" s="279"/>
      <c r="CY116" s="279"/>
      <c r="CZ116" s="279"/>
      <c r="DA116" s="279"/>
      <c r="DB116" s="279"/>
      <c r="DC116" s="279"/>
      <c r="DD116" s="279"/>
      <c r="DE116" s="279"/>
      <c r="DF116" s="279"/>
      <c r="DG116" s="279"/>
      <c r="DH116" s="279"/>
      <c r="DI116" s="279"/>
      <c r="DJ116" s="279"/>
      <c r="DK116" s="279"/>
      <c r="DL116" s="279"/>
      <c r="DM116" s="279"/>
      <c r="DN116" s="279"/>
      <c r="DO116" s="279"/>
      <c r="DP116" s="279"/>
      <c r="DQ116" s="279"/>
      <c r="DR116" s="279"/>
      <c r="DS116" s="279"/>
      <c r="DT116" s="279"/>
      <c r="DU116" s="279"/>
      <c r="DV116" s="279"/>
      <c r="DW116" s="279"/>
      <c r="DX116" s="279"/>
      <c r="DY116" s="279"/>
      <c r="DZ116" s="279"/>
      <c r="EA116" s="279"/>
    </row>
    <row r="117" spans="1:131" ht="12" customHeight="1" x14ac:dyDescent="0.15">
      <c r="A117" s="314">
        <v>21</v>
      </c>
      <c r="B117" s="313" t="s">
        <v>98</v>
      </c>
      <c r="C117" s="314" t="s">
        <v>40</v>
      </c>
      <c r="D117" s="314" t="s">
        <v>53</v>
      </c>
      <c r="E117" s="314" t="s">
        <v>42</v>
      </c>
      <c r="F117" s="314" t="s">
        <v>92</v>
      </c>
      <c r="G117" s="314" t="s">
        <v>99</v>
      </c>
      <c r="H117" s="315">
        <v>300</v>
      </c>
      <c r="I117" s="316">
        <v>17.585000000000001</v>
      </c>
      <c r="J117" s="316">
        <v>5.8999999999999997E-2</v>
      </c>
      <c r="K117" s="316">
        <v>0.27200000000000002</v>
      </c>
      <c r="L117" s="315">
        <v>8.9</v>
      </c>
      <c r="M117" s="317">
        <v>28</v>
      </c>
      <c r="N117" s="315">
        <v>29.8</v>
      </c>
      <c r="O117" s="316">
        <v>1.792</v>
      </c>
      <c r="P117" s="316">
        <v>0.06</v>
      </c>
      <c r="Q117" s="316">
        <v>0.27200000000000002</v>
      </c>
      <c r="R117" s="315">
        <v>4.3</v>
      </c>
      <c r="S117" s="317">
        <v>2649</v>
      </c>
      <c r="T117" s="315">
        <v>4</v>
      </c>
      <c r="U117" s="315">
        <v>12.4</v>
      </c>
      <c r="V117" s="317">
        <v>18</v>
      </c>
      <c r="W117" s="315">
        <v>16.600000000000001</v>
      </c>
      <c r="X117" s="316">
        <v>1.2230000000000001</v>
      </c>
      <c r="Y117" s="316">
        <v>7.3999999999999996E-2</v>
      </c>
      <c r="Z117" s="316">
        <v>0.19500000000000001</v>
      </c>
      <c r="AA117" s="315">
        <v>2.8</v>
      </c>
      <c r="AB117" s="317">
        <v>1384</v>
      </c>
      <c r="AC117" s="315">
        <v>0</v>
      </c>
      <c r="AD117" s="315">
        <v>4.0999999999999996</v>
      </c>
      <c r="AE117" s="317">
        <v>27</v>
      </c>
      <c r="AF117" s="315">
        <v>31.5</v>
      </c>
      <c r="AG117" s="316">
        <v>3.3980000000000001</v>
      </c>
      <c r="AH117" s="316">
        <v>0.108</v>
      </c>
      <c r="AI117" s="315">
        <v>0</v>
      </c>
      <c r="AJ117" s="317">
        <v>28</v>
      </c>
      <c r="AK117" s="315">
        <v>268.5</v>
      </c>
      <c r="AL117" s="316">
        <v>14.186999999999999</v>
      </c>
      <c r="AM117" s="316">
        <v>5.2999999999999999E-2</v>
      </c>
      <c r="AN117" s="315">
        <v>8.9</v>
      </c>
      <c r="AO117" s="318">
        <f>Table1[[#This Row],[Inside_._time]]/Table1[[#This Row],[Duration]]</f>
        <v>0.105</v>
      </c>
      <c r="AP117" s="318">
        <f>Table1[[#This Row],[Outside_._time]]/Table1[[#This Row],[Duration]]</f>
        <v>0.89500000000000002</v>
      </c>
      <c r="AQ117" s="318">
        <f>Table1[[#This Row],[Inside_._distance]]/Table1[[#This Row],[Distance]]</f>
        <v>0.19323286892237701</v>
      </c>
      <c r="AR117" s="318">
        <f>Table1[[#This Row],[Outside_._distance]]/Table1[[#This Row],[Distance]]</f>
        <v>0.80676713107762288</v>
      </c>
      <c r="AS117" s="317"/>
      <c r="AT117" s="319"/>
      <c r="AU117" s="319"/>
      <c r="AV117" s="320"/>
      <c r="AW117" s="319"/>
      <c r="AX117" s="319"/>
      <c r="AY117" s="314" t="s">
        <v>486</v>
      </c>
      <c r="AZ117" s="314" t="s">
        <v>476</v>
      </c>
      <c r="BA117" s="317" t="s">
        <v>475</v>
      </c>
      <c r="BB117" s="317">
        <v>68</v>
      </c>
      <c r="BC117" s="317">
        <v>2.2666666666666666</v>
      </c>
      <c r="BD117" s="317" t="s">
        <v>474</v>
      </c>
      <c r="BE117" s="340">
        <v>5</v>
      </c>
      <c r="BF117" s="317"/>
      <c r="BG117" s="279"/>
      <c r="BH117" s="279"/>
      <c r="BI117" s="279"/>
      <c r="BJ117" s="279"/>
      <c r="BK117" s="279"/>
      <c r="BL117" s="279"/>
      <c r="BM117" s="279"/>
      <c r="BN117" s="279"/>
      <c r="BO117" s="279"/>
      <c r="BP117" s="279"/>
      <c r="BQ117" s="279"/>
      <c r="BR117" s="279"/>
      <c r="BS117" s="279"/>
      <c r="BT117" s="279"/>
      <c r="BU117" s="279"/>
      <c r="BV117" s="279"/>
      <c r="BW117" s="279"/>
      <c r="BX117" s="279"/>
      <c r="BY117" s="279"/>
      <c r="BZ117" s="279"/>
      <c r="CA117" s="279"/>
      <c r="CB117" s="279"/>
      <c r="CC117" s="279"/>
      <c r="CD117" s="279"/>
      <c r="CE117" s="279"/>
      <c r="CF117" s="279"/>
      <c r="CG117" s="279"/>
      <c r="CH117" s="279"/>
      <c r="CI117" s="279"/>
      <c r="CJ117" s="279"/>
      <c r="CK117" s="279"/>
      <c r="CL117" s="279"/>
      <c r="CM117" s="279"/>
      <c r="CN117" s="279"/>
      <c r="CO117" s="279"/>
      <c r="CP117" s="279"/>
      <c r="CQ117" s="279"/>
      <c r="CR117" s="279"/>
      <c r="CS117" s="279"/>
      <c r="CT117" s="279"/>
      <c r="CU117" s="279"/>
      <c r="CV117" s="279"/>
      <c r="CW117" s="279"/>
      <c r="CX117" s="279"/>
      <c r="CY117" s="279"/>
      <c r="CZ117" s="279"/>
      <c r="DA117" s="279"/>
      <c r="DB117" s="279"/>
      <c r="DC117" s="279"/>
      <c r="DD117" s="279"/>
      <c r="DE117" s="279"/>
      <c r="DF117" s="279"/>
      <c r="DG117" s="279"/>
      <c r="DH117" s="279"/>
      <c r="DI117" s="279"/>
      <c r="DJ117" s="279"/>
      <c r="DK117" s="279"/>
      <c r="DL117" s="279"/>
      <c r="DM117" s="279"/>
      <c r="DN117" s="279"/>
      <c r="DO117" s="279"/>
      <c r="DP117" s="279"/>
      <c r="DQ117" s="279"/>
      <c r="DR117" s="279"/>
      <c r="DS117" s="279"/>
      <c r="DT117" s="279"/>
      <c r="DU117" s="279"/>
      <c r="DV117" s="279"/>
      <c r="DW117" s="279"/>
      <c r="DX117" s="279"/>
      <c r="DY117" s="279"/>
      <c r="DZ117" s="279"/>
      <c r="EA117" s="279"/>
    </row>
    <row r="118" spans="1:131" s="305" customFormat="1" ht="12" customHeight="1" x14ac:dyDescent="0.15">
      <c r="A118" s="323">
        <v>27</v>
      </c>
      <c r="B118" s="322" t="s">
        <v>100</v>
      </c>
      <c r="C118" s="323" t="s">
        <v>40</v>
      </c>
      <c r="D118" s="323" t="s">
        <v>41</v>
      </c>
      <c r="E118" s="323" t="s">
        <v>42</v>
      </c>
      <c r="F118" s="323" t="s">
        <v>101</v>
      </c>
      <c r="G118" s="323" t="s">
        <v>102</v>
      </c>
      <c r="H118" s="324">
        <v>300</v>
      </c>
      <c r="I118" s="325">
        <v>5.3440000000000003</v>
      </c>
      <c r="J118" s="325">
        <v>1.7999999999999999E-2</v>
      </c>
      <c r="K118" s="325">
        <v>0.19</v>
      </c>
      <c r="L118" s="324">
        <v>49.9</v>
      </c>
      <c r="M118" s="326">
        <v>9</v>
      </c>
      <c r="N118" s="324">
        <v>3.4</v>
      </c>
      <c r="O118" s="325">
        <v>0.123</v>
      </c>
      <c r="P118" s="325">
        <v>3.5999999999999997E-2</v>
      </c>
      <c r="Q118" s="325">
        <v>0.11700000000000001</v>
      </c>
      <c r="R118" s="324">
        <v>0</v>
      </c>
      <c r="S118" s="326">
        <v>139</v>
      </c>
      <c r="T118" s="324">
        <v>0</v>
      </c>
      <c r="U118" s="324">
        <v>2.8</v>
      </c>
      <c r="V118" s="326">
        <v>50</v>
      </c>
      <c r="W118" s="324">
        <v>95.1</v>
      </c>
      <c r="X118" s="325">
        <v>0.48399999999999999</v>
      </c>
      <c r="Y118" s="325">
        <v>5.0000000000000001E-3</v>
      </c>
      <c r="Z118" s="325">
        <v>0.184</v>
      </c>
      <c r="AA118" s="324">
        <v>52.6</v>
      </c>
      <c r="AB118" s="326">
        <v>5520</v>
      </c>
      <c r="AC118" s="324">
        <v>22.6</v>
      </c>
      <c r="AD118" s="324">
        <v>81.599999999999994</v>
      </c>
      <c r="AE118" s="326">
        <v>3</v>
      </c>
      <c r="AF118" s="324">
        <v>4.5</v>
      </c>
      <c r="AG118" s="325">
        <v>0.53500000000000003</v>
      </c>
      <c r="AH118" s="325">
        <v>0.12</v>
      </c>
      <c r="AI118" s="324">
        <v>0</v>
      </c>
      <c r="AJ118" s="326">
        <v>4</v>
      </c>
      <c r="AK118" s="324">
        <v>295.5</v>
      </c>
      <c r="AL118" s="325">
        <v>4.8079999999999998</v>
      </c>
      <c r="AM118" s="325">
        <v>1.6E-2</v>
      </c>
      <c r="AN118" s="324">
        <v>49.9</v>
      </c>
      <c r="AO118" s="327">
        <f>Table1[[#This Row],[Inside_._time]]/Table1[[#This Row],[Duration]]</f>
        <v>1.4999999999999999E-2</v>
      </c>
      <c r="AP118" s="327">
        <f>Table1[[#This Row],[Outside_._time]]/Table1[[#This Row],[Duration]]</f>
        <v>0.98499999999999999</v>
      </c>
      <c r="AQ118" s="327">
        <f>Table1[[#This Row],[Inside_._distance]]/Table1[[#This Row],[Distance]]</f>
        <v>0.1001122754491018</v>
      </c>
      <c r="AR118" s="327">
        <f>Table1[[#This Row],[Outside_._distance]]/Table1[[#This Row],[Distance]]</f>
        <v>0.89970059880239517</v>
      </c>
      <c r="AS118" s="317"/>
      <c r="AT118" s="326"/>
      <c r="AU118" s="326"/>
      <c r="AV118" s="324"/>
      <c r="AW118" s="326"/>
      <c r="AX118" s="326"/>
      <c r="AY118" s="323" t="s">
        <v>486</v>
      </c>
      <c r="AZ118" s="323" t="s">
        <v>476</v>
      </c>
      <c r="BA118" s="323" t="s">
        <v>473</v>
      </c>
      <c r="BB118" s="323">
        <v>73</v>
      </c>
      <c r="BC118" s="324">
        <v>2.4333333333333331</v>
      </c>
      <c r="BD118" s="326"/>
      <c r="BE118" s="341"/>
      <c r="BF118" s="326"/>
      <c r="BG118" s="290"/>
      <c r="BH118" s="290"/>
      <c r="BI118" s="290"/>
      <c r="BJ118" s="290"/>
      <c r="BK118" s="290"/>
      <c r="BL118" s="290"/>
      <c r="BM118" s="290"/>
      <c r="BN118" s="290"/>
      <c r="BO118" s="290"/>
      <c r="BP118" s="290"/>
      <c r="BQ118" s="290"/>
      <c r="BR118" s="290"/>
      <c r="BS118" s="290"/>
      <c r="BT118" s="290"/>
      <c r="BU118" s="290"/>
      <c r="BV118" s="290"/>
      <c r="BW118" s="290"/>
      <c r="BX118" s="290"/>
      <c r="BY118" s="290"/>
      <c r="BZ118" s="290"/>
      <c r="CA118" s="290"/>
      <c r="CB118" s="290"/>
      <c r="CC118" s="290"/>
      <c r="CD118" s="290"/>
      <c r="CE118" s="290"/>
      <c r="CF118" s="290"/>
      <c r="CG118" s="290"/>
      <c r="CH118" s="290"/>
      <c r="CI118" s="290"/>
      <c r="CJ118" s="290"/>
      <c r="CK118" s="290"/>
      <c r="CL118" s="290"/>
      <c r="CM118" s="290"/>
      <c r="CN118" s="290"/>
      <c r="CO118" s="290"/>
      <c r="CP118" s="290"/>
      <c r="CQ118" s="290"/>
      <c r="CR118" s="290"/>
      <c r="CS118" s="290"/>
      <c r="CT118" s="290"/>
      <c r="CU118" s="290"/>
      <c r="CV118" s="290"/>
      <c r="CW118" s="290"/>
      <c r="CX118" s="290"/>
      <c r="CY118" s="290"/>
      <c r="CZ118" s="290"/>
      <c r="DA118" s="290"/>
      <c r="DB118" s="290"/>
      <c r="DC118" s="290"/>
      <c r="DD118" s="290"/>
      <c r="DE118" s="290"/>
      <c r="DF118" s="290"/>
      <c r="DG118" s="290"/>
      <c r="DH118" s="290"/>
      <c r="DI118" s="290"/>
      <c r="DJ118" s="290"/>
      <c r="DK118" s="290"/>
      <c r="DL118" s="290"/>
      <c r="DM118" s="290"/>
      <c r="DN118" s="290"/>
      <c r="DO118" s="290"/>
      <c r="DP118" s="290"/>
      <c r="DQ118" s="290"/>
      <c r="DR118" s="290"/>
      <c r="DS118" s="290"/>
      <c r="DT118" s="290"/>
      <c r="DU118" s="290"/>
      <c r="DV118" s="290"/>
      <c r="DW118" s="290"/>
      <c r="DX118" s="290"/>
      <c r="DY118" s="290"/>
      <c r="DZ118" s="290"/>
      <c r="EA118" s="290"/>
    </row>
    <row r="119" spans="1:131" ht="12" customHeight="1" x14ac:dyDescent="0.15">
      <c r="A119" s="314">
        <v>26</v>
      </c>
      <c r="B119" s="313" t="s">
        <v>103</v>
      </c>
      <c r="C119" s="314" t="s">
        <v>40</v>
      </c>
      <c r="D119" s="314" t="s">
        <v>46</v>
      </c>
      <c r="E119" s="314" t="s">
        <v>42</v>
      </c>
      <c r="F119" s="314" t="s">
        <v>101</v>
      </c>
      <c r="G119" s="314" t="s">
        <v>104</v>
      </c>
      <c r="H119" s="315">
        <v>300</v>
      </c>
      <c r="I119" s="316">
        <v>17.007000000000001</v>
      </c>
      <c r="J119" s="316">
        <v>5.7000000000000002E-2</v>
      </c>
      <c r="K119" s="316">
        <v>1.105</v>
      </c>
      <c r="L119" s="315">
        <v>23.1</v>
      </c>
      <c r="M119" s="317">
        <v>18</v>
      </c>
      <c r="N119" s="315">
        <v>6.7</v>
      </c>
      <c r="O119" s="316">
        <v>0.95099999999999996</v>
      </c>
      <c r="P119" s="316">
        <v>0.14299999999999999</v>
      </c>
      <c r="Q119" s="316">
        <v>0.32600000000000001</v>
      </c>
      <c r="R119" s="315">
        <v>1.5</v>
      </c>
      <c r="S119" s="317">
        <v>1263</v>
      </c>
      <c r="T119" s="315">
        <v>0</v>
      </c>
      <c r="U119" s="315">
        <v>2.2999999999999998</v>
      </c>
      <c r="V119" s="317">
        <v>31</v>
      </c>
      <c r="W119" s="315">
        <v>56.4</v>
      </c>
      <c r="X119" s="316">
        <v>1.708</v>
      </c>
      <c r="Y119" s="316">
        <v>0.03</v>
      </c>
      <c r="Z119" s="316">
        <v>0.315</v>
      </c>
      <c r="AA119" s="315">
        <v>3.1</v>
      </c>
      <c r="AB119" s="317">
        <v>5122</v>
      </c>
      <c r="AC119" s="315">
        <v>20.100000000000001</v>
      </c>
      <c r="AD119" s="315">
        <v>5.3</v>
      </c>
      <c r="AE119" s="317">
        <v>21</v>
      </c>
      <c r="AF119" s="315">
        <v>32.799999999999997</v>
      </c>
      <c r="AG119" s="316">
        <v>3.0619999999999998</v>
      </c>
      <c r="AH119" s="316">
        <v>9.2999999999999999E-2</v>
      </c>
      <c r="AI119" s="315">
        <v>1.9</v>
      </c>
      <c r="AJ119" s="317">
        <v>22</v>
      </c>
      <c r="AK119" s="315">
        <v>267.2</v>
      </c>
      <c r="AL119" s="316">
        <v>13.945</v>
      </c>
      <c r="AM119" s="316">
        <v>5.1999999999999998E-2</v>
      </c>
      <c r="AN119" s="315">
        <v>21.2</v>
      </c>
      <c r="AO119" s="318">
        <f>Table1[[#This Row],[Inside_._time]]/Table1[[#This Row],[Duration]]</f>
        <v>0.10933333333333332</v>
      </c>
      <c r="AP119" s="318">
        <f>Table1[[#This Row],[Outside_._time]]/Table1[[#This Row],[Duration]]</f>
        <v>0.89066666666666661</v>
      </c>
      <c r="AQ119" s="318">
        <f>Table1[[#This Row],[Inside_._distance]]/Table1[[#This Row],[Distance]]</f>
        <v>0.18004351149526662</v>
      </c>
      <c r="AR119" s="318">
        <f>Table1[[#This Row],[Outside_._distance]]/Table1[[#This Row],[Distance]]</f>
        <v>0.81995648850473324</v>
      </c>
      <c r="AS119" s="317"/>
      <c r="AT119" s="319"/>
      <c r="AU119" s="319"/>
      <c r="AV119" s="320"/>
      <c r="AW119" s="319"/>
      <c r="AX119" s="319"/>
      <c r="AY119" s="314" t="s">
        <v>486</v>
      </c>
      <c r="AZ119" s="314" t="s">
        <v>476</v>
      </c>
      <c r="BA119" s="317" t="s">
        <v>475</v>
      </c>
      <c r="BB119" s="317">
        <v>68</v>
      </c>
      <c r="BC119" s="317">
        <v>2.2666666666666666</v>
      </c>
      <c r="BD119" s="317" t="s">
        <v>477</v>
      </c>
      <c r="BE119" s="340">
        <v>6</v>
      </c>
      <c r="BF119" s="317"/>
      <c r="BG119" s="279"/>
      <c r="BH119" s="279"/>
      <c r="BI119" s="279"/>
      <c r="BJ119" s="279"/>
      <c r="BK119" s="279"/>
      <c r="BL119" s="279"/>
      <c r="BM119" s="279"/>
      <c r="BN119" s="279"/>
      <c r="BO119" s="279"/>
      <c r="BP119" s="279"/>
      <c r="BQ119" s="279"/>
      <c r="BR119" s="279"/>
      <c r="BS119" s="279"/>
      <c r="BT119" s="279"/>
      <c r="BU119" s="279"/>
      <c r="BV119" s="279"/>
      <c r="BW119" s="279"/>
      <c r="BX119" s="279"/>
      <c r="BY119" s="279"/>
      <c r="BZ119" s="279"/>
      <c r="CA119" s="279"/>
      <c r="CB119" s="279"/>
      <c r="CC119" s="279"/>
      <c r="CD119" s="279"/>
      <c r="CE119" s="279"/>
      <c r="CF119" s="279"/>
      <c r="CG119" s="279"/>
      <c r="CH119" s="279"/>
      <c r="CI119" s="279"/>
      <c r="CJ119" s="279"/>
      <c r="CK119" s="279"/>
      <c r="CL119" s="279"/>
      <c r="CM119" s="279"/>
      <c r="CN119" s="279"/>
      <c r="CO119" s="279"/>
      <c r="CP119" s="279"/>
      <c r="CQ119" s="279"/>
      <c r="CR119" s="279"/>
      <c r="CS119" s="279"/>
      <c r="CT119" s="279"/>
      <c r="CU119" s="279"/>
      <c r="CV119" s="279"/>
      <c r="CW119" s="279"/>
      <c r="CX119" s="279"/>
      <c r="CY119" s="279"/>
      <c r="CZ119" s="279"/>
      <c r="DA119" s="279"/>
      <c r="DB119" s="279"/>
      <c r="DC119" s="279"/>
      <c r="DD119" s="279"/>
      <c r="DE119" s="279"/>
      <c r="DF119" s="279"/>
      <c r="DG119" s="279"/>
      <c r="DH119" s="279"/>
      <c r="DI119" s="279"/>
      <c r="DJ119" s="279"/>
      <c r="DK119" s="279"/>
      <c r="DL119" s="279"/>
      <c r="DM119" s="279"/>
      <c r="DN119" s="279"/>
      <c r="DO119" s="279"/>
      <c r="DP119" s="279"/>
      <c r="DQ119" s="279"/>
      <c r="DR119" s="279"/>
      <c r="DS119" s="279"/>
      <c r="DT119" s="279"/>
      <c r="DU119" s="279"/>
      <c r="DV119" s="279"/>
      <c r="DW119" s="279"/>
      <c r="DX119" s="279"/>
      <c r="DY119" s="279"/>
      <c r="DZ119" s="279"/>
      <c r="EA119" s="279"/>
    </row>
    <row r="120" spans="1:131" ht="12" customHeight="1" x14ac:dyDescent="0.15">
      <c r="A120" s="314">
        <v>28</v>
      </c>
      <c r="B120" s="313" t="s">
        <v>105</v>
      </c>
      <c r="C120" s="314" t="s">
        <v>40</v>
      </c>
      <c r="D120" s="314" t="s">
        <v>49</v>
      </c>
      <c r="E120" s="314" t="s">
        <v>42</v>
      </c>
      <c r="F120" s="314" t="s">
        <v>101</v>
      </c>
      <c r="G120" s="314" t="s">
        <v>106</v>
      </c>
      <c r="H120" s="315">
        <v>300</v>
      </c>
      <c r="I120" s="316">
        <v>13.608000000000001</v>
      </c>
      <c r="J120" s="316">
        <v>4.4999999999999998E-2</v>
      </c>
      <c r="K120" s="316">
        <v>0.24099999999999999</v>
      </c>
      <c r="L120" s="315">
        <v>10.3</v>
      </c>
      <c r="M120" s="317">
        <v>35</v>
      </c>
      <c r="N120" s="315">
        <v>43.6</v>
      </c>
      <c r="O120" s="316">
        <v>1.1619999999999999</v>
      </c>
      <c r="P120" s="316">
        <v>2.7E-2</v>
      </c>
      <c r="Q120" s="316">
        <v>0.20899999999999999</v>
      </c>
      <c r="R120" s="315">
        <v>16.5</v>
      </c>
      <c r="S120" s="317">
        <v>3227</v>
      </c>
      <c r="T120" s="315">
        <v>1.6</v>
      </c>
      <c r="U120" s="315">
        <v>8.9</v>
      </c>
      <c r="V120" s="317">
        <v>15</v>
      </c>
      <c r="W120" s="315">
        <v>20</v>
      </c>
      <c r="X120" s="316">
        <v>0.81499999999999995</v>
      </c>
      <c r="Y120" s="316">
        <v>4.1000000000000002E-2</v>
      </c>
      <c r="Z120" s="316">
        <v>0.18</v>
      </c>
      <c r="AA120" s="315">
        <v>8.3000000000000007</v>
      </c>
      <c r="AB120" s="317">
        <v>1784</v>
      </c>
      <c r="AC120" s="315">
        <v>1.7</v>
      </c>
      <c r="AD120" s="315">
        <v>12.5</v>
      </c>
      <c r="AE120" s="317">
        <v>19</v>
      </c>
      <c r="AF120" s="315">
        <v>38.200000000000003</v>
      </c>
      <c r="AG120" s="316">
        <v>3.2330000000000001</v>
      </c>
      <c r="AH120" s="316">
        <v>8.5000000000000006E-2</v>
      </c>
      <c r="AI120" s="315">
        <v>0</v>
      </c>
      <c r="AJ120" s="317">
        <v>20</v>
      </c>
      <c r="AK120" s="315">
        <v>261.8</v>
      </c>
      <c r="AL120" s="316">
        <v>10.374000000000001</v>
      </c>
      <c r="AM120" s="316">
        <v>0.04</v>
      </c>
      <c r="AN120" s="315">
        <v>10.3</v>
      </c>
      <c r="AO120" s="318">
        <f>Table1[[#This Row],[Inside_._time]]/Table1[[#This Row],[Duration]]</f>
        <v>0.12733333333333335</v>
      </c>
      <c r="AP120" s="318">
        <f>Table1[[#This Row],[Outside_._time]]/Table1[[#This Row],[Duration]]</f>
        <v>0.8726666666666667</v>
      </c>
      <c r="AQ120" s="318">
        <f>Table1[[#This Row],[Inside_._distance]]/Table1[[#This Row],[Distance]]</f>
        <v>0.23758083480305703</v>
      </c>
      <c r="AR120" s="318">
        <f>Table1[[#This Row],[Outside_._distance]]/Table1[[#This Row],[Distance]]</f>
        <v>0.76234567901234573</v>
      </c>
      <c r="AS120" s="317"/>
      <c r="AT120" s="319"/>
      <c r="AU120" s="319"/>
      <c r="AV120" s="320"/>
      <c r="AW120" s="319"/>
      <c r="AX120" s="319"/>
      <c r="AY120" s="314" t="s">
        <v>486</v>
      </c>
      <c r="AZ120" s="314" t="s">
        <v>476</v>
      </c>
      <c r="BA120" s="317" t="s">
        <v>473</v>
      </c>
      <c r="BB120" s="317">
        <v>68</v>
      </c>
      <c r="BC120" s="317">
        <v>2.2666666666666666</v>
      </c>
      <c r="BD120" s="317" t="s">
        <v>477</v>
      </c>
      <c r="BE120" s="340">
        <v>8</v>
      </c>
      <c r="BF120" s="317"/>
      <c r="BG120" s="279"/>
      <c r="BH120" s="279"/>
      <c r="BI120" s="279"/>
      <c r="BJ120" s="279"/>
      <c r="BK120" s="279"/>
      <c r="BL120" s="279"/>
      <c r="BM120" s="279"/>
      <c r="BN120" s="279"/>
      <c r="BO120" s="279"/>
      <c r="BP120" s="279"/>
      <c r="BQ120" s="279"/>
      <c r="BR120" s="279"/>
      <c r="BS120" s="279"/>
      <c r="BT120" s="279"/>
      <c r="BU120" s="279"/>
      <c r="BV120" s="279"/>
      <c r="BW120" s="279"/>
      <c r="BX120" s="279"/>
      <c r="BY120" s="279"/>
      <c r="BZ120" s="279"/>
      <c r="CA120" s="279"/>
      <c r="CB120" s="279"/>
      <c r="CC120" s="279"/>
      <c r="CD120" s="279"/>
      <c r="CE120" s="279"/>
      <c r="CF120" s="279"/>
      <c r="CG120" s="279"/>
      <c r="CH120" s="279"/>
      <c r="CI120" s="279"/>
      <c r="CJ120" s="279"/>
      <c r="CK120" s="279"/>
      <c r="CL120" s="279"/>
      <c r="CM120" s="279"/>
      <c r="CN120" s="279"/>
      <c r="CO120" s="279"/>
      <c r="CP120" s="279"/>
      <c r="CQ120" s="279"/>
      <c r="CR120" s="279"/>
      <c r="CS120" s="279"/>
      <c r="CT120" s="279"/>
      <c r="CU120" s="279"/>
      <c r="CV120" s="279"/>
      <c r="CW120" s="279"/>
      <c r="CX120" s="279"/>
      <c r="CY120" s="279"/>
      <c r="CZ120" s="279"/>
      <c r="DA120" s="279"/>
      <c r="DB120" s="279"/>
      <c r="DC120" s="279"/>
      <c r="DD120" s="279"/>
      <c r="DE120" s="279"/>
      <c r="DF120" s="279"/>
      <c r="DG120" s="279"/>
      <c r="DH120" s="279"/>
      <c r="DI120" s="279"/>
      <c r="DJ120" s="279"/>
      <c r="DK120" s="279"/>
      <c r="DL120" s="279"/>
      <c r="DM120" s="279"/>
      <c r="DN120" s="279"/>
      <c r="DO120" s="279"/>
      <c r="DP120" s="279"/>
      <c r="DQ120" s="279"/>
      <c r="DR120" s="279"/>
      <c r="DS120" s="279"/>
      <c r="DT120" s="279"/>
      <c r="DU120" s="279"/>
      <c r="DV120" s="279"/>
      <c r="DW120" s="279"/>
      <c r="DX120" s="279"/>
      <c r="DY120" s="279"/>
      <c r="DZ120" s="279"/>
      <c r="EA120" s="279"/>
    </row>
    <row r="121" spans="1:131" ht="12" customHeight="1" x14ac:dyDescent="0.15">
      <c r="A121" s="314">
        <v>25</v>
      </c>
      <c r="B121" s="313" t="s">
        <v>107</v>
      </c>
      <c r="C121" s="314" t="s">
        <v>40</v>
      </c>
      <c r="D121" s="314" t="s">
        <v>53</v>
      </c>
      <c r="E121" s="314" t="s">
        <v>42</v>
      </c>
      <c r="F121" s="314" t="s">
        <v>101</v>
      </c>
      <c r="G121" s="314" t="s">
        <v>108</v>
      </c>
      <c r="H121" s="315">
        <v>300</v>
      </c>
      <c r="I121" s="316">
        <v>13.036</v>
      </c>
      <c r="J121" s="316">
        <v>4.2999999999999997E-2</v>
      </c>
      <c r="K121" s="316">
        <v>1.0720000000000001</v>
      </c>
      <c r="L121" s="315">
        <v>18.7</v>
      </c>
      <c r="M121" s="317">
        <v>14</v>
      </c>
      <c r="N121" s="315">
        <v>19.7</v>
      </c>
      <c r="O121" s="316">
        <v>0.80600000000000005</v>
      </c>
      <c r="P121" s="316">
        <v>4.1000000000000002E-2</v>
      </c>
      <c r="Q121" s="316">
        <v>0.23</v>
      </c>
      <c r="R121" s="315">
        <v>7.6</v>
      </c>
      <c r="S121" s="317">
        <v>1529</v>
      </c>
      <c r="T121" s="315">
        <v>2.5</v>
      </c>
      <c r="U121" s="315">
        <v>6.8</v>
      </c>
      <c r="V121" s="317">
        <v>18</v>
      </c>
      <c r="W121" s="315">
        <v>10.6</v>
      </c>
      <c r="X121" s="316">
        <v>0.76800000000000002</v>
      </c>
      <c r="Y121" s="316">
        <v>7.1999999999999995E-2</v>
      </c>
      <c r="Z121" s="316">
        <v>0.24</v>
      </c>
      <c r="AA121" s="315">
        <v>2.4</v>
      </c>
      <c r="AB121" s="317">
        <v>1268</v>
      </c>
      <c r="AC121" s="315">
        <v>0</v>
      </c>
      <c r="AD121" s="315">
        <v>3.2</v>
      </c>
      <c r="AE121" s="317">
        <v>18</v>
      </c>
      <c r="AF121" s="315">
        <v>33.6</v>
      </c>
      <c r="AG121" s="316">
        <v>2.923</v>
      </c>
      <c r="AH121" s="316">
        <v>8.6999999999999994E-2</v>
      </c>
      <c r="AI121" s="315">
        <v>0</v>
      </c>
      <c r="AJ121" s="317">
        <v>18</v>
      </c>
      <c r="AK121" s="315">
        <v>266.39999999999998</v>
      </c>
      <c r="AL121" s="316">
        <v>10.113</v>
      </c>
      <c r="AM121" s="316">
        <v>3.7999999999999999E-2</v>
      </c>
      <c r="AN121" s="315">
        <v>18.7</v>
      </c>
      <c r="AO121" s="318">
        <f>Table1[[#This Row],[Inside_._time]]/Table1[[#This Row],[Duration]]</f>
        <v>0.112</v>
      </c>
      <c r="AP121" s="318">
        <f>Table1[[#This Row],[Outside_._time]]/Table1[[#This Row],[Duration]]</f>
        <v>0.8879999999999999</v>
      </c>
      <c r="AQ121" s="318">
        <f>Table1[[#This Row],[Inside_._distance]]/Table1[[#This Row],[Distance]]</f>
        <v>0.22422522246087759</v>
      </c>
      <c r="AR121" s="318">
        <f>Table1[[#This Row],[Outside_._distance]]/Table1[[#This Row],[Distance]]</f>
        <v>0.77577477753912238</v>
      </c>
      <c r="AS121" s="317"/>
      <c r="AT121" s="319"/>
      <c r="AU121" s="319"/>
      <c r="AV121" s="320"/>
      <c r="AW121" s="319"/>
      <c r="AX121" s="319"/>
      <c r="AY121" s="314" t="s">
        <v>486</v>
      </c>
      <c r="AZ121" s="314" t="s">
        <v>476</v>
      </c>
      <c r="BA121" s="317" t="s">
        <v>475</v>
      </c>
      <c r="BB121" s="317">
        <v>68</v>
      </c>
      <c r="BC121" s="317">
        <v>2.2666666666666666</v>
      </c>
      <c r="BD121" s="317" t="s">
        <v>474</v>
      </c>
      <c r="BE121" s="340">
        <v>5</v>
      </c>
      <c r="BF121" s="317" t="s">
        <v>464</v>
      </c>
      <c r="BG121" s="279"/>
      <c r="BH121" s="279"/>
      <c r="BI121" s="279"/>
      <c r="BJ121" s="279"/>
      <c r="BK121" s="279"/>
      <c r="BL121" s="279"/>
      <c r="BM121" s="279"/>
      <c r="BN121" s="279"/>
      <c r="BO121" s="279"/>
      <c r="BP121" s="279"/>
      <c r="BQ121" s="279"/>
      <c r="BR121" s="279"/>
      <c r="BS121" s="279"/>
      <c r="BT121" s="279"/>
      <c r="BU121" s="279"/>
      <c r="BV121" s="279"/>
      <c r="BW121" s="279"/>
      <c r="BX121" s="279"/>
      <c r="BY121" s="279"/>
      <c r="BZ121" s="279"/>
      <c r="CA121" s="279"/>
      <c r="CB121" s="279"/>
      <c r="CC121" s="279"/>
      <c r="CD121" s="279"/>
      <c r="CE121" s="279"/>
      <c r="CF121" s="279"/>
      <c r="CG121" s="279"/>
      <c r="CH121" s="279"/>
      <c r="CI121" s="279"/>
      <c r="CJ121" s="279"/>
      <c r="CK121" s="279"/>
      <c r="CL121" s="279"/>
      <c r="CM121" s="279"/>
      <c r="CN121" s="279"/>
      <c r="CO121" s="279"/>
      <c r="CP121" s="279"/>
      <c r="CQ121" s="279"/>
      <c r="CR121" s="279"/>
      <c r="CS121" s="279"/>
      <c r="CT121" s="279"/>
      <c r="CU121" s="279"/>
      <c r="CV121" s="279"/>
      <c r="CW121" s="279"/>
      <c r="CX121" s="279"/>
      <c r="CY121" s="279"/>
      <c r="CZ121" s="279"/>
      <c r="DA121" s="279"/>
      <c r="DB121" s="279"/>
      <c r="DC121" s="279"/>
      <c r="DD121" s="279"/>
      <c r="DE121" s="279"/>
      <c r="DF121" s="279"/>
      <c r="DG121" s="279"/>
      <c r="DH121" s="279"/>
      <c r="DI121" s="279"/>
      <c r="DJ121" s="279"/>
      <c r="DK121" s="279"/>
      <c r="DL121" s="279"/>
      <c r="DM121" s="279"/>
      <c r="DN121" s="279"/>
      <c r="DO121" s="279"/>
      <c r="DP121" s="279"/>
      <c r="DQ121" s="279"/>
      <c r="DR121" s="279"/>
      <c r="DS121" s="279"/>
      <c r="DT121" s="279"/>
      <c r="DU121" s="279"/>
      <c r="DV121" s="279"/>
      <c r="DW121" s="279"/>
      <c r="DX121" s="279"/>
      <c r="DY121" s="279"/>
      <c r="DZ121" s="279"/>
      <c r="EA121" s="279"/>
    </row>
    <row r="122" spans="1:131" ht="12" customHeight="1" x14ac:dyDescent="0.15">
      <c r="A122" s="314">
        <v>29</v>
      </c>
      <c r="B122" s="313" t="s">
        <v>109</v>
      </c>
      <c r="C122" s="314" t="s">
        <v>40</v>
      </c>
      <c r="D122" s="314" t="s">
        <v>41</v>
      </c>
      <c r="E122" s="314" t="s">
        <v>42</v>
      </c>
      <c r="F122" s="314" t="s">
        <v>110</v>
      </c>
      <c r="G122" s="314" t="s">
        <v>111</v>
      </c>
      <c r="H122" s="315">
        <v>300</v>
      </c>
      <c r="I122" s="316">
        <v>10.342000000000001</v>
      </c>
      <c r="J122" s="316">
        <v>3.4000000000000002E-2</v>
      </c>
      <c r="K122" s="316">
        <v>0.22600000000000001</v>
      </c>
      <c r="L122" s="315">
        <v>27.9</v>
      </c>
      <c r="M122" s="317">
        <v>15</v>
      </c>
      <c r="N122" s="315">
        <v>26.4</v>
      </c>
      <c r="O122" s="316">
        <v>0.65400000000000003</v>
      </c>
      <c r="P122" s="316">
        <v>2.5000000000000001E-2</v>
      </c>
      <c r="Q122" s="316">
        <v>0.22600000000000001</v>
      </c>
      <c r="R122" s="315">
        <v>2</v>
      </c>
      <c r="S122" s="317">
        <v>1328</v>
      </c>
      <c r="T122" s="315">
        <v>5.9</v>
      </c>
      <c r="U122" s="315">
        <v>5.2</v>
      </c>
      <c r="V122" s="317">
        <v>17</v>
      </c>
      <c r="W122" s="315">
        <v>16.100000000000001</v>
      </c>
      <c r="X122" s="316">
        <v>0.86599999999999999</v>
      </c>
      <c r="Y122" s="316">
        <v>5.3999999999999999E-2</v>
      </c>
      <c r="Z122" s="316">
        <v>0.20799999999999999</v>
      </c>
      <c r="AA122" s="315">
        <v>5.5</v>
      </c>
      <c r="AB122" s="317">
        <v>1576</v>
      </c>
      <c r="AC122" s="315">
        <v>2.2999999999999998</v>
      </c>
      <c r="AD122" s="315">
        <v>6.5</v>
      </c>
      <c r="AE122" s="317">
        <v>18</v>
      </c>
      <c r="AF122" s="315">
        <v>22</v>
      </c>
      <c r="AG122" s="316">
        <v>1.89</v>
      </c>
      <c r="AH122" s="316">
        <v>8.5999999999999993E-2</v>
      </c>
      <c r="AI122" s="315">
        <v>0</v>
      </c>
      <c r="AJ122" s="317">
        <v>19</v>
      </c>
      <c r="AK122" s="315">
        <v>278</v>
      </c>
      <c r="AL122" s="316">
        <v>8.452</v>
      </c>
      <c r="AM122" s="316">
        <v>0.03</v>
      </c>
      <c r="AN122" s="315">
        <v>27.9</v>
      </c>
      <c r="AO122" s="318">
        <f>Table1[[#This Row],[Inside_._time]]/Table1[[#This Row],[Duration]]</f>
        <v>7.3333333333333334E-2</v>
      </c>
      <c r="AP122" s="318">
        <f>Table1[[#This Row],[Outside_._time]]/Table1[[#This Row],[Duration]]</f>
        <v>0.92666666666666664</v>
      </c>
      <c r="AQ122" s="318">
        <f>Table1[[#This Row],[Inside_._distance]]/Table1[[#This Row],[Distance]]</f>
        <v>0.18274995165345193</v>
      </c>
      <c r="AR122" s="318">
        <f>Table1[[#This Row],[Outside_._distance]]/Table1[[#This Row],[Distance]]</f>
        <v>0.81725004834654802</v>
      </c>
      <c r="AS122" s="317"/>
      <c r="AT122" s="319"/>
      <c r="AU122" s="319"/>
      <c r="AV122" s="320"/>
      <c r="AW122" s="319"/>
      <c r="AX122" s="319"/>
      <c r="AY122" s="314" t="s">
        <v>486</v>
      </c>
      <c r="AZ122" s="314" t="s">
        <v>476</v>
      </c>
      <c r="BA122" s="317" t="s">
        <v>473</v>
      </c>
      <c r="BB122" s="317">
        <v>68</v>
      </c>
      <c r="BC122" s="317">
        <v>2.2666666666666666</v>
      </c>
      <c r="BD122" s="317" t="s">
        <v>474</v>
      </c>
      <c r="BE122" s="340">
        <v>7</v>
      </c>
      <c r="BF122" s="317"/>
    </row>
    <row r="123" spans="1:131" ht="12" customHeight="1" x14ac:dyDescent="0.15">
      <c r="A123" s="314">
        <v>30</v>
      </c>
      <c r="B123" s="313" t="s">
        <v>112</v>
      </c>
      <c r="C123" s="314" t="s">
        <v>40</v>
      </c>
      <c r="D123" s="314" t="s">
        <v>46</v>
      </c>
      <c r="E123" s="314" t="s">
        <v>42</v>
      </c>
      <c r="F123" s="314" t="s">
        <v>110</v>
      </c>
      <c r="G123" s="314" t="s">
        <v>113</v>
      </c>
      <c r="H123" s="315">
        <v>300</v>
      </c>
      <c r="I123" s="316">
        <v>19.701000000000001</v>
      </c>
      <c r="J123" s="316">
        <v>6.6000000000000003E-2</v>
      </c>
      <c r="K123" s="316">
        <v>0.34100000000000003</v>
      </c>
      <c r="L123" s="315">
        <v>3.6</v>
      </c>
      <c r="M123" s="317">
        <v>28</v>
      </c>
      <c r="N123" s="315">
        <v>18.3</v>
      </c>
      <c r="O123" s="316">
        <v>1.772</v>
      </c>
      <c r="P123" s="316">
        <v>9.7000000000000003E-2</v>
      </c>
      <c r="Q123" s="316">
        <v>0.26400000000000001</v>
      </c>
      <c r="R123" s="315">
        <v>4.9000000000000004</v>
      </c>
      <c r="S123" s="317">
        <v>1592</v>
      </c>
      <c r="T123" s="315">
        <v>0.1</v>
      </c>
      <c r="U123" s="315">
        <v>6.8</v>
      </c>
      <c r="V123" s="317">
        <v>18</v>
      </c>
      <c r="W123" s="315">
        <v>10.6</v>
      </c>
      <c r="X123" s="316">
        <v>1.5840000000000001</v>
      </c>
      <c r="Y123" s="316">
        <v>0.15</v>
      </c>
      <c r="Z123" s="316">
        <v>0.26</v>
      </c>
      <c r="AA123" s="315">
        <v>1.3</v>
      </c>
      <c r="AB123" s="317">
        <v>983</v>
      </c>
      <c r="AC123" s="315">
        <v>0</v>
      </c>
      <c r="AD123" s="315">
        <v>3.7</v>
      </c>
      <c r="AE123" s="317">
        <v>31</v>
      </c>
      <c r="AF123" s="315">
        <v>45.3</v>
      </c>
      <c r="AG123" s="316">
        <v>4.6550000000000002</v>
      </c>
      <c r="AH123" s="316">
        <v>0.10299999999999999</v>
      </c>
      <c r="AI123" s="315">
        <v>0</v>
      </c>
      <c r="AJ123" s="317">
        <v>32</v>
      </c>
      <c r="AK123" s="315">
        <v>254.7</v>
      </c>
      <c r="AL123" s="316">
        <v>15.045999999999999</v>
      </c>
      <c r="AM123" s="316">
        <v>5.8999999999999997E-2</v>
      </c>
      <c r="AN123" s="315">
        <v>3.6</v>
      </c>
      <c r="AO123" s="318">
        <f>Table1[[#This Row],[Inside_._time]]/Table1[[#This Row],[Duration]]</f>
        <v>0.151</v>
      </c>
      <c r="AP123" s="318">
        <f>Table1[[#This Row],[Outside_._time]]/Table1[[#This Row],[Duration]]</f>
        <v>0.84899999999999998</v>
      </c>
      <c r="AQ123" s="318">
        <f>Table1[[#This Row],[Inside_._distance]]/Table1[[#This Row],[Distance]]</f>
        <v>0.23628242221207046</v>
      </c>
      <c r="AR123" s="318">
        <f>Table1[[#This Row],[Outside_._distance]]/Table1[[#This Row],[Distance]]</f>
        <v>0.76371757778792948</v>
      </c>
      <c r="AS123" s="317"/>
      <c r="AT123" s="319"/>
      <c r="AU123" s="319"/>
      <c r="AV123" s="320"/>
      <c r="AW123" s="319"/>
      <c r="AX123" s="319"/>
      <c r="AY123" s="314" t="s">
        <v>487</v>
      </c>
      <c r="AZ123" s="314" t="s">
        <v>476</v>
      </c>
      <c r="BA123" s="317" t="s">
        <v>475</v>
      </c>
      <c r="BB123" s="317">
        <v>68</v>
      </c>
      <c r="BC123" s="317">
        <v>2.2666666666666666</v>
      </c>
      <c r="BD123" s="317" t="s">
        <v>477</v>
      </c>
      <c r="BE123" s="340">
        <v>6</v>
      </c>
      <c r="BF123" s="317"/>
    </row>
    <row r="124" spans="1:131" ht="12" customHeight="1" x14ac:dyDescent="0.15">
      <c r="A124" s="314">
        <v>31</v>
      </c>
      <c r="B124" s="313" t="s">
        <v>114</v>
      </c>
      <c r="C124" s="314" t="s">
        <v>40</v>
      </c>
      <c r="D124" s="314" t="s">
        <v>49</v>
      </c>
      <c r="E124" s="314" t="s">
        <v>42</v>
      </c>
      <c r="F124" s="314" t="s">
        <v>110</v>
      </c>
      <c r="G124" s="314" t="s">
        <v>115</v>
      </c>
      <c r="H124" s="315">
        <v>300</v>
      </c>
      <c r="I124" s="316">
        <v>16.535</v>
      </c>
      <c r="J124" s="316">
        <v>5.5E-2</v>
      </c>
      <c r="K124" s="316">
        <v>0.28199999999999997</v>
      </c>
      <c r="L124" s="315">
        <v>4.5999999999999996</v>
      </c>
      <c r="M124" s="317">
        <v>21</v>
      </c>
      <c r="N124" s="315">
        <v>10.9</v>
      </c>
      <c r="O124" s="316">
        <v>1.306</v>
      </c>
      <c r="P124" s="316">
        <v>0.12</v>
      </c>
      <c r="Q124" s="316">
        <v>0.223</v>
      </c>
      <c r="R124" s="315">
        <v>2</v>
      </c>
      <c r="S124" s="317">
        <v>1189</v>
      </c>
      <c r="T124" s="315">
        <v>0</v>
      </c>
      <c r="U124" s="315">
        <v>2.7</v>
      </c>
      <c r="V124" s="317">
        <v>44</v>
      </c>
      <c r="W124" s="315">
        <v>56.4</v>
      </c>
      <c r="X124" s="316">
        <v>2.129</v>
      </c>
      <c r="Y124" s="316">
        <v>3.7999999999999999E-2</v>
      </c>
      <c r="Z124" s="316">
        <v>0.20899999999999999</v>
      </c>
      <c r="AA124" s="315">
        <v>7.5</v>
      </c>
      <c r="AB124" s="317">
        <v>2910</v>
      </c>
      <c r="AC124" s="315">
        <v>1.5</v>
      </c>
      <c r="AD124" s="315">
        <v>24.3</v>
      </c>
      <c r="AE124" s="317">
        <v>20</v>
      </c>
      <c r="AF124" s="315">
        <v>40.700000000000003</v>
      </c>
      <c r="AG124" s="316">
        <v>2.95</v>
      </c>
      <c r="AH124" s="316">
        <v>7.2999999999999995E-2</v>
      </c>
      <c r="AI124" s="315">
        <v>1.4</v>
      </c>
      <c r="AJ124" s="317">
        <v>21</v>
      </c>
      <c r="AK124" s="315">
        <v>259.3</v>
      </c>
      <c r="AL124" s="316">
        <v>13.585000000000001</v>
      </c>
      <c r="AM124" s="316">
        <v>5.1999999999999998E-2</v>
      </c>
      <c r="AN124" s="315">
        <v>3.2</v>
      </c>
      <c r="AO124" s="318">
        <f>Table1[[#This Row],[Inside_._time]]/Table1[[#This Row],[Duration]]</f>
        <v>0.13566666666666669</v>
      </c>
      <c r="AP124" s="318">
        <f>Table1[[#This Row],[Outside_._time]]/Table1[[#This Row],[Duration]]</f>
        <v>0.8643333333333334</v>
      </c>
      <c r="AQ124" s="318">
        <f>Table1[[#This Row],[Inside_._distance]]/Table1[[#This Row],[Distance]]</f>
        <v>0.17840943453280919</v>
      </c>
      <c r="AR124" s="318">
        <f>Table1[[#This Row],[Outside_._distance]]/Table1[[#This Row],[Distance]]</f>
        <v>0.82159056546719089</v>
      </c>
      <c r="AS124" s="317"/>
      <c r="AT124" s="319"/>
      <c r="AU124" s="319"/>
      <c r="AV124" s="320"/>
      <c r="AW124" s="319"/>
      <c r="AX124" s="319"/>
      <c r="AY124" s="314" t="s">
        <v>487</v>
      </c>
      <c r="AZ124" s="314" t="s">
        <v>476</v>
      </c>
      <c r="BA124" s="317" t="s">
        <v>473</v>
      </c>
      <c r="BB124" s="317">
        <v>68</v>
      </c>
      <c r="BC124" s="317">
        <v>2.2666666666666666</v>
      </c>
      <c r="BD124" s="317" t="s">
        <v>477</v>
      </c>
      <c r="BE124" s="317">
        <v>8</v>
      </c>
      <c r="BF124" s="317"/>
    </row>
    <row r="125" spans="1:131" ht="12" customHeight="1" x14ac:dyDescent="0.15">
      <c r="A125" s="314">
        <v>32</v>
      </c>
      <c r="B125" s="313" t="s">
        <v>116</v>
      </c>
      <c r="C125" s="314" t="s">
        <v>40</v>
      </c>
      <c r="D125" s="314" t="s">
        <v>53</v>
      </c>
      <c r="E125" s="314" t="s">
        <v>42</v>
      </c>
      <c r="F125" s="314" t="s">
        <v>110</v>
      </c>
      <c r="G125" s="314" t="s">
        <v>117</v>
      </c>
      <c r="H125" s="315">
        <v>300</v>
      </c>
      <c r="I125" s="316">
        <v>14.103</v>
      </c>
      <c r="J125" s="316">
        <v>4.7E-2</v>
      </c>
      <c r="K125" s="316">
        <v>0.24</v>
      </c>
      <c r="L125" s="315">
        <v>30.5</v>
      </c>
      <c r="M125" s="317">
        <v>27</v>
      </c>
      <c r="N125" s="315">
        <v>56.8</v>
      </c>
      <c r="O125" s="316">
        <v>2.0099999999999998</v>
      </c>
      <c r="P125" s="316">
        <v>3.5000000000000003E-2</v>
      </c>
      <c r="Q125" s="316">
        <v>0.23</v>
      </c>
      <c r="R125" s="315">
        <v>14.5</v>
      </c>
      <c r="S125" s="317">
        <v>3888</v>
      </c>
      <c r="T125" s="315">
        <v>17.899999999999999</v>
      </c>
      <c r="U125" s="315">
        <v>10</v>
      </c>
      <c r="V125" s="317">
        <v>14</v>
      </c>
      <c r="W125" s="315">
        <v>11.9</v>
      </c>
      <c r="X125" s="316">
        <v>0.96299999999999997</v>
      </c>
      <c r="Y125" s="316">
        <v>8.1000000000000003E-2</v>
      </c>
      <c r="Z125" s="316">
        <v>0.24</v>
      </c>
      <c r="AA125" s="315">
        <v>3.5</v>
      </c>
      <c r="AB125" s="317">
        <v>1222</v>
      </c>
      <c r="AC125" s="315">
        <v>1.1000000000000001</v>
      </c>
      <c r="AD125" s="315">
        <v>2</v>
      </c>
      <c r="AE125" s="317">
        <v>39</v>
      </c>
      <c r="AF125" s="315">
        <v>55.1</v>
      </c>
      <c r="AG125" s="316">
        <v>3.4860000000000002</v>
      </c>
      <c r="AH125" s="316">
        <v>6.3E-2</v>
      </c>
      <c r="AI125" s="315">
        <v>4.5999999999999996</v>
      </c>
      <c r="AJ125" s="317">
        <v>39</v>
      </c>
      <c r="AK125" s="315">
        <v>244.9</v>
      </c>
      <c r="AL125" s="316">
        <v>10.617000000000001</v>
      </c>
      <c r="AM125" s="316">
        <v>4.2999999999999997E-2</v>
      </c>
      <c r="AN125" s="315">
        <v>25.9</v>
      </c>
      <c r="AO125" s="318">
        <f>Table1[[#This Row],[Inside_._time]]/Table1[[#This Row],[Duration]]</f>
        <v>0.18366666666666667</v>
      </c>
      <c r="AP125" s="318">
        <f>Table1[[#This Row],[Outside_._time]]/Table1[[#This Row],[Duration]]</f>
        <v>0.81633333333333336</v>
      </c>
      <c r="AQ125" s="318">
        <f>Table1[[#This Row],[Inside_._distance]]/Table1[[#This Row],[Distance]]</f>
        <v>0.24718145075515849</v>
      </c>
      <c r="AR125" s="318">
        <f>Table1[[#This Row],[Outside_._distance]]/Table1[[#This Row],[Distance]]</f>
        <v>0.75281854924484159</v>
      </c>
      <c r="AS125" s="317"/>
      <c r="AT125" s="319"/>
      <c r="AU125" s="319"/>
      <c r="AV125" s="320"/>
      <c r="AW125" s="319"/>
      <c r="AX125" s="319"/>
      <c r="AY125" s="314" t="s">
        <v>487</v>
      </c>
      <c r="AZ125" s="314" t="s">
        <v>476</v>
      </c>
      <c r="BA125" s="317" t="s">
        <v>473</v>
      </c>
      <c r="BB125" s="317">
        <v>68</v>
      </c>
      <c r="BC125" s="317">
        <v>2.2666666666666666</v>
      </c>
      <c r="BD125" s="317" t="s">
        <v>474</v>
      </c>
      <c r="BE125" s="317">
        <v>7</v>
      </c>
      <c r="BF125" s="317"/>
    </row>
    <row r="126" spans="1:131" ht="12" customHeight="1" x14ac:dyDescent="0.15">
      <c r="A126" s="314">
        <v>36</v>
      </c>
      <c r="B126" s="313" t="s">
        <v>118</v>
      </c>
      <c r="C126" s="314" t="s">
        <v>40</v>
      </c>
      <c r="D126" s="314" t="s">
        <v>41</v>
      </c>
      <c r="E126" s="314" t="s">
        <v>42</v>
      </c>
      <c r="F126" s="314" t="s">
        <v>119</v>
      </c>
      <c r="G126" s="314" t="s">
        <v>120</v>
      </c>
      <c r="H126" s="315">
        <v>300</v>
      </c>
      <c r="I126" s="316">
        <v>12.683</v>
      </c>
      <c r="J126" s="316">
        <v>4.2000000000000003E-2</v>
      </c>
      <c r="K126" s="316">
        <v>0.27700000000000002</v>
      </c>
      <c r="L126" s="315">
        <v>17.899999999999999</v>
      </c>
      <c r="M126" s="317">
        <v>15</v>
      </c>
      <c r="N126" s="315">
        <v>20.5</v>
      </c>
      <c r="O126" s="316">
        <v>0.61899999999999999</v>
      </c>
      <c r="P126" s="316">
        <v>0.03</v>
      </c>
      <c r="Q126" s="316">
        <v>0.23100000000000001</v>
      </c>
      <c r="R126" s="315">
        <v>4.8</v>
      </c>
      <c r="S126" s="317">
        <v>1726</v>
      </c>
      <c r="T126" s="315">
        <v>0</v>
      </c>
      <c r="U126" s="315">
        <v>4.3</v>
      </c>
      <c r="V126" s="317">
        <v>18</v>
      </c>
      <c r="W126" s="315">
        <v>11.7</v>
      </c>
      <c r="X126" s="316">
        <v>0.85599999999999998</v>
      </c>
      <c r="Y126" s="316">
        <v>7.2999999999999995E-2</v>
      </c>
      <c r="Z126" s="316">
        <v>0.20899999999999999</v>
      </c>
      <c r="AA126" s="315">
        <v>3.6</v>
      </c>
      <c r="AB126" s="317">
        <v>1501</v>
      </c>
      <c r="AC126" s="315">
        <v>0</v>
      </c>
      <c r="AD126" s="315">
        <v>4.9000000000000004</v>
      </c>
      <c r="AE126" s="317">
        <v>20</v>
      </c>
      <c r="AF126" s="315">
        <v>19.899999999999999</v>
      </c>
      <c r="AG126" s="316">
        <v>2.0870000000000002</v>
      </c>
      <c r="AH126" s="316">
        <v>0.105</v>
      </c>
      <c r="AI126" s="315">
        <v>0</v>
      </c>
      <c r="AJ126" s="317">
        <v>21</v>
      </c>
      <c r="AK126" s="315">
        <v>280.10000000000002</v>
      </c>
      <c r="AL126" s="316">
        <v>10.596</v>
      </c>
      <c r="AM126" s="316">
        <v>3.7999999999999999E-2</v>
      </c>
      <c r="AN126" s="315">
        <v>17.899999999999999</v>
      </c>
      <c r="AO126" s="318">
        <f>Table1[[#This Row],[Inside_._time]]/Table1[[#This Row],[Duration]]</f>
        <v>6.6333333333333327E-2</v>
      </c>
      <c r="AP126" s="318">
        <f>Table1[[#This Row],[Outside_._time]]/Table1[[#This Row],[Duration]]</f>
        <v>0.93366666666666676</v>
      </c>
      <c r="AQ126" s="318">
        <f>Table1[[#This Row],[Inside_._distance]]/Table1[[#This Row],[Distance]]</f>
        <v>0.16455097374438227</v>
      </c>
      <c r="AR126" s="318">
        <f>Table1[[#This Row],[Outside_._distance]]/Table1[[#This Row],[Distance]]</f>
        <v>0.83544902625561779</v>
      </c>
      <c r="AS126" s="317"/>
      <c r="AT126" s="319"/>
      <c r="AU126" s="319"/>
      <c r="AV126" s="320"/>
      <c r="AW126" s="319"/>
      <c r="AX126" s="319"/>
      <c r="AY126" s="314" t="s">
        <v>487</v>
      </c>
      <c r="AZ126" s="314" t="s">
        <v>476</v>
      </c>
      <c r="BA126" s="317" t="s">
        <v>475</v>
      </c>
      <c r="BB126" s="317">
        <v>68</v>
      </c>
      <c r="BC126" s="317">
        <v>2.2666666666666666</v>
      </c>
      <c r="BD126" s="317" t="s">
        <v>474</v>
      </c>
      <c r="BE126" s="317">
        <v>5</v>
      </c>
      <c r="BF126" s="317" t="s">
        <v>465</v>
      </c>
    </row>
    <row r="127" spans="1:131" ht="12" customHeight="1" x14ac:dyDescent="0.15">
      <c r="A127" s="314">
        <v>33</v>
      </c>
      <c r="B127" s="313" t="s">
        <v>121</v>
      </c>
      <c r="C127" s="314" t="s">
        <v>40</v>
      </c>
      <c r="D127" s="314" t="s">
        <v>46</v>
      </c>
      <c r="E127" s="314" t="s">
        <v>42</v>
      </c>
      <c r="F127" s="314" t="s">
        <v>119</v>
      </c>
      <c r="G127" s="314" t="s">
        <v>122</v>
      </c>
      <c r="H127" s="315">
        <v>300</v>
      </c>
      <c r="I127" s="316">
        <v>20.928000000000001</v>
      </c>
      <c r="J127" s="316">
        <v>7.0000000000000007E-2</v>
      </c>
      <c r="K127" s="316">
        <v>0.28000000000000003</v>
      </c>
      <c r="L127" s="315">
        <v>2.5</v>
      </c>
      <c r="M127" s="317">
        <v>27</v>
      </c>
      <c r="N127" s="315">
        <v>17.8</v>
      </c>
      <c r="O127" s="316">
        <v>2.0720000000000001</v>
      </c>
      <c r="P127" s="316">
        <v>0.11600000000000001</v>
      </c>
      <c r="Q127" s="316">
        <v>0.22900000000000001</v>
      </c>
      <c r="R127" s="315">
        <v>1.3</v>
      </c>
      <c r="S127" s="317">
        <v>2276</v>
      </c>
      <c r="T127" s="315">
        <v>0</v>
      </c>
      <c r="U127" s="315">
        <v>2.1</v>
      </c>
      <c r="V127" s="317">
        <v>25</v>
      </c>
      <c r="W127" s="315">
        <v>18</v>
      </c>
      <c r="X127" s="316">
        <v>1.794</v>
      </c>
      <c r="Y127" s="316">
        <v>0.1</v>
      </c>
      <c r="Z127" s="316">
        <v>0.27100000000000002</v>
      </c>
      <c r="AA127" s="315">
        <v>2.7</v>
      </c>
      <c r="AB127" s="317">
        <v>1772</v>
      </c>
      <c r="AC127" s="315">
        <v>1.3</v>
      </c>
      <c r="AD127" s="315">
        <v>3.2</v>
      </c>
      <c r="AE127" s="317">
        <v>30</v>
      </c>
      <c r="AF127" s="315">
        <v>52.6</v>
      </c>
      <c r="AG127" s="316">
        <v>4.7590000000000003</v>
      </c>
      <c r="AH127" s="316">
        <v>0.09</v>
      </c>
      <c r="AI127" s="315">
        <v>1.3</v>
      </c>
      <c r="AJ127" s="317">
        <v>30</v>
      </c>
      <c r="AK127" s="315">
        <v>247.4</v>
      </c>
      <c r="AL127" s="316">
        <v>16.169</v>
      </c>
      <c r="AM127" s="316">
        <v>6.5000000000000002E-2</v>
      </c>
      <c r="AN127" s="315">
        <v>1.3</v>
      </c>
      <c r="AO127" s="318">
        <f>Table1[[#This Row],[Inside_._time]]/Table1[[#This Row],[Duration]]</f>
        <v>0.17533333333333334</v>
      </c>
      <c r="AP127" s="318">
        <f>Table1[[#This Row],[Outside_._time]]/Table1[[#This Row],[Duration]]</f>
        <v>0.82466666666666666</v>
      </c>
      <c r="AQ127" s="318">
        <f>Table1[[#This Row],[Inside_._distance]]/Table1[[#This Row],[Distance]]</f>
        <v>0.22739870030581041</v>
      </c>
      <c r="AR127" s="318">
        <f>Table1[[#This Row],[Outside_._distance]]/Table1[[#This Row],[Distance]]</f>
        <v>0.77260129969418956</v>
      </c>
      <c r="AS127" s="317"/>
      <c r="AT127" s="319"/>
      <c r="AU127" s="319"/>
      <c r="AV127" s="320"/>
      <c r="AW127" s="319"/>
      <c r="AX127" s="319"/>
      <c r="AY127" s="314" t="s">
        <v>486</v>
      </c>
      <c r="AZ127" s="314" t="s">
        <v>472</v>
      </c>
      <c r="BA127" s="317" t="s">
        <v>475</v>
      </c>
      <c r="BB127" s="317">
        <v>61</v>
      </c>
      <c r="BC127" s="317">
        <v>2.0333333333333332</v>
      </c>
      <c r="BD127" s="317" t="s">
        <v>474</v>
      </c>
      <c r="BE127" s="317">
        <v>1</v>
      </c>
      <c r="BF127" s="317" t="s">
        <v>466</v>
      </c>
    </row>
    <row r="128" spans="1:131" ht="12" customHeight="1" x14ac:dyDescent="0.15">
      <c r="A128" s="314">
        <v>34</v>
      </c>
      <c r="B128" s="313" t="s">
        <v>123</v>
      </c>
      <c r="C128" s="314" t="s">
        <v>40</v>
      </c>
      <c r="D128" s="314" t="s">
        <v>49</v>
      </c>
      <c r="E128" s="314" t="s">
        <v>42</v>
      </c>
      <c r="F128" s="314" t="s">
        <v>119</v>
      </c>
      <c r="G128" s="314" t="s">
        <v>124</v>
      </c>
      <c r="H128" s="315">
        <v>300</v>
      </c>
      <c r="I128" s="316">
        <v>65.501000000000005</v>
      </c>
      <c r="J128" s="316">
        <v>0.218</v>
      </c>
      <c r="K128" s="316">
        <v>0.48399999999999999</v>
      </c>
      <c r="L128" s="315">
        <v>0</v>
      </c>
      <c r="M128" s="317">
        <v>74</v>
      </c>
      <c r="N128" s="315">
        <v>26.7</v>
      </c>
      <c r="O128" s="316">
        <v>7.4649999999999999</v>
      </c>
      <c r="P128" s="316">
        <v>0.28000000000000003</v>
      </c>
      <c r="Q128" s="316">
        <v>0.42799999999999999</v>
      </c>
      <c r="R128" s="315">
        <v>6.2</v>
      </c>
      <c r="S128" s="317">
        <v>6300</v>
      </c>
      <c r="T128" s="315">
        <v>0</v>
      </c>
      <c r="U128" s="315">
        <v>5.8</v>
      </c>
      <c r="V128" s="317">
        <v>64</v>
      </c>
      <c r="W128" s="315">
        <v>21</v>
      </c>
      <c r="X128" s="316">
        <v>6.1680000000000001</v>
      </c>
      <c r="Y128" s="316">
        <v>0.29299999999999998</v>
      </c>
      <c r="Z128" s="316">
        <v>0.45700000000000002</v>
      </c>
      <c r="AA128" s="315">
        <v>3.2</v>
      </c>
      <c r="AB128" s="317">
        <v>6527</v>
      </c>
      <c r="AC128" s="315">
        <v>0</v>
      </c>
      <c r="AD128" s="315">
        <v>4.5</v>
      </c>
      <c r="AE128" s="317">
        <v>139</v>
      </c>
      <c r="AF128" s="315">
        <v>78.8</v>
      </c>
      <c r="AG128" s="316">
        <v>25.369</v>
      </c>
      <c r="AH128" s="316">
        <v>0.32200000000000001</v>
      </c>
      <c r="AI128" s="315">
        <v>0</v>
      </c>
      <c r="AJ128" s="317">
        <v>139</v>
      </c>
      <c r="AK128" s="315">
        <v>221.2</v>
      </c>
      <c r="AL128" s="316">
        <v>40.131999999999998</v>
      </c>
      <c r="AM128" s="316">
        <v>0.18099999999999999</v>
      </c>
      <c r="AN128" s="315">
        <v>0</v>
      </c>
      <c r="AO128" s="318">
        <f>Table1[[#This Row],[Inside_._time]]/Table1[[#This Row],[Duration]]</f>
        <v>0.26266666666666666</v>
      </c>
      <c r="AP128" s="318">
        <f>Table1[[#This Row],[Outside_._time]]/Table1[[#This Row],[Duration]]</f>
        <v>0.73733333333333329</v>
      </c>
      <c r="AQ128" s="318">
        <f>Table1[[#This Row],[Inside_._distance]]/Table1[[#This Row],[Distance]]</f>
        <v>0.38730706401428983</v>
      </c>
      <c r="AR128" s="318">
        <f>Table1[[#This Row],[Outside_._distance]]/Table1[[#This Row],[Distance]]</f>
        <v>0.61269293598571006</v>
      </c>
      <c r="AS128" s="317"/>
      <c r="AT128" s="319"/>
      <c r="AU128" s="319"/>
      <c r="AV128" s="320"/>
      <c r="AW128" s="319"/>
      <c r="AX128" s="319"/>
      <c r="AY128" s="314" t="s">
        <v>486</v>
      </c>
      <c r="AZ128" s="314" t="s">
        <v>472</v>
      </c>
      <c r="BA128" s="317" t="s">
        <v>473</v>
      </c>
      <c r="BB128" s="317">
        <v>61</v>
      </c>
      <c r="BC128" s="317">
        <v>2.0333333333333332</v>
      </c>
      <c r="BD128" s="317" t="s">
        <v>477</v>
      </c>
      <c r="BE128" s="317">
        <v>4</v>
      </c>
      <c r="BF128" s="317" t="s">
        <v>467</v>
      </c>
    </row>
    <row r="129" spans="1:58" ht="12" customHeight="1" x14ac:dyDescent="0.15">
      <c r="A129" s="314">
        <v>35</v>
      </c>
      <c r="B129" s="313" t="s">
        <v>125</v>
      </c>
      <c r="C129" s="314" t="s">
        <v>40</v>
      </c>
      <c r="D129" s="314" t="s">
        <v>53</v>
      </c>
      <c r="E129" s="314" t="s">
        <v>42</v>
      </c>
      <c r="F129" s="314" t="s">
        <v>119</v>
      </c>
      <c r="G129" s="314" t="s">
        <v>126</v>
      </c>
      <c r="H129" s="315">
        <v>300</v>
      </c>
      <c r="I129" s="316">
        <v>31.896999999999998</v>
      </c>
      <c r="J129" s="316">
        <v>0.106</v>
      </c>
      <c r="K129" s="316">
        <v>0.35299999999999998</v>
      </c>
      <c r="L129" s="315">
        <v>2.2999999999999998</v>
      </c>
      <c r="M129" s="317">
        <v>31</v>
      </c>
      <c r="N129" s="315">
        <v>19.5</v>
      </c>
      <c r="O129" s="316">
        <v>2.3540000000000001</v>
      </c>
      <c r="P129" s="316">
        <v>0.12</v>
      </c>
      <c r="Q129" s="316">
        <v>0.28599999999999998</v>
      </c>
      <c r="R129" s="315">
        <v>8.3000000000000007</v>
      </c>
      <c r="S129" s="317">
        <v>2374</v>
      </c>
      <c r="T129" s="315">
        <v>2.2999999999999998</v>
      </c>
      <c r="U129" s="315">
        <v>6.4</v>
      </c>
      <c r="V129" s="317">
        <v>23</v>
      </c>
      <c r="W129" s="315">
        <v>10.8</v>
      </c>
      <c r="X129" s="316">
        <v>1.661</v>
      </c>
      <c r="Y129" s="316">
        <v>0.153</v>
      </c>
      <c r="Z129" s="316">
        <v>0.34100000000000003</v>
      </c>
      <c r="AA129" s="315">
        <v>1.1000000000000001</v>
      </c>
      <c r="AB129" s="317">
        <v>1289</v>
      </c>
      <c r="AC129" s="315">
        <v>0</v>
      </c>
      <c r="AD129" s="315">
        <v>2.8</v>
      </c>
      <c r="AE129" s="317">
        <v>31</v>
      </c>
      <c r="AF129" s="315">
        <v>25.5</v>
      </c>
      <c r="AG129" s="316">
        <v>4.1550000000000002</v>
      </c>
      <c r="AH129" s="316">
        <v>0.16300000000000001</v>
      </c>
      <c r="AI129" s="315">
        <v>0</v>
      </c>
      <c r="AJ129" s="317">
        <v>32</v>
      </c>
      <c r="AK129" s="315">
        <v>274.5</v>
      </c>
      <c r="AL129" s="316">
        <v>27.742000000000001</v>
      </c>
      <c r="AM129" s="316">
        <v>0.10100000000000001</v>
      </c>
      <c r="AN129" s="315">
        <v>2.2999999999999998</v>
      </c>
      <c r="AO129" s="318">
        <f>Table1[[#This Row],[Inside_._time]]/Table1[[#This Row],[Duration]]</f>
        <v>8.5000000000000006E-2</v>
      </c>
      <c r="AP129" s="318">
        <f>Table1[[#This Row],[Outside_._time]]/Table1[[#This Row],[Duration]]</f>
        <v>0.91500000000000004</v>
      </c>
      <c r="AQ129" s="318">
        <f>Table1[[#This Row],[Inside_._distance]]/Table1[[#This Row],[Distance]]</f>
        <v>0.13026303414114182</v>
      </c>
      <c r="AR129" s="318">
        <f>Table1[[#This Row],[Outside_._distance]]/Table1[[#This Row],[Distance]]</f>
        <v>0.86973696585885829</v>
      </c>
      <c r="AS129" s="317"/>
      <c r="AT129" s="319"/>
      <c r="AU129" s="319"/>
      <c r="AV129" s="320"/>
      <c r="AW129" s="319"/>
      <c r="AX129" s="319"/>
      <c r="AY129" s="314" t="s">
        <v>486</v>
      </c>
      <c r="AZ129" s="314" t="s">
        <v>472</v>
      </c>
      <c r="BA129" s="317" t="s">
        <v>475</v>
      </c>
      <c r="BB129" s="317">
        <v>61</v>
      </c>
      <c r="BC129" s="317">
        <v>2.0333333333333332</v>
      </c>
      <c r="BD129" s="317" t="s">
        <v>477</v>
      </c>
      <c r="BE129" s="317">
        <v>2</v>
      </c>
      <c r="BF129" s="317" t="s">
        <v>466</v>
      </c>
    </row>
    <row r="130" spans="1:58" ht="12" customHeight="1" x14ac:dyDescent="0.15">
      <c r="A130" s="314">
        <v>37</v>
      </c>
      <c r="B130" s="313" t="s">
        <v>127</v>
      </c>
      <c r="C130" s="314" t="s">
        <v>40</v>
      </c>
      <c r="D130" s="314" t="s">
        <v>41</v>
      </c>
      <c r="E130" s="314" t="s">
        <v>42</v>
      </c>
      <c r="F130" s="314" t="s">
        <v>128</v>
      </c>
      <c r="G130" s="314" t="s">
        <v>129</v>
      </c>
      <c r="H130" s="315">
        <v>300</v>
      </c>
      <c r="I130" s="316">
        <v>15.635999999999999</v>
      </c>
      <c r="J130" s="316">
        <v>5.1999999999999998E-2</v>
      </c>
      <c r="K130" s="316">
        <v>0.26</v>
      </c>
      <c r="L130" s="315">
        <v>5.8</v>
      </c>
      <c r="M130" s="317">
        <v>14</v>
      </c>
      <c r="N130" s="315">
        <v>15.6</v>
      </c>
      <c r="O130" s="316">
        <v>1.2</v>
      </c>
      <c r="P130" s="316">
        <v>7.6999999999999999E-2</v>
      </c>
      <c r="Q130" s="316">
        <v>0.24299999999999999</v>
      </c>
      <c r="R130" s="315">
        <v>2</v>
      </c>
      <c r="S130" s="317">
        <v>1379</v>
      </c>
      <c r="T130" s="315">
        <v>1.1000000000000001</v>
      </c>
      <c r="U130" s="315">
        <v>2.2999999999999998</v>
      </c>
      <c r="V130" s="317">
        <v>21</v>
      </c>
      <c r="W130" s="315">
        <v>39.299999999999997</v>
      </c>
      <c r="X130" s="316">
        <v>1.1839999999999999</v>
      </c>
      <c r="Y130" s="316">
        <v>0.03</v>
      </c>
      <c r="Z130" s="316">
        <v>0.26</v>
      </c>
      <c r="AA130" s="315">
        <v>4.3</v>
      </c>
      <c r="AB130" s="317">
        <v>3351</v>
      </c>
      <c r="AC130" s="315">
        <v>4.7</v>
      </c>
      <c r="AD130" s="315">
        <v>4.5</v>
      </c>
      <c r="AE130" s="317">
        <v>24</v>
      </c>
      <c r="AF130" s="315">
        <v>36.700000000000003</v>
      </c>
      <c r="AG130" s="316">
        <v>3.3969999999999998</v>
      </c>
      <c r="AH130" s="316">
        <v>9.2999999999999999E-2</v>
      </c>
      <c r="AI130" s="315">
        <v>0</v>
      </c>
      <c r="AJ130" s="317">
        <v>24</v>
      </c>
      <c r="AK130" s="315">
        <v>263.3</v>
      </c>
      <c r="AL130" s="316">
        <v>12.239000000000001</v>
      </c>
      <c r="AM130" s="316">
        <v>4.5999999999999999E-2</v>
      </c>
      <c r="AN130" s="315">
        <v>5.8</v>
      </c>
      <c r="AO130" s="318">
        <f>Table1[[#This Row],[Inside_._time]]/Table1[[#This Row],[Duration]]</f>
        <v>0.12233333333333335</v>
      </c>
      <c r="AP130" s="318">
        <f>Table1[[#This Row],[Outside_._time]]/Table1[[#This Row],[Duration]]</f>
        <v>0.87766666666666671</v>
      </c>
      <c r="AQ130" s="318">
        <f>Table1[[#This Row],[Inside_._distance]]/Table1[[#This Row],[Distance]]</f>
        <v>0.21725505244308008</v>
      </c>
      <c r="AR130" s="318">
        <f>Table1[[#This Row],[Outside_._distance]]/Table1[[#This Row],[Distance]]</f>
        <v>0.78274494755692003</v>
      </c>
      <c r="AS130" s="317"/>
      <c r="AT130" s="319"/>
      <c r="AU130" s="319"/>
      <c r="AV130" s="320"/>
      <c r="AW130" s="319"/>
      <c r="AX130" s="319"/>
      <c r="AY130" s="314" t="s">
        <v>486</v>
      </c>
      <c r="AZ130" s="314" t="s">
        <v>472</v>
      </c>
      <c r="BA130" s="317" t="s">
        <v>473</v>
      </c>
      <c r="BB130" s="317">
        <v>61</v>
      </c>
      <c r="BC130" s="317">
        <v>2.0333333333333332</v>
      </c>
      <c r="BD130" s="317" t="s">
        <v>477</v>
      </c>
      <c r="BE130" s="317">
        <v>4</v>
      </c>
      <c r="BF130" s="317"/>
    </row>
    <row r="131" spans="1:58" ht="12" customHeight="1" x14ac:dyDescent="0.15">
      <c r="A131" s="314">
        <v>39</v>
      </c>
      <c r="B131" s="313" t="s">
        <v>130</v>
      </c>
      <c r="C131" s="314" t="s">
        <v>40</v>
      </c>
      <c r="D131" s="314" t="s">
        <v>46</v>
      </c>
      <c r="E131" s="314" t="s">
        <v>42</v>
      </c>
      <c r="F131" s="314" t="s">
        <v>128</v>
      </c>
      <c r="G131" s="314" t="s">
        <v>131</v>
      </c>
      <c r="H131" s="315">
        <v>300</v>
      </c>
      <c r="I131" s="316">
        <v>12.294</v>
      </c>
      <c r="J131" s="316">
        <v>4.1000000000000002E-2</v>
      </c>
      <c r="K131" s="316">
        <v>0.219</v>
      </c>
      <c r="L131" s="315">
        <v>15.7</v>
      </c>
      <c r="M131" s="317">
        <v>31</v>
      </c>
      <c r="N131" s="315">
        <v>27.2</v>
      </c>
      <c r="O131" s="316">
        <v>1.6359999999999999</v>
      </c>
      <c r="P131" s="316">
        <v>0.06</v>
      </c>
      <c r="Q131" s="316">
        <v>0.219</v>
      </c>
      <c r="R131" s="315">
        <v>7</v>
      </c>
      <c r="S131" s="317">
        <v>2363</v>
      </c>
      <c r="T131" s="315">
        <v>0</v>
      </c>
      <c r="U131" s="315">
        <v>9.3000000000000007</v>
      </c>
      <c r="V131" s="317">
        <v>13</v>
      </c>
      <c r="W131" s="315">
        <v>11.1</v>
      </c>
      <c r="X131" s="316">
        <v>1.377</v>
      </c>
      <c r="Y131" s="316">
        <v>0.124</v>
      </c>
      <c r="Z131" s="316">
        <v>0.20300000000000001</v>
      </c>
      <c r="AA131" s="315">
        <v>3.3</v>
      </c>
      <c r="AB131" s="317">
        <v>885</v>
      </c>
      <c r="AC131" s="315">
        <v>0</v>
      </c>
      <c r="AD131" s="315">
        <v>2</v>
      </c>
      <c r="AE131" s="317">
        <v>15</v>
      </c>
      <c r="AF131" s="315">
        <v>18.3</v>
      </c>
      <c r="AG131" s="316">
        <v>2.157</v>
      </c>
      <c r="AH131" s="316">
        <v>0.11799999999999999</v>
      </c>
      <c r="AI131" s="315">
        <v>0</v>
      </c>
      <c r="AJ131" s="317">
        <v>15</v>
      </c>
      <c r="AK131" s="315">
        <v>281.7</v>
      </c>
      <c r="AL131" s="316">
        <v>10.137</v>
      </c>
      <c r="AM131" s="316">
        <v>3.5999999999999997E-2</v>
      </c>
      <c r="AN131" s="315">
        <v>15.7</v>
      </c>
      <c r="AO131" s="318">
        <f>Table1[[#This Row],[Inside_._time]]/Table1[[#This Row],[Duration]]</f>
        <v>6.1000000000000006E-2</v>
      </c>
      <c r="AP131" s="318">
        <f>Table1[[#This Row],[Outside_._time]]/Table1[[#This Row],[Duration]]</f>
        <v>0.93899999999999995</v>
      </c>
      <c r="AQ131" s="318">
        <f>Table1[[#This Row],[Inside_._distance]]/Table1[[#This Row],[Distance]]</f>
        <v>0.17545143972669594</v>
      </c>
      <c r="AR131" s="318">
        <f>Table1[[#This Row],[Outside_._distance]]/Table1[[#This Row],[Distance]]</f>
        <v>0.82454856027330403</v>
      </c>
      <c r="AS131" s="317"/>
      <c r="AT131" s="319"/>
      <c r="AU131" s="319"/>
      <c r="AV131" s="320"/>
      <c r="AW131" s="319"/>
      <c r="AX131" s="319"/>
      <c r="AY131" s="314" t="s">
        <v>486</v>
      </c>
      <c r="AZ131" s="314" t="s">
        <v>472</v>
      </c>
      <c r="BA131" s="317" t="s">
        <v>473</v>
      </c>
      <c r="BB131" s="317">
        <v>61</v>
      </c>
      <c r="BC131" s="317">
        <v>2.0333333333333332</v>
      </c>
      <c r="BD131" s="317" t="s">
        <v>474</v>
      </c>
      <c r="BE131" s="317">
        <v>3</v>
      </c>
      <c r="BF131" s="317" t="s">
        <v>468</v>
      </c>
    </row>
    <row r="132" spans="1:58" ht="12" customHeight="1" x14ac:dyDescent="0.15">
      <c r="A132" s="314">
        <v>38</v>
      </c>
      <c r="B132" s="313" t="s">
        <v>132</v>
      </c>
      <c r="C132" s="314" t="s">
        <v>40</v>
      </c>
      <c r="D132" s="314" t="s">
        <v>49</v>
      </c>
      <c r="E132" s="314" t="s">
        <v>42</v>
      </c>
      <c r="F132" s="314" t="s">
        <v>128</v>
      </c>
      <c r="G132" s="314" t="s">
        <v>133</v>
      </c>
      <c r="H132" s="315">
        <v>300</v>
      </c>
      <c r="I132" s="316">
        <v>18.620999999999999</v>
      </c>
      <c r="J132" s="316">
        <v>6.2E-2</v>
      </c>
      <c r="K132" s="316">
        <v>0.33400000000000002</v>
      </c>
      <c r="L132" s="315">
        <v>15.3</v>
      </c>
      <c r="M132" s="317">
        <v>37</v>
      </c>
      <c r="N132" s="315">
        <v>72.2</v>
      </c>
      <c r="O132" s="316">
        <v>2.524</v>
      </c>
      <c r="P132" s="316">
        <v>3.5000000000000003E-2</v>
      </c>
      <c r="Q132" s="316">
        <v>0.29299999999999998</v>
      </c>
      <c r="R132" s="315">
        <v>17.3</v>
      </c>
      <c r="S132" s="317">
        <v>5331</v>
      </c>
      <c r="T132" s="315">
        <v>13.4</v>
      </c>
      <c r="U132" s="315">
        <v>15</v>
      </c>
      <c r="V132" s="317">
        <v>13</v>
      </c>
      <c r="W132" s="315">
        <v>10.8</v>
      </c>
      <c r="X132" s="316">
        <v>1.1259999999999999</v>
      </c>
      <c r="Y132" s="316">
        <v>0.104</v>
      </c>
      <c r="Z132" s="316">
        <v>0.26600000000000001</v>
      </c>
      <c r="AA132" s="315">
        <v>3</v>
      </c>
      <c r="AB132" s="317">
        <v>1126</v>
      </c>
      <c r="AC132" s="315">
        <v>0</v>
      </c>
      <c r="AD132" s="315">
        <v>3.7</v>
      </c>
      <c r="AE132" s="317">
        <v>35</v>
      </c>
      <c r="AF132" s="315">
        <v>28.7</v>
      </c>
      <c r="AG132" s="316">
        <v>3.6349999999999998</v>
      </c>
      <c r="AH132" s="316">
        <v>0.127</v>
      </c>
      <c r="AI132" s="315">
        <v>0</v>
      </c>
      <c r="AJ132" s="317">
        <v>36</v>
      </c>
      <c r="AK132" s="315">
        <v>271.3</v>
      </c>
      <c r="AL132" s="316">
        <v>14.987</v>
      </c>
      <c r="AM132" s="316">
        <v>5.5E-2</v>
      </c>
      <c r="AN132" s="315">
        <v>15.3</v>
      </c>
      <c r="AO132" s="318">
        <f>Table1[[#This Row],[Inside_._time]]/Table1[[#This Row],[Duration]]</f>
        <v>9.5666666666666664E-2</v>
      </c>
      <c r="AP132" s="318">
        <f>Table1[[#This Row],[Outside_._time]]/Table1[[#This Row],[Duration]]</f>
        <v>0.90433333333333332</v>
      </c>
      <c r="AQ132" s="318">
        <f>Table1[[#This Row],[Inside_._distance]]/Table1[[#This Row],[Distance]]</f>
        <v>0.19520970946780516</v>
      </c>
      <c r="AR132" s="318">
        <f>Table1[[#This Row],[Outside_._distance]]/Table1[[#This Row],[Distance]]</f>
        <v>0.80484399334085177</v>
      </c>
      <c r="AS132" s="317"/>
      <c r="AT132" s="319"/>
      <c r="AU132" s="319"/>
      <c r="AV132" s="320"/>
      <c r="AW132" s="319"/>
      <c r="AX132" s="319"/>
      <c r="AY132" s="314" t="s">
        <v>487</v>
      </c>
      <c r="AZ132" s="314" t="s">
        <v>472</v>
      </c>
      <c r="BA132" s="317" t="s">
        <v>475</v>
      </c>
      <c r="BB132" s="317">
        <v>61</v>
      </c>
      <c r="BC132" s="317">
        <v>2.0333333333333332</v>
      </c>
      <c r="BD132" s="317" t="s">
        <v>474</v>
      </c>
      <c r="BE132" s="317">
        <v>1</v>
      </c>
      <c r="BF132" s="317" t="s">
        <v>469</v>
      </c>
    </row>
    <row r="133" spans="1:58" ht="12" customHeight="1" x14ac:dyDescent="0.15">
      <c r="A133" s="314">
        <v>40</v>
      </c>
      <c r="B133" s="313" t="s">
        <v>134</v>
      </c>
      <c r="C133" s="314" t="s">
        <v>40</v>
      </c>
      <c r="D133" s="314" t="s">
        <v>53</v>
      </c>
      <c r="E133" s="314" t="s">
        <v>42</v>
      </c>
      <c r="F133" s="314" t="s">
        <v>128</v>
      </c>
      <c r="G133" s="314" t="s">
        <v>135</v>
      </c>
      <c r="H133" s="315">
        <v>300</v>
      </c>
      <c r="I133" s="316">
        <v>23.558</v>
      </c>
      <c r="J133" s="316">
        <v>7.9000000000000001E-2</v>
      </c>
      <c r="K133" s="316">
        <v>0.29299999999999998</v>
      </c>
      <c r="L133" s="315">
        <v>13.3</v>
      </c>
      <c r="M133" s="317">
        <v>38</v>
      </c>
      <c r="N133" s="315">
        <v>17.2</v>
      </c>
      <c r="O133" s="316">
        <v>2.2000000000000002</v>
      </c>
      <c r="P133" s="316">
        <v>0.128</v>
      </c>
      <c r="Q133" s="316">
        <v>0.29099999999999998</v>
      </c>
      <c r="R133" s="315">
        <v>4.0999999999999996</v>
      </c>
      <c r="S133" s="317">
        <v>2267</v>
      </c>
      <c r="T133" s="315">
        <v>0</v>
      </c>
      <c r="U133" s="315">
        <v>4.4000000000000004</v>
      </c>
      <c r="V133" s="317">
        <v>58</v>
      </c>
      <c r="W133" s="315">
        <v>46.8</v>
      </c>
      <c r="X133" s="316">
        <v>2.8740000000000001</v>
      </c>
      <c r="Y133" s="316">
        <v>6.0999999999999999E-2</v>
      </c>
      <c r="Z133" s="316">
        <v>0.26200000000000001</v>
      </c>
      <c r="AA133" s="315">
        <v>12.2</v>
      </c>
      <c r="AB133" s="317">
        <v>4014</v>
      </c>
      <c r="AC133" s="315">
        <v>2.1</v>
      </c>
      <c r="AD133" s="315">
        <v>19.100000000000001</v>
      </c>
      <c r="AE133" s="317">
        <v>36</v>
      </c>
      <c r="AF133" s="315">
        <v>110.6</v>
      </c>
      <c r="AG133" s="316">
        <v>5.6779999999999999</v>
      </c>
      <c r="AH133" s="316">
        <v>5.0999999999999997E-2</v>
      </c>
      <c r="AI133" s="315">
        <v>12.1</v>
      </c>
      <c r="AJ133" s="317">
        <v>37</v>
      </c>
      <c r="AK133" s="315">
        <v>189.4</v>
      </c>
      <c r="AL133" s="316">
        <v>17.88</v>
      </c>
      <c r="AM133" s="316">
        <v>9.4E-2</v>
      </c>
      <c r="AN133" s="315">
        <v>1.2</v>
      </c>
      <c r="AO133" s="318">
        <f>Table1[[#This Row],[Inside_._time]]/Table1[[#This Row],[Duration]]</f>
        <v>0.36866666666666664</v>
      </c>
      <c r="AP133" s="318">
        <f>Table1[[#This Row],[Outside_._time]]/Table1[[#This Row],[Duration]]</f>
        <v>0.6313333333333333</v>
      </c>
      <c r="AQ133" s="318">
        <f>Table1[[#This Row],[Inside_._distance]]/Table1[[#This Row],[Distance]]</f>
        <v>0.24102215807793531</v>
      </c>
      <c r="AR133" s="318">
        <f>Table1[[#This Row],[Outside_._distance]]/Table1[[#This Row],[Distance]]</f>
        <v>0.75897784192206463</v>
      </c>
      <c r="AS133" s="317"/>
      <c r="AT133" s="319"/>
      <c r="AU133" s="319"/>
      <c r="AV133" s="320"/>
      <c r="AW133" s="319"/>
      <c r="AX133" s="319"/>
      <c r="AY133" s="314" t="s">
        <v>487</v>
      </c>
      <c r="AZ133" s="314" t="s">
        <v>472</v>
      </c>
      <c r="BA133" s="317" t="s">
        <v>473</v>
      </c>
      <c r="BB133" s="317">
        <v>61</v>
      </c>
      <c r="BC133" s="317">
        <v>2.0333333333333332</v>
      </c>
      <c r="BD133" s="317" t="s">
        <v>477</v>
      </c>
      <c r="BE133" s="317">
        <v>4</v>
      </c>
      <c r="BF133" s="317"/>
    </row>
    <row r="134" spans="1:58" ht="12" customHeight="1" x14ac:dyDescent="0.15">
      <c r="A134" s="314">
        <v>43</v>
      </c>
      <c r="B134" s="313" t="s">
        <v>136</v>
      </c>
      <c r="C134" s="314" t="s">
        <v>40</v>
      </c>
      <c r="D134" s="314" t="s">
        <v>41</v>
      </c>
      <c r="E134" s="314" t="s">
        <v>42</v>
      </c>
      <c r="F134" s="314" t="s">
        <v>137</v>
      </c>
      <c r="G134" s="314" t="s">
        <v>138</v>
      </c>
      <c r="H134" s="315">
        <v>300</v>
      </c>
      <c r="I134" s="316">
        <v>11.308999999999999</v>
      </c>
      <c r="J134" s="316">
        <v>3.7999999999999999E-2</v>
      </c>
      <c r="K134" s="316">
        <v>0.27600000000000002</v>
      </c>
      <c r="L134" s="315">
        <v>44.1</v>
      </c>
      <c r="M134" s="317">
        <v>14</v>
      </c>
      <c r="N134" s="315">
        <v>86</v>
      </c>
      <c r="O134" s="316">
        <v>0.99199999999999999</v>
      </c>
      <c r="P134" s="316">
        <v>1.2E-2</v>
      </c>
      <c r="Q134" s="316">
        <v>0.17399999999999999</v>
      </c>
      <c r="R134" s="315">
        <v>7.7</v>
      </c>
      <c r="S134" s="317">
        <v>5579</v>
      </c>
      <c r="T134" s="315">
        <v>28.6</v>
      </c>
      <c r="U134" s="315">
        <v>4.8</v>
      </c>
      <c r="V134" s="317">
        <v>7</v>
      </c>
      <c r="W134" s="315">
        <v>12.5</v>
      </c>
      <c r="X134" s="316">
        <v>0.46300000000000002</v>
      </c>
      <c r="Y134" s="316">
        <v>3.6999999999999998E-2</v>
      </c>
      <c r="Z134" s="316">
        <v>0.25800000000000001</v>
      </c>
      <c r="AA134" s="315">
        <v>1.2</v>
      </c>
      <c r="AB134" s="317">
        <v>747</v>
      </c>
      <c r="AC134" s="315">
        <v>1.6</v>
      </c>
      <c r="AD134" s="315">
        <v>1.7</v>
      </c>
      <c r="AE134" s="317">
        <v>17</v>
      </c>
      <c r="AF134" s="315">
        <v>132.4</v>
      </c>
      <c r="AG134" s="316">
        <v>1.7230000000000001</v>
      </c>
      <c r="AH134" s="316">
        <v>1.2999999999999999E-2</v>
      </c>
      <c r="AI134" s="315">
        <v>38</v>
      </c>
      <c r="AJ134" s="317">
        <v>17</v>
      </c>
      <c r="AK134" s="315">
        <v>167.6</v>
      </c>
      <c r="AL134" s="316">
        <v>9.5860000000000003</v>
      </c>
      <c r="AM134" s="316">
        <v>5.7000000000000002E-2</v>
      </c>
      <c r="AN134" s="315">
        <v>6.1</v>
      </c>
      <c r="AO134" s="318">
        <f>Table1[[#This Row],[Inside_._time]]/Table1[[#This Row],[Duration]]</f>
        <v>0.44133333333333336</v>
      </c>
      <c r="AP134" s="318">
        <f>Table1[[#This Row],[Outside_._time]]/Table1[[#This Row],[Duration]]</f>
        <v>0.55866666666666664</v>
      </c>
      <c r="AQ134" s="318">
        <f>Table1[[#This Row],[Inside_._distance]]/Table1[[#This Row],[Distance]]</f>
        <v>0.15235653019718809</v>
      </c>
      <c r="AR134" s="318">
        <f>Table1[[#This Row],[Outside_._distance]]/Table1[[#This Row],[Distance]]</f>
        <v>0.84764346980281202</v>
      </c>
      <c r="AS134" s="317"/>
      <c r="AT134" s="319"/>
      <c r="AU134" s="319"/>
      <c r="AV134" s="320"/>
      <c r="AW134" s="319"/>
      <c r="AX134" s="319"/>
      <c r="AY134" s="314" t="s">
        <v>487</v>
      </c>
      <c r="AZ134" s="314" t="s">
        <v>472</v>
      </c>
      <c r="BA134" s="317" t="s">
        <v>475</v>
      </c>
      <c r="BB134" s="317">
        <v>61</v>
      </c>
      <c r="BC134" s="317">
        <v>2.0333333333333332</v>
      </c>
      <c r="BD134" s="317" t="s">
        <v>477</v>
      </c>
      <c r="BE134" s="317">
        <v>2</v>
      </c>
      <c r="BF134" s="317"/>
    </row>
    <row r="135" spans="1:58" ht="12" customHeight="1" x14ac:dyDescent="0.15">
      <c r="A135" s="314">
        <v>44</v>
      </c>
      <c r="B135" s="313" t="s">
        <v>139</v>
      </c>
      <c r="C135" s="314" t="s">
        <v>40</v>
      </c>
      <c r="D135" s="314" t="s">
        <v>46</v>
      </c>
      <c r="E135" s="314" t="s">
        <v>42</v>
      </c>
      <c r="F135" s="314" t="s">
        <v>137</v>
      </c>
      <c r="G135" s="314" t="s">
        <v>140</v>
      </c>
      <c r="H135" s="315">
        <v>300</v>
      </c>
      <c r="I135" s="316">
        <v>14.6</v>
      </c>
      <c r="J135" s="316">
        <v>4.9000000000000002E-2</v>
      </c>
      <c r="K135" s="316">
        <v>0.28999999999999998</v>
      </c>
      <c r="L135" s="315">
        <v>18.7</v>
      </c>
      <c r="M135" s="317">
        <v>26</v>
      </c>
      <c r="N135" s="315">
        <v>19.7</v>
      </c>
      <c r="O135" s="316">
        <v>1.1819999999999999</v>
      </c>
      <c r="P135" s="316">
        <v>0.06</v>
      </c>
      <c r="Q135" s="316">
        <v>0.25600000000000001</v>
      </c>
      <c r="R135" s="315">
        <v>4.7</v>
      </c>
      <c r="S135" s="317">
        <v>1825</v>
      </c>
      <c r="T135" s="315">
        <v>3.1</v>
      </c>
      <c r="U135" s="315">
        <v>9.3000000000000007</v>
      </c>
      <c r="V135" s="317">
        <v>36</v>
      </c>
      <c r="W135" s="315">
        <v>63.1</v>
      </c>
      <c r="X135" s="316">
        <v>1.9810000000000001</v>
      </c>
      <c r="Y135" s="316">
        <v>3.1E-2</v>
      </c>
      <c r="Z135" s="316">
        <v>0.28199999999999997</v>
      </c>
      <c r="AA135" s="315">
        <v>9.3000000000000007</v>
      </c>
      <c r="AB135" s="317">
        <v>4723</v>
      </c>
      <c r="AC135" s="315">
        <v>12</v>
      </c>
      <c r="AD135" s="315">
        <v>5.7</v>
      </c>
      <c r="AE135" s="317">
        <v>23</v>
      </c>
      <c r="AF135" s="315">
        <v>60.9</v>
      </c>
      <c r="AG135" s="316">
        <v>2.9929999999999999</v>
      </c>
      <c r="AH135" s="316">
        <v>4.9000000000000002E-2</v>
      </c>
      <c r="AI135" s="315">
        <v>16.3</v>
      </c>
      <c r="AJ135" s="317">
        <v>24</v>
      </c>
      <c r="AK135" s="315">
        <v>239.1</v>
      </c>
      <c r="AL135" s="316">
        <v>11.606999999999999</v>
      </c>
      <c r="AM135" s="316">
        <v>4.9000000000000002E-2</v>
      </c>
      <c r="AN135" s="315">
        <v>2.4</v>
      </c>
      <c r="AO135" s="318">
        <f>Table1[[#This Row],[Inside_._time]]/Table1[[#This Row],[Duration]]</f>
        <v>0.20299999999999999</v>
      </c>
      <c r="AP135" s="318">
        <f>Table1[[#This Row],[Outside_._time]]/Table1[[#This Row],[Duration]]</f>
        <v>0.79699999999999993</v>
      </c>
      <c r="AQ135" s="318">
        <f>Table1[[#This Row],[Inside_._distance]]/Table1[[#This Row],[Distance]]</f>
        <v>0.20499999999999999</v>
      </c>
      <c r="AR135" s="318">
        <f>Table1[[#This Row],[Outside_._distance]]/Table1[[#This Row],[Distance]]</f>
        <v>0.79499999999999993</v>
      </c>
      <c r="AS135" s="317"/>
      <c r="AT135" s="319"/>
      <c r="AU135" s="319"/>
      <c r="AV135" s="320"/>
      <c r="AW135" s="319"/>
      <c r="AX135" s="319"/>
      <c r="AY135" s="314" t="s">
        <v>486</v>
      </c>
      <c r="AZ135" s="314" t="s">
        <v>472</v>
      </c>
      <c r="BA135" s="317" t="s">
        <v>475</v>
      </c>
      <c r="BB135" s="317">
        <v>60</v>
      </c>
      <c r="BC135" s="317">
        <v>2</v>
      </c>
      <c r="BD135" s="317" t="s">
        <v>474</v>
      </c>
      <c r="BE135" s="317">
        <v>1</v>
      </c>
      <c r="BF135" s="317" t="s">
        <v>470</v>
      </c>
    </row>
    <row r="136" spans="1:58" ht="12" customHeight="1" x14ac:dyDescent="0.15">
      <c r="A136" s="314">
        <v>41</v>
      </c>
      <c r="B136" s="313" t="s">
        <v>141</v>
      </c>
      <c r="C136" s="314" t="s">
        <v>40</v>
      </c>
      <c r="D136" s="314" t="s">
        <v>49</v>
      </c>
      <c r="E136" s="314" t="s">
        <v>42</v>
      </c>
      <c r="F136" s="314" t="s">
        <v>137</v>
      </c>
      <c r="G136" s="314" t="s">
        <v>142</v>
      </c>
      <c r="H136" s="315">
        <v>300</v>
      </c>
      <c r="I136" s="316">
        <v>13.294</v>
      </c>
      <c r="J136" s="316">
        <v>4.3999999999999997E-2</v>
      </c>
      <c r="K136" s="316">
        <v>0.27</v>
      </c>
      <c r="L136" s="315">
        <v>5.3</v>
      </c>
      <c r="M136" s="317">
        <v>26</v>
      </c>
      <c r="N136" s="315">
        <v>16.399999999999999</v>
      </c>
      <c r="O136" s="316">
        <v>1.282</v>
      </c>
      <c r="P136" s="316">
        <v>7.8E-2</v>
      </c>
      <c r="Q136" s="316">
        <v>0.23400000000000001</v>
      </c>
      <c r="R136" s="315">
        <v>1.6</v>
      </c>
      <c r="S136" s="317">
        <v>1657</v>
      </c>
      <c r="T136" s="315">
        <v>0</v>
      </c>
      <c r="U136" s="315">
        <v>1.9</v>
      </c>
      <c r="V136" s="317">
        <v>17</v>
      </c>
      <c r="W136" s="315">
        <v>10.5</v>
      </c>
      <c r="X136" s="316">
        <v>0.47799999999999998</v>
      </c>
      <c r="Y136" s="316">
        <v>4.5999999999999999E-2</v>
      </c>
      <c r="Z136" s="316">
        <v>0.19700000000000001</v>
      </c>
      <c r="AA136" s="315">
        <v>4.5</v>
      </c>
      <c r="AB136" s="317">
        <v>1347</v>
      </c>
      <c r="AC136" s="315">
        <v>0</v>
      </c>
      <c r="AD136" s="315">
        <v>5.9</v>
      </c>
      <c r="AE136" s="317">
        <v>24</v>
      </c>
      <c r="AF136" s="315">
        <v>78.7</v>
      </c>
      <c r="AG136" s="316">
        <v>3.0609999999999999</v>
      </c>
      <c r="AH136" s="316">
        <v>3.9E-2</v>
      </c>
      <c r="AI136" s="315">
        <v>4.2</v>
      </c>
      <c r="AJ136" s="317">
        <v>24</v>
      </c>
      <c r="AK136" s="315">
        <v>221.3</v>
      </c>
      <c r="AL136" s="316">
        <v>10.233000000000001</v>
      </c>
      <c r="AM136" s="316">
        <v>4.5999999999999999E-2</v>
      </c>
      <c r="AN136" s="315">
        <v>0.1</v>
      </c>
      <c r="AO136" s="318">
        <f>Table1[[#This Row],[Inside_._time]]/Table1[[#This Row],[Duration]]</f>
        <v>0.26233333333333336</v>
      </c>
      <c r="AP136" s="318">
        <f>Table1[[#This Row],[Outside_._time]]/Table1[[#This Row],[Duration]]</f>
        <v>0.73766666666666669</v>
      </c>
      <c r="AQ136" s="318">
        <f>Table1[[#This Row],[Inside_._distance]]/Table1[[#This Row],[Distance]]</f>
        <v>0.23025425003761094</v>
      </c>
      <c r="AR136" s="318">
        <f>Table1[[#This Row],[Outside_._distance]]/Table1[[#This Row],[Distance]]</f>
        <v>0.76974574996238909</v>
      </c>
      <c r="AS136" s="317"/>
      <c r="AT136" s="319"/>
      <c r="AU136" s="319"/>
      <c r="AV136" s="320"/>
      <c r="AW136" s="319"/>
      <c r="AX136" s="319"/>
      <c r="AY136" s="314" t="s">
        <v>487</v>
      </c>
      <c r="AZ136" s="314" t="s">
        <v>472</v>
      </c>
      <c r="BA136" s="317" t="s">
        <v>475</v>
      </c>
      <c r="BB136" s="317">
        <v>53</v>
      </c>
      <c r="BC136" s="317">
        <v>1.7666666666666666</v>
      </c>
      <c r="BD136" s="317" t="s">
        <v>477</v>
      </c>
      <c r="BE136" s="317">
        <v>2</v>
      </c>
      <c r="BF136" s="317" t="s">
        <v>471</v>
      </c>
    </row>
    <row r="137" spans="1:58" ht="12" customHeight="1" x14ac:dyDescent="0.15">
      <c r="A137" s="314">
        <v>42</v>
      </c>
      <c r="B137" s="313" t="s">
        <v>143</v>
      </c>
      <c r="C137" s="314" t="s">
        <v>40</v>
      </c>
      <c r="D137" s="314" t="s">
        <v>53</v>
      </c>
      <c r="E137" s="314" t="s">
        <v>42</v>
      </c>
      <c r="F137" s="314" t="s">
        <v>137</v>
      </c>
      <c r="G137" s="314" t="s">
        <v>144</v>
      </c>
      <c r="H137" s="315">
        <v>300</v>
      </c>
      <c r="I137" s="316">
        <v>25.58</v>
      </c>
      <c r="J137" s="316">
        <v>8.5000000000000006E-2</v>
      </c>
      <c r="K137" s="316">
        <v>0.29899999999999999</v>
      </c>
      <c r="L137" s="315">
        <v>10.5</v>
      </c>
      <c r="M137" s="317">
        <v>24</v>
      </c>
      <c r="N137" s="315">
        <v>12.1</v>
      </c>
      <c r="O137" s="316">
        <v>2.133</v>
      </c>
      <c r="P137" s="316">
        <v>0.17599999999999999</v>
      </c>
      <c r="Q137" s="316">
        <v>0.253</v>
      </c>
      <c r="R137" s="315">
        <v>1.6</v>
      </c>
      <c r="S137" s="317">
        <v>1190</v>
      </c>
      <c r="T137" s="315">
        <v>0</v>
      </c>
      <c r="U137" s="315">
        <v>2.2999999999999998</v>
      </c>
      <c r="V137" s="317">
        <v>31</v>
      </c>
      <c r="W137" s="315">
        <v>12.5</v>
      </c>
      <c r="X137" s="316">
        <v>2.5640000000000001</v>
      </c>
      <c r="Y137" s="316">
        <v>0.20399999999999999</v>
      </c>
      <c r="Z137" s="316">
        <v>0.26100000000000001</v>
      </c>
      <c r="AA137" s="315">
        <v>2.9</v>
      </c>
      <c r="AB137" s="317">
        <v>1194</v>
      </c>
      <c r="AC137" s="315">
        <v>0</v>
      </c>
      <c r="AD137" s="315">
        <v>4.8</v>
      </c>
      <c r="AE137" s="317">
        <v>23</v>
      </c>
      <c r="AF137" s="315">
        <v>18.899999999999999</v>
      </c>
      <c r="AG137" s="316">
        <v>3.7959999999999998</v>
      </c>
      <c r="AH137" s="316">
        <v>0.20100000000000001</v>
      </c>
      <c r="AI137" s="315">
        <v>0</v>
      </c>
      <c r="AJ137" s="317">
        <v>24</v>
      </c>
      <c r="AK137" s="315">
        <v>281.10000000000002</v>
      </c>
      <c r="AL137" s="316">
        <v>21.783999999999999</v>
      </c>
      <c r="AM137" s="316">
        <v>7.6999999999999999E-2</v>
      </c>
      <c r="AN137" s="315">
        <v>10.5</v>
      </c>
      <c r="AO137" s="318">
        <f>Table1[[#This Row],[Inside_._time]]/Table1[[#This Row],[Duration]]</f>
        <v>6.3E-2</v>
      </c>
      <c r="AP137" s="318">
        <f>Table1[[#This Row],[Outside_._time]]/Table1[[#This Row],[Duration]]</f>
        <v>0.93700000000000006</v>
      </c>
      <c r="AQ137" s="318">
        <f>Table1[[#This Row],[Inside_._distance]]/Table1[[#This Row],[Distance]]</f>
        <v>0.14839718530101642</v>
      </c>
      <c r="AR137" s="318">
        <f>Table1[[#This Row],[Outside_._distance]]/Table1[[#This Row],[Distance]]</f>
        <v>0.85160281469898358</v>
      </c>
      <c r="AS137" s="317"/>
      <c r="AT137" s="319"/>
      <c r="AU137" s="319"/>
      <c r="AV137" s="320"/>
      <c r="AW137" s="319"/>
      <c r="AX137" s="319"/>
      <c r="AY137" s="314" t="s">
        <v>487</v>
      </c>
      <c r="AZ137" s="314" t="s">
        <v>476</v>
      </c>
      <c r="BA137" s="317" t="s">
        <v>475</v>
      </c>
      <c r="BB137" s="317">
        <v>42</v>
      </c>
      <c r="BC137" s="317">
        <v>1.4</v>
      </c>
      <c r="BD137" s="317" t="s">
        <v>474</v>
      </c>
      <c r="BE137" s="317">
        <v>5</v>
      </c>
      <c r="BF137" s="317"/>
    </row>
    <row r="138" spans="1:58" ht="12" customHeight="1" x14ac:dyDescent="0.15">
      <c r="A138" s="314">
        <v>45</v>
      </c>
      <c r="B138" s="313" t="s">
        <v>145</v>
      </c>
      <c r="C138" s="314" t="s">
        <v>40</v>
      </c>
      <c r="D138" s="314" t="s">
        <v>41</v>
      </c>
      <c r="E138" s="314" t="s">
        <v>42</v>
      </c>
      <c r="F138" s="314" t="s">
        <v>146</v>
      </c>
      <c r="G138" s="314" t="s">
        <v>147</v>
      </c>
      <c r="H138" s="315">
        <v>300</v>
      </c>
      <c r="I138" s="316">
        <v>16.015000000000001</v>
      </c>
      <c r="J138" s="316">
        <v>5.2999999999999999E-2</v>
      </c>
      <c r="K138" s="316">
        <v>0.28999999999999998</v>
      </c>
      <c r="L138" s="315">
        <v>9.8000000000000007</v>
      </c>
      <c r="M138" s="317">
        <v>17</v>
      </c>
      <c r="N138" s="315">
        <v>22.6</v>
      </c>
      <c r="O138" s="316">
        <v>1.3240000000000001</v>
      </c>
      <c r="P138" s="316">
        <v>5.8999999999999997E-2</v>
      </c>
      <c r="Q138" s="316">
        <v>0.27</v>
      </c>
      <c r="R138" s="315">
        <v>2.2000000000000002</v>
      </c>
      <c r="S138" s="317">
        <v>1937</v>
      </c>
      <c r="T138" s="315">
        <v>0</v>
      </c>
      <c r="U138" s="315">
        <v>2.8</v>
      </c>
      <c r="V138" s="317">
        <v>26</v>
      </c>
      <c r="W138" s="315">
        <v>17.2</v>
      </c>
      <c r="X138" s="316">
        <v>1.431</v>
      </c>
      <c r="Y138" s="316">
        <v>8.3000000000000004E-2</v>
      </c>
      <c r="Z138" s="316">
        <v>0.246</v>
      </c>
      <c r="AA138" s="315">
        <v>4.7</v>
      </c>
      <c r="AB138" s="317">
        <v>1944</v>
      </c>
      <c r="AC138" s="315">
        <v>0</v>
      </c>
      <c r="AD138" s="315">
        <v>7.2</v>
      </c>
      <c r="AE138" s="317">
        <v>16</v>
      </c>
      <c r="AF138" s="315">
        <v>20.2</v>
      </c>
      <c r="AG138" s="316">
        <v>2.4790000000000001</v>
      </c>
      <c r="AH138" s="316">
        <v>0.122</v>
      </c>
      <c r="AI138" s="315">
        <v>0</v>
      </c>
      <c r="AJ138" s="317">
        <v>17</v>
      </c>
      <c r="AK138" s="315">
        <v>279.8</v>
      </c>
      <c r="AL138" s="316">
        <v>13.535</v>
      </c>
      <c r="AM138" s="316">
        <v>4.8000000000000001E-2</v>
      </c>
      <c r="AN138" s="315">
        <v>9.8000000000000007</v>
      </c>
      <c r="AO138" s="318">
        <f>Table1[[#This Row],[Inside_._time]]/Table1[[#This Row],[Duration]]</f>
        <v>6.7333333333333328E-2</v>
      </c>
      <c r="AP138" s="318">
        <f>Table1[[#This Row],[Outside_._time]]/Table1[[#This Row],[Duration]]</f>
        <v>0.93266666666666675</v>
      </c>
      <c r="AQ138" s="318">
        <f>Table1[[#This Row],[Inside_._distance]]/Table1[[#This Row],[Distance]]</f>
        <v>0.15479238214174212</v>
      </c>
      <c r="AR138" s="318">
        <f>Table1[[#This Row],[Outside_._distance]]/Table1[[#This Row],[Distance]]</f>
        <v>0.84514517639712772</v>
      </c>
      <c r="AS138" s="317"/>
      <c r="AT138" s="319"/>
      <c r="AU138" s="319"/>
      <c r="AV138" s="320"/>
      <c r="AW138" s="319"/>
      <c r="AX138" s="319"/>
      <c r="AY138" s="314" t="s">
        <v>487</v>
      </c>
      <c r="AZ138" s="314" t="s">
        <v>476</v>
      </c>
      <c r="BA138" s="317" t="s">
        <v>473</v>
      </c>
      <c r="BB138" s="317">
        <v>42</v>
      </c>
      <c r="BC138" s="317">
        <v>1.4</v>
      </c>
      <c r="BD138" s="317" t="s">
        <v>477</v>
      </c>
      <c r="BE138" s="317">
        <v>8</v>
      </c>
      <c r="BF138" s="317"/>
    </row>
    <row r="139" spans="1:58" ht="12" customHeight="1" x14ac:dyDescent="0.15">
      <c r="A139" s="314">
        <v>46</v>
      </c>
      <c r="B139" s="313" t="s">
        <v>148</v>
      </c>
      <c r="C139" s="314" t="s">
        <v>40</v>
      </c>
      <c r="D139" s="314" t="s">
        <v>46</v>
      </c>
      <c r="E139" s="314" t="s">
        <v>42</v>
      </c>
      <c r="F139" s="314" t="s">
        <v>146</v>
      </c>
      <c r="G139" s="314" t="s">
        <v>149</v>
      </c>
      <c r="H139" s="315">
        <v>300</v>
      </c>
      <c r="I139" s="316">
        <v>14.86</v>
      </c>
      <c r="J139" s="316">
        <v>0.05</v>
      </c>
      <c r="K139" s="316">
        <v>0.253</v>
      </c>
      <c r="L139" s="315">
        <v>28.4</v>
      </c>
      <c r="M139" s="317">
        <v>23</v>
      </c>
      <c r="N139" s="315">
        <v>21.6</v>
      </c>
      <c r="O139" s="316">
        <v>1.7110000000000001</v>
      </c>
      <c r="P139" s="316">
        <v>7.9000000000000001E-2</v>
      </c>
      <c r="Q139" s="316">
        <v>0.21099999999999999</v>
      </c>
      <c r="R139" s="315">
        <v>6.1</v>
      </c>
      <c r="S139" s="317">
        <v>2362</v>
      </c>
      <c r="T139" s="315">
        <v>0</v>
      </c>
      <c r="U139" s="315">
        <v>7.3</v>
      </c>
      <c r="V139" s="317">
        <v>13</v>
      </c>
      <c r="W139" s="315">
        <v>10.199999999999999</v>
      </c>
      <c r="X139" s="316">
        <v>1.153</v>
      </c>
      <c r="Y139" s="316">
        <v>0.113</v>
      </c>
      <c r="Z139" s="316">
        <v>0.249</v>
      </c>
      <c r="AA139" s="315">
        <v>2.2999999999999998</v>
      </c>
      <c r="AB139" s="317">
        <v>629</v>
      </c>
      <c r="AC139" s="315">
        <v>0</v>
      </c>
      <c r="AD139" s="315">
        <v>4.7</v>
      </c>
      <c r="AE139" s="317">
        <v>23</v>
      </c>
      <c r="AF139" s="315">
        <v>27.3</v>
      </c>
      <c r="AG139" s="316">
        <v>2.8140000000000001</v>
      </c>
      <c r="AH139" s="316">
        <v>0.10299999999999999</v>
      </c>
      <c r="AI139" s="315">
        <v>0</v>
      </c>
      <c r="AJ139" s="317">
        <v>24</v>
      </c>
      <c r="AK139" s="315">
        <v>272.7</v>
      </c>
      <c r="AL139" s="316">
        <v>12.045999999999999</v>
      </c>
      <c r="AM139" s="316">
        <v>4.3999999999999997E-2</v>
      </c>
      <c r="AN139" s="315">
        <v>28.4</v>
      </c>
      <c r="AO139" s="318">
        <f>Table1[[#This Row],[Inside_._time]]/Table1[[#This Row],[Duration]]</f>
        <v>9.0999999999999998E-2</v>
      </c>
      <c r="AP139" s="318">
        <f>Table1[[#This Row],[Outside_._time]]/Table1[[#This Row],[Duration]]</f>
        <v>0.90899999999999992</v>
      </c>
      <c r="AQ139" s="318">
        <f>Table1[[#This Row],[Inside_._distance]]/Table1[[#This Row],[Distance]]</f>
        <v>0.18936742934051146</v>
      </c>
      <c r="AR139" s="318">
        <f>Table1[[#This Row],[Outside_._distance]]/Table1[[#This Row],[Distance]]</f>
        <v>0.81063257065948857</v>
      </c>
      <c r="AS139" s="317"/>
      <c r="AT139" s="319"/>
      <c r="AU139" s="319"/>
      <c r="AV139" s="320"/>
      <c r="AW139" s="319"/>
      <c r="AX139" s="319"/>
      <c r="AY139" s="321" t="s">
        <v>487</v>
      </c>
      <c r="AZ139" s="321" t="s">
        <v>476</v>
      </c>
      <c r="BA139" s="317" t="s">
        <v>473</v>
      </c>
      <c r="BB139" s="317">
        <v>42</v>
      </c>
      <c r="BC139" s="315">
        <v>1.4</v>
      </c>
      <c r="BD139" s="317" t="s">
        <v>474</v>
      </c>
      <c r="BE139" s="317">
        <v>7</v>
      </c>
      <c r="BF139" s="317"/>
    </row>
  </sheetData>
  <phoneticPr fontId="22" type="noConversion"/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130"/>
  <sheetViews>
    <sheetView tabSelected="1" topLeftCell="A68" zoomScale="119" workbookViewId="0">
      <selection activeCell="A88" sqref="A88:B130"/>
    </sheetView>
  </sheetViews>
  <sheetFormatPr baseColWidth="10" defaultColWidth="10.6640625" defaultRowHeight="15" x14ac:dyDescent="0.2"/>
  <cols>
    <col min="1" max="1" width="4.1640625" style="1" bestFit="1" customWidth="1"/>
    <col min="2" max="2" width="9.33203125" style="1" customWidth="1"/>
    <col min="3" max="3" width="23.6640625" style="1" bestFit="1" customWidth="1"/>
    <col min="4" max="4" width="13.83203125" style="1" customWidth="1"/>
    <col min="5" max="5" width="11.83203125" style="1" customWidth="1"/>
    <col min="6" max="6" width="7.6640625" style="1" customWidth="1"/>
    <col min="7" max="7" width="35.1640625" style="1" bestFit="1" customWidth="1"/>
    <col min="8" max="8" width="10.6640625" style="2" customWidth="1"/>
    <col min="9" max="9" width="10.6640625" style="3" customWidth="1"/>
    <col min="10" max="10" width="14" style="3" customWidth="1"/>
    <col min="11" max="11" width="13" style="3" customWidth="1"/>
    <col min="12" max="12" width="15.33203125" style="2" customWidth="1"/>
    <col min="13" max="13" width="24.83203125" style="4" customWidth="1"/>
    <col min="14" max="14" width="22.33203125" style="2" customWidth="1"/>
    <col min="15" max="15" width="20.83203125" style="3" customWidth="1"/>
    <col min="16" max="16" width="26" style="3" customWidth="1"/>
    <col min="17" max="17" width="23" style="3" customWidth="1"/>
    <col min="18" max="18" width="38.83203125" style="2" customWidth="1"/>
    <col min="19" max="19" width="36.83203125" style="4" customWidth="1"/>
    <col min="20" max="20" width="25.83203125" style="2" customWidth="1"/>
    <col min="21" max="21" width="37.83203125" style="2" customWidth="1"/>
    <col min="22" max="22" width="24.83203125" style="4" customWidth="1"/>
    <col min="23" max="23" width="22.33203125" style="2" customWidth="1"/>
    <col min="24" max="24" width="20.83203125" style="3" customWidth="1"/>
    <col min="25" max="25" width="26" style="3" customWidth="1"/>
    <col min="26" max="26" width="23" style="3" customWidth="1"/>
    <col min="27" max="27" width="38.83203125" style="2" customWidth="1"/>
    <col min="28" max="28" width="36.83203125" style="4" customWidth="1"/>
    <col min="29" max="29" width="25.83203125" style="2" customWidth="1"/>
    <col min="30" max="30" width="37.83203125" style="2" customWidth="1"/>
    <col min="31" max="31" width="17.83203125" style="4" customWidth="1"/>
    <col min="32" max="32" width="14.83203125" style="2" customWidth="1"/>
    <col min="33" max="33" width="18.83203125" style="3" customWidth="1"/>
    <col min="34" max="34" width="23.83203125" style="3" customWidth="1"/>
    <col min="35" max="35" width="23.83203125" style="2" customWidth="1"/>
    <col min="36" max="36" width="18.83203125" style="4" customWidth="1"/>
    <col min="37" max="37" width="16.1640625" style="2" customWidth="1"/>
    <col min="38" max="38" width="19.83203125" style="3" customWidth="1"/>
    <col min="39" max="39" width="24.83203125" style="3" customWidth="1"/>
    <col min="40" max="40" width="24.83203125" style="2" customWidth="1"/>
    <col min="41" max="41" width="21.6640625" style="310" bestFit="1" customWidth="1"/>
    <col min="42" max="42" width="23" style="310" bestFit="1" customWidth="1"/>
    <col min="43" max="43" width="24.5" style="310" bestFit="1" customWidth="1"/>
    <col min="44" max="44" width="25.83203125" style="310" bestFit="1" customWidth="1"/>
    <col min="45" max="45" width="46.83203125" style="7" bestFit="1" customWidth="1"/>
    <col min="46" max="46" width="51.83203125" bestFit="1" customWidth="1"/>
    <col min="47" max="47" width="46.33203125" bestFit="1" customWidth="1"/>
    <col min="48" max="48" width="35.5" style="7" bestFit="1" customWidth="1"/>
    <col min="49" max="49" width="38.33203125" style="5" bestFit="1" customWidth="1"/>
    <col min="50" max="50" width="82.83203125" style="5" bestFit="1" customWidth="1"/>
    <col min="51" max="51" width="8.83203125" style="5" bestFit="1" customWidth="1"/>
    <col min="52" max="52" width="11.5" style="7" bestFit="1" customWidth="1"/>
    <col min="53" max="53" width="8.83203125" style="277"/>
    <col min="54" max="57" width="8.83203125" style="1"/>
    <col min="58" max="58" width="31.5" style="1" bestFit="1" customWidth="1"/>
    <col min="59" max="59" width="11.6640625" style="1" bestFit="1" customWidth="1"/>
    <col min="60" max="60" width="31.5" style="271" bestFit="1" customWidth="1"/>
    <col min="61" max="16384" width="10.6640625" style="271"/>
  </cols>
  <sheetData>
    <row r="1" spans="1:99" ht="12" customHeight="1" x14ac:dyDescent="0.2">
      <c r="A1" s="1" t="s">
        <v>544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43" t="s">
        <v>7</v>
      </c>
      <c r="J1" s="343" t="s">
        <v>8</v>
      </c>
      <c r="K1" s="3" t="s">
        <v>9</v>
      </c>
      <c r="L1" s="2" t="s">
        <v>10</v>
      </c>
      <c r="M1" s="4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2" t="s">
        <v>16</v>
      </c>
      <c r="S1" s="4" t="s">
        <v>17</v>
      </c>
      <c r="T1" s="2" t="s">
        <v>18</v>
      </c>
      <c r="U1" s="2" t="s">
        <v>19</v>
      </c>
      <c r="V1" s="4" t="s">
        <v>20</v>
      </c>
      <c r="W1" s="2" t="s">
        <v>21</v>
      </c>
      <c r="X1" s="3" t="s">
        <v>22</v>
      </c>
      <c r="Y1" s="3" t="s">
        <v>23</v>
      </c>
      <c r="Z1" s="3" t="s">
        <v>24</v>
      </c>
      <c r="AA1" s="2" t="s">
        <v>25</v>
      </c>
      <c r="AB1" s="4" t="s">
        <v>26</v>
      </c>
      <c r="AC1" s="2" t="s">
        <v>27</v>
      </c>
      <c r="AD1" s="2" t="s">
        <v>28</v>
      </c>
      <c r="AE1" s="4" t="s">
        <v>29</v>
      </c>
      <c r="AF1" s="342" t="s">
        <v>30</v>
      </c>
      <c r="AG1" s="343" t="s">
        <v>31</v>
      </c>
      <c r="AH1" s="343" t="s">
        <v>32</v>
      </c>
      <c r="AI1" s="342" t="s">
        <v>33</v>
      </c>
      <c r="AJ1" s="344" t="s">
        <v>34</v>
      </c>
      <c r="AK1" s="342" t="s">
        <v>35</v>
      </c>
      <c r="AL1" s="343" t="s">
        <v>36</v>
      </c>
      <c r="AM1" s="3" t="s">
        <v>37</v>
      </c>
      <c r="AN1" s="2" t="s">
        <v>38</v>
      </c>
      <c r="AO1" s="307" t="s">
        <v>540</v>
      </c>
      <c r="AP1" s="307" t="s">
        <v>541</v>
      </c>
      <c r="AQ1" s="307" t="s">
        <v>542</v>
      </c>
      <c r="AR1" s="307" t="s">
        <v>543</v>
      </c>
      <c r="AS1" s="4" t="s">
        <v>453</v>
      </c>
      <c r="AT1" s="7" t="s">
        <v>454</v>
      </c>
      <c r="AU1" s="5" t="s">
        <v>455</v>
      </c>
      <c r="AV1" s="5" t="s">
        <v>457</v>
      </c>
      <c r="AW1" s="5" t="s">
        <v>456</v>
      </c>
      <c r="AX1" s="7" t="s">
        <v>452</v>
      </c>
      <c r="AY1" s="7" t="s">
        <v>485</v>
      </c>
      <c r="AZ1" s="1" t="s">
        <v>478</v>
      </c>
      <c r="BA1" s="1" t="s">
        <v>479</v>
      </c>
      <c r="BB1" s="4" t="s">
        <v>480</v>
      </c>
      <c r="BC1" s="2" t="s">
        <v>481</v>
      </c>
      <c r="BD1" s="1" t="s">
        <v>482</v>
      </c>
      <c r="BE1" s="1" t="s">
        <v>483</v>
      </c>
      <c r="BF1" s="321" t="s">
        <v>484</v>
      </c>
      <c r="BG1" s="270"/>
      <c r="BH1" s="270"/>
      <c r="BI1" s="270"/>
      <c r="BJ1" s="270"/>
      <c r="BK1" s="270"/>
      <c r="BL1" s="270"/>
      <c r="BM1" s="270"/>
      <c r="BN1" s="270"/>
      <c r="BO1" s="270"/>
      <c r="BP1" s="270"/>
      <c r="BQ1" s="270"/>
      <c r="BR1" s="270"/>
      <c r="BS1" s="270"/>
      <c r="BT1" s="270"/>
      <c r="BU1" s="270"/>
      <c r="BV1" s="270"/>
      <c r="BW1" s="270"/>
      <c r="BX1" s="270"/>
      <c r="BY1" s="270"/>
      <c r="BZ1" s="270"/>
      <c r="CA1" s="270"/>
      <c r="CB1" s="270"/>
      <c r="CC1" s="270"/>
      <c r="CD1" s="270"/>
      <c r="CE1" s="270"/>
      <c r="CF1" s="270"/>
      <c r="CG1" s="270"/>
      <c r="CH1" s="270"/>
      <c r="CI1" s="270"/>
      <c r="CJ1" s="270"/>
      <c r="CK1" s="270"/>
      <c r="CL1" s="270"/>
      <c r="CM1" s="270"/>
      <c r="CN1" s="270"/>
      <c r="CO1" s="270"/>
      <c r="CP1" s="270"/>
      <c r="CQ1" s="270"/>
      <c r="CR1" s="270"/>
      <c r="CS1" s="270"/>
      <c r="CT1" s="270"/>
    </row>
    <row r="2" spans="1:99" s="273" customFormat="1" ht="12" customHeight="1" x14ac:dyDescent="0.2">
      <c r="A2" s="8">
        <v>44</v>
      </c>
      <c r="B2" s="8" t="s">
        <v>39</v>
      </c>
      <c r="C2" s="8" t="s">
        <v>211</v>
      </c>
      <c r="D2" s="8" t="s">
        <v>41</v>
      </c>
      <c r="E2" s="8" t="s">
        <v>331</v>
      </c>
      <c r="F2" s="8" t="s">
        <v>391</v>
      </c>
      <c r="G2" s="8" t="s">
        <v>392</v>
      </c>
      <c r="H2" s="9">
        <v>360</v>
      </c>
      <c r="I2" s="10">
        <v>12.791</v>
      </c>
      <c r="J2" s="10">
        <v>3.5999999999999997E-2</v>
      </c>
      <c r="K2" s="10">
        <v>0.32</v>
      </c>
      <c r="L2" s="9">
        <v>48.8</v>
      </c>
      <c r="M2" s="11">
        <v>36</v>
      </c>
      <c r="N2" s="9">
        <v>58.1</v>
      </c>
      <c r="O2" s="10">
        <v>1.377</v>
      </c>
      <c r="P2" s="10">
        <v>2.4E-2</v>
      </c>
      <c r="Q2" s="10">
        <v>0.29199999999999998</v>
      </c>
      <c r="R2" s="9">
        <v>26.1</v>
      </c>
      <c r="S2" s="11">
        <v>5069</v>
      </c>
      <c r="T2" s="9">
        <v>13.4</v>
      </c>
      <c r="U2" s="9">
        <v>30.6</v>
      </c>
      <c r="V2" s="11">
        <v>27</v>
      </c>
      <c r="W2" s="9">
        <v>49.2</v>
      </c>
      <c r="X2" s="10">
        <v>1.673</v>
      </c>
      <c r="Y2" s="10">
        <v>3.4000000000000002E-2</v>
      </c>
      <c r="Z2" s="10">
        <v>0.32</v>
      </c>
      <c r="AA2" s="9">
        <v>10.9</v>
      </c>
      <c r="AB2" s="11">
        <v>4323</v>
      </c>
      <c r="AC2" s="9">
        <v>1.5</v>
      </c>
      <c r="AD2" s="9">
        <v>12.6</v>
      </c>
      <c r="AE2" s="11">
        <v>28</v>
      </c>
      <c r="AF2" s="9">
        <v>35.6</v>
      </c>
      <c r="AG2" s="10">
        <v>2.8090000000000002</v>
      </c>
      <c r="AH2" s="10">
        <v>7.9000000000000001E-2</v>
      </c>
      <c r="AI2" s="9">
        <v>1.2</v>
      </c>
      <c r="AJ2" s="11">
        <v>28</v>
      </c>
      <c r="AK2" s="9">
        <v>324.39999999999998</v>
      </c>
      <c r="AL2" s="10">
        <v>9.9819999999999993</v>
      </c>
      <c r="AM2" s="10">
        <v>3.1E-2</v>
      </c>
      <c r="AN2" s="9">
        <v>47.6</v>
      </c>
      <c r="AO2" s="308"/>
      <c r="AP2" s="308"/>
      <c r="AQ2" s="308"/>
      <c r="AR2" s="308"/>
      <c r="AS2" s="12">
        <f>Table2[[#This Row],[Object_A_._head_time]]+Table2[[#This Row],[Object_B_._head_time]]</f>
        <v>107.30000000000001</v>
      </c>
      <c r="AT2" s="12"/>
      <c r="AU2" s="12"/>
      <c r="AV2" s="13"/>
      <c r="AW2" s="12"/>
      <c r="AX2" s="308">
        <f>(Table2[[#This Row],[Object_A_._head_time]]/(Table2[[#This Row],[Object_A_._head_time]]+Table2[[#This Row],[Object_B_._head_time]]))</f>
        <v>0.54147250698974836</v>
      </c>
      <c r="AY2" s="8" t="s">
        <v>486</v>
      </c>
      <c r="AZ2" s="8" t="s">
        <v>472</v>
      </c>
      <c r="BA2" s="8" t="s">
        <v>473</v>
      </c>
      <c r="BB2" s="11">
        <v>182</v>
      </c>
      <c r="BC2" s="9">
        <v>6.0666666666666664</v>
      </c>
      <c r="BD2" s="8" t="s">
        <v>474</v>
      </c>
      <c r="BE2" s="27">
        <v>3</v>
      </c>
      <c r="BF2" s="8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270"/>
      <c r="BV2" s="270"/>
      <c r="BW2" s="270"/>
      <c r="BX2" s="270"/>
      <c r="BY2" s="270"/>
      <c r="BZ2" s="270"/>
      <c r="CA2" s="270"/>
      <c r="CB2" s="270"/>
      <c r="CC2" s="270"/>
      <c r="CD2" s="270"/>
      <c r="CE2" s="270"/>
      <c r="CF2" s="270"/>
      <c r="CG2" s="270"/>
      <c r="CH2" s="270"/>
      <c r="CI2" s="270"/>
      <c r="CJ2" s="270"/>
      <c r="CK2" s="270"/>
      <c r="CL2" s="270"/>
      <c r="CM2" s="270"/>
      <c r="CN2" s="270"/>
      <c r="CO2" s="270"/>
      <c r="CP2" s="270"/>
      <c r="CQ2" s="270"/>
      <c r="CR2" s="270"/>
      <c r="CS2" s="270"/>
      <c r="CT2" s="270"/>
      <c r="CU2" s="272"/>
    </row>
    <row r="3" spans="1:99" s="273" customFormat="1" ht="12" customHeight="1" x14ac:dyDescent="0.2">
      <c r="A3" s="8">
        <v>46</v>
      </c>
      <c r="B3" s="8" t="s">
        <v>45</v>
      </c>
      <c r="C3" s="8" t="s">
        <v>211</v>
      </c>
      <c r="D3" s="8" t="s">
        <v>46</v>
      </c>
      <c r="E3" s="8" t="s">
        <v>331</v>
      </c>
      <c r="F3" s="8" t="s">
        <v>393</v>
      </c>
      <c r="G3" s="8" t="s">
        <v>394</v>
      </c>
      <c r="H3" s="9">
        <v>360</v>
      </c>
      <c r="I3" s="10">
        <v>8.5229999999999997</v>
      </c>
      <c r="J3" s="10">
        <v>2.4E-2</v>
      </c>
      <c r="K3" s="10">
        <v>0.26900000000000002</v>
      </c>
      <c r="L3" s="9">
        <v>115.9</v>
      </c>
      <c r="M3" s="11">
        <v>15</v>
      </c>
      <c r="N3" s="9">
        <v>41.1</v>
      </c>
      <c r="O3" s="10">
        <v>1.022</v>
      </c>
      <c r="P3" s="10">
        <v>2.5000000000000001E-2</v>
      </c>
      <c r="Q3" s="10">
        <v>0.23799999999999999</v>
      </c>
      <c r="R3" s="9">
        <v>8.6</v>
      </c>
      <c r="S3" s="11">
        <v>3151</v>
      </c>
      <c r="T3" s="9">
        <v>14.9</v>
      </c>
      <c r="U3" s="9">
        <v>23.2</v>
      </c>
      <c r="V3" s="11">
        <v>23</v>
      </c>
      <c r="W3" s="9">
        <v>33.1</v>
      </c>
      <c r="X3" s="10">
        <v>1.0740000000000001</v>
      </c>
      <c r="Y3" s="10">
        <v>3.2000000000000001E-2</v>
      </c>
      <c r="Z3" s="10">
        <v>0.25800000000000001</v>
      </c>
      <c r="AA3" s="9">
        <v>13.6</v>
      </c>
      <c r="AB3" s="11">
        <v>2827</v>
      </c>
      <c r="AC3" s="9">
        <v>0.4</v>
      </c>
      <c r="AD3" s="9">
        <v>9.6</v>
      </c>
      <c r="AE3" s="11">
        <v>13</v>
      </c>
      <c r="AF3" s="9">
        <v>18.2</v>
      </c>
      <c r="AG3" s="10">
        <v>1.3420000000000001</v>
      </c>
      <c r="AH3" s="10">
        <v>7.3999999999999996E-2</v>
      </c>
      <c r="AI3" s="9">
        <v>0</v>
      </c>
      <c r="AJ3" s="11">
        <v>14</v>
      </c>
      <c r="AK3" s="9">
        <v>341.8</v>
      </c>
      <c r="AL3" s="10">
        <v>7.181</v>
      </c>
      <c r="AM3" s="10">
        <v>2.1000000000000001E-2</v>
      </c>
      <c r="AN3" s="9">
        <v>115.9</v>
      </c>
      <c r="AO3" s="308"/>
      <c r="AP3" s="308"/>
      <c r="AQ3" s="308"/>
      <c r="AR3" s="308"/>
      <c r="AS3" s="12">
        <f>Table2[[#This Row],[Object_A_._head_time]]+Table2[[#This Row],[Object_B_._head_time]]</f>
        <v>74.2</v>
      </c>
      <c r="AT3" s="12"/>
      <c r="AU3" s="12"/>
      <c r="AV3" s="13"/>
      <c r="AW3" s="12"/>
      <c r="AX3" s="308">
        <f>(Table2[[#This Row],[Object_A_._head_time]]/(Table2[[#This Row],[Object_A_._head_time]]+Table2[[#This Row],[Object_B_._head_time]]))</f>
        <v>0.5539083557951483</v>
      </c>
      <c r="AY3" s="8" t="s">
        <v>487</v>
      </c>
      <c r="AZ3" s="8" t="s">
        <v>472</v>
      </c>
      <c r="BA3" s="8" t="s">
        <v>475</v>
      </c>
      <c r="BB3" s="11">
        <v>182</v>
      </c>
      <c r="BC3" s="9">
        <v>6.0666666666666664</v>
      </c>
      <c r="BD3" s="8" t="s">
        <v>474</v>
      </c>
      <c r="BE3" s="27">
        <v>1</v>
      </c>
      <c r="BF3" s="8"/>
      <c r="BG3" s="270"/>
      <c r="BH3" s="270"/>
      <c r="BI3" s="270"/>
      <c r="BJ3" s="270"/>
      <c r="BK3" s="270"/>
      <c r="BL3" s="270"/>
      <c r="BM3" s="270"/>
      <c r="BN3" s="270"/>
      <c r="BO3" s="270"/>
      <c r="BP3" s="270"/>
      <c r="BQ3" s="270"/>
      <c r="BR3" s="270"/>
      <c r="BS3" s="270"/>
      <c r="BT3" s="270"/>
      <c r="BU3" s="270"/>
      <c r="BV3" s="270"/>
      <c r="BW3" s="270"/>
      <c r="BX3" s="270"/>
      <c r="BY3" s="270"/>
      <c r="BZ3" s="270"/>
      <c r="CA3" s="270"/>
      <c r="CB3" s="270"/>
      <c r="CC3" s="270"/>
      <c r="CD3" s="270"/>
      <c r="CE3" s="270"/>
      <c r="CF3" s="270"/>
      <c r="CG3" s="270"/>
      <c r="CH3" s="270"/>
      <c r="CI3" s="270"/>
      <c r="CJ3" s="270"/>
      <c r="CK3" s="270"/>
      <c r="CL3" s="270"/>
      <c r="CM3" s="270"/>
      <c r="CN3" s="270"/>
      <c r="CO3" s="270"/>
      <c r="CP3" s="270"/>
      <c r="CQ3" s="270"/>
      <c r="CR3" s="270"/>
      <c r="CS3" s="270"/>
      <c r="CT3" s="270"/>
      <c r="CU3" s="272"/>
    </row>
    <row r="4" spans="1:99" s="273" customFormat="1" ht="12" customHeight="1" x14ac:dyDescent="0.2">
      <c r="A4" s="8">
        <v>45</v>
      </c>
      <c r="B4" s="8" t="s">
        <v>48</v>
      </c>
      <c r="C4" s="8" t="s">
        <v>211</v>
      </c>
      <c r="D4" s="8" t="s">
        <v>49</v>
      </c>
      <c r="E4" s="8" t="s">
        <v>331</v>
      </c>
      <c r="F4" s="8" t="s">
        <v>393</v>
      </c>
      <c r="G4" s="8" t="s">
        <v>395</v>
      </c>
      <c r="H4" s="9">
        <v>360</v>
      </c>
      <c r="I4" s="10">
        <v>11.183</v>
      </c>
      <c r="J4" s="10">
        <v>3.1E-2</v>
      </c>
      <c r="K4" s="10">
        <v>0.27200000000000002</v>
      </c>
      <c r="L4" s="9">
        <v>112.4</v>
      </c>
      <c r="M4" s="11">
        <v>27</v>
      </c>
      <c r="N4" s="9">
        <v>60</v>
      </c>
      <c r="O4" s="10">
        <v>1.6830000000000001</v>
      </c>
      <c r="P4" s="10">
        <v>2.8000000000000001E-2</v>
      </c>
      <c r="Q4" s="10">
        <v>0.27200000000000002</v>
      </c>
      <c r="R4" s="9">
        <v>8.1999999999999993</v>
      </c>
      <c r="S4" s="11">
        <v>3990</v>
      </c>
      <c r="T4" s="9">
        <v>17.5</v>
      </c>
      <c r="U4" s="9">
        <v>8.4</v>
      </c>
      <c r="V4" s="11">
        <v>30</v>
      </c>
      <c r="W4" s="9">
        <v>51.6</v>
      </c>
      <c r="X4" s="10">
        <v>2.7029999999999998</v>
      </c>
      <c r="Y4" s="10">
        <v>5.1999999999999998E-2</v>
      </c>
      <c r="Z4" s="10">
        <v>0.23499999999999999</v>
      </c>
      <c r="AA4" s="9">
        <v>12.8</v>
      </c>
      <c r="AB4" s="11">
        <v>3998</v>
      </c>
      <c r="AC4" s="9">
        <v>0</v>
      </c>
      <c r="AD4" s="9">
        <v>7</v>
      </c>
      <c r="AE4" s="11">
        <v>18</v>
      </c>
      <c r="AF4" s="9">
        <v>26.7</v>
      </c>
      <c r="AG4" s="10">
        <v>1.806</v>
      </c>
      <c r="AH4" s="10">
        <v>6.8000000000000005E-2</v>
      </c>
      <c r="AI4" s="9">
        <v>0</v>
      </c>
      <c r="AJ4" s="11">
        <v>19</v>
      </c>
      <c r="AK4" s="9">
        <v>333.3</v>
      </c>
      <c r="AL4" s="10">
        <v>9.3770000000000007</v>
      </c>
      <c r="AM4" s="10">
        <v>2.8000000000000001E-2</v>
      </c>
      <c r="AN4" s="9">
        <v>112.4</v>
      </c>
      <c r="AO4" s="308"/>
      <c r="AP4" s="308"/>
      <c r="AQ4" s="308"/>
      <c r="AR4" s="308"/>
      <c r="AS4" s="12">
        <f>Table2[[#This Row],[Object_A_._head_time]]+Table2[[#This Row],[Object_B_._head_time]]</f>
        <v>111.6</v>
      </c>
      <c r="AT4" s="12"/>
      <c r="AU4" s="12"/>
      <c r="AV4" s="13"/>
      <c r="AW4" s="12"/>
      <c r="AX4" s="308">
        <f>(Table2[[#This Row],[Object_A_._head_time]]/(Table2[[#This Row],[Object_A_._head_time]]+Table2[[#This Row],[Object_B_._head_time]]))</f>
        <v>0.53763440860215062</v>
      </c>
      <c r="AY4" s="8" t="s">
        <v>486</v>
      </c>
      <c r="AZ4" s="8" t="s">
        <v>476</v>
      </c>
      <c r="BA4" s="8" t="s">
        <v>475</v>
      </c>
      <c r="BB4" s="11">
        <v>177</v>
      </c>
      <c r="BC4" s="9">
        <v>5.9</v>
      </c>
      <c r="BD4" s="9" t="s">
        <v>474</v>
      </c>
      <c r="BE4" s="27">
        <v>5</v>
      </c>
      <c r="BF4" s="8" t="s">
        <v>458</v>
      </c>
      <c r="BG4" s="270"/>
      <c r="BH4" s="270"/>
      <c r="BI4" s="270"/>
      <c r="BJ4" s="270"/>
      <c r="BK4" s="270"/>
      <c r="BL4" s="270"/>
      <c r="BM4" s="270"/>
      <c r="BN4" s="270"/>
      <c r="BO4" s="270"/>
      <c r="BP4" s="270"/>
      <c r="BQ4" s="270"/>
      <c r="BR4" s="270"/>
      <c r="BS4" s="270"/>
      <c r="BT4" s="270"/>
      <c r="BU4" s="270"/>
      <c r="BV4" s="270"/>
      <c r="BW4" s="270"/>
      <c r="BX4" s="270"/>
      <c r="BY4" s="270"/>
      <c r="BZ4" s="270"/>
      <c r="CA4" s="270"/>
      <c r="CB4" s="270"/>
      <c r="CC4" s="270"/>
      <c r="CD4" s="270"/>
      <c r="CE4" s="270"/>
      <c r="CF4" s="270"/>
      <c r="CG4" s="270"/>
      <c r="CH4" s="270"/>
      <c r="CI4" s="270"/>
      <c r="CJ4" s="270"/>
      <c r="CK4" s="270"/>
      <c r="CL4" s="270"/>
      <c r="CM4" s="270"/>
      <c r="CN4" s="270"/>
      <c r="CO4" s="270"/>
      <c r="CP4" s="270"/>
      <c r="CQ4" s="270"/>
      <c r="CR4" s="270"/>
      <c r="CS4" s="270"/>
      <c r="CT4" s="270"/>
      <c r="CU4" s="272"/>
    </row>
    <row r="5" spans="1:99" s="273" customFormat="1" ht="12" customHeight="1" x14ac:dyDescent="0.2">
      <c r="A5" s="8">
        <v>47</v>
      </c>
      <c r="B5" s="8" t="s">
        <v>52</v>
      </c>
      <c r="C5" s="8" t="s">
        <v>211</v>
      </c>
      <c r="D5" s="8" t="s">
        <v>53</v>
      </c>
      <c r="E5" s="8" t="s">
        <v>331</v>
      </c>
      <c r="F5" s="8" t="s">
        <v>393</v>
      </c>
      <c r="G5" s="8" t="s">
        <v>396</v>
      </c>
      <c r="H5" s="9">
        <v>360</v>
      </c>
      <c r="I5" s="10">
        <v>13.507999999999999</v>
      </c>
      <c r="J5" s="10">
        <v>3.7999999999999999E-2</v>
      </c>
      <c r="K5" s="10">
        <v>0.33300000000000002</v>
      </c>
      <c r="L5" s="9">
        <v>71.5</v>
      </c>
      <c r="M5" s="11">
        <v>24</v>
      </c>
      <c r="N5" s="9">
        <v>33.200000000000003</v>
      </c>
      <c r="O5" s="10">
        <v>1.7549999999999999</v>
      </c>
      <c r="P5" s="10">
        <v>5.2999999999999999E-2</v>
      </c>
      <c r="Q5" s="10">
        <v>0.32300000000000001</v>
      </c>
      <c r="R5" s="9">
        <v>7.8</v>
      </c>
      <c r="S5" s="11">
        <v>3878</v>
      </c>
      <c r="T5" s="9">
        <v>1.3</v>
      </c>
      <c r="U5" s="9">
        <v>8.5</v>
      </c>
      <c r="V5" s="11">
        <v>33</v>
      </c>
      <c r="W5" s="9">
        <v>46.6</v>
      </c>
      <c r="X5" s="10">
        <v>1.7490000000000001</v>
      </c>
      <c r="Y5" s="10">
        <v>3.7999999999999999E-2</v>
      </c>
      <c r="Z5" s="10">
        <v>0.28499999999999998</v>
      </c>
      <c r="AA5" s="9">
        <v>22.8</v>
      </c>
      <c r="AB5" s="11">
        <v>4036</v>
      </c>
      <c r="AC5" s="9">
        <v>10.5</v>
      </c>
      <c r="AD5" s="9">
        <v>21.4</v>
      </c>
      <c r="AE5" s="11">
        <v>20</v>
      </c>
      <c r="AF5" s="9">
        <v>26.6</v>
      </c>
      <c r="AG5" s="10">
        <v>2.3780000000000001</v>
      </c>
      <c r="AH5" s="10">
        <v>8.8999999999999996E-2</v>
      </c>
      <c r="AI5" s="9">
        <v>0</v>
      </c>
      <c r="AJ5" s="11">
        <v>20</v>
      </c>
      <c r="AK5" s="9">
        <v>333.4</v>
      </c>
      <c r="AL5" s="10">
        <v>11.13</v>
      </c>
      <c r="AM5" s="10">
        <v>3.3000000000000002E-2</v>
      </c>
      <c r="AN5" s="9">
        <v>71.5</v>
      </c>
      <c r="AO5" s="308"/>
      <c r="AP5" s="308"/>
      <c r="AQ5" s="308"/>
      <c r="AR5" s="308"/>
      <c r="AS5" s="12">
        <f>Table2[[#This Row],[Object_A_._head_time]]+Table2[[#This Row],[Object_B_._head_time]]</f>
        <v>79.800000000000011</v>
      </c>
      <c r="AT5" s="12"/>
      <c r="AU5" s="12"/>
      <c r="AV5" s="13"/>
      <c r="AW5" s="12"/>
      <c r="AX5" s="308">
        <f>(Table2[[#This Row],[Object_A_._head_time]]/(Table2[[#This Row],[Object_A_._head_time]]+Table2[[#This Row],[Object_B_._head_time]]))</f>
        <v>0.41604010025062654</v>
      </c>
      <c r="AY5" s="8" t="s">
        <v>486</v>
      </c>
      <c r="AZ5" s="8" t="s">
        <v>476</v>
      </c>
      <c r="BA5" s="8" t="s">
        <v>473</v>
      </c>
      <c r="BB5" s="11">
        <v>177</v>
      </c>
      <c r="BC5" s="9">
        <v>5.9</v>
      </c>
      <c r="BD5" s="9" t="s">
        <v>477</v>
      </c>
      <c r="BE5" s="27">
        <v>8</v>
      </c>
      <c r="BF5" s="8"/>
      <c r="BG5" s="270"/>
      <c r="BH5" s="270"/>
      <c r="BI5" s="270"/>
      <c r="BJ5" s="270"/>
      <c r="BK5" s="270"/>
      <c r="BL5" s="270"/>
      <c r="BM5" s="270"/>
      <c r="BN5" s="270"/>
      <c r="BO5" s="270"/>
      <c r="BP5" s="270"/>
      <c r="BQ5" s="270"/>
      <c r="BR5" s="270"/>
      <c r="BS5" s="270"/>
      <c r="BT5" s="270"/>
      <c r="BU5" s="270"/>
      <c r="BV5" s="270"/>
      <c r="BW5" s="270"/>
      <c r="BX5" s="270"/>
      <c r="BY5" s="270"/>
      <c r="BZ5" s="270"/>
      <c r="CA5" s="270"/>
      <c r="CB5" s="270"/>
      <c r="CC5" s="270"/>
      <c r="CD5" s="270"/>
      <c r="CE5" s="270"/>
      <c r="CF5" s="270"/>
      <c r="CG5" s="270"/>
      <c r="CH5" s="270"/>
      <c r="CI5" s="270"/>
      <c r="CJ5" s="270"/>
      <c r="CK5" s="270"/>
      <c r="CL5" s="270"/>
      <c r="CM5" s="270"/>
      <c r="CN5" s="270"/>
      <c r="CO5" s="270"/>
      <c r="CP5" s="270"/>
      <c r="CQ5" s="270"/>
      <c r="CR5" s="270"/>
      <c r="CS5" s="270"/>
      <c r="CT5" s="270"/>
      <c r="CU5" s="272"/>
    </row>
    <row r="6" spans="1:99" s="273" customFormat="1" ht="12" customHeight="1" x14ac:dyDescent="0.2">
      <c r="A6" s="8">
        <v>50</v>
      </c>
      <c r="B6" s="8" t="s">
        <v>55</v>
      </c>
      <c r="C6" s="8" t="s">
        <v>211</v>
      </c>
      <c r="D6" s="8" t="s">
        <v>41</v>
      </c>
      <c r="E6" s="8" t="s">
        <v>331</v>
      </c>
      <c r="F6" s="8" t="s">
        <v>397</v>
      </c>
      <c r="G6" s="8" t="s">
        <v>398</v>
      </c>
      <c r="H6" s="9">
        <v>360</v>
      </c>
      <c r="I6" s="10">
        <v>17.352</v>
      </c>
      <c r="J6" s="10">
        <v>4.8000000000000001E-2</v>
      </c>
      <c r="K6" s="10">
        <v>0.76300000000000001</v>
      </c>
      <c r="L6" s="9">
        <v>19.600000000000001</v>
      </c>
      <c r="M6" s="11">
        <v>45</v>
      </c>
      <c r="N6" s="9">
        <v>56.3</v>
      </c>
      <c r="O6" s="10">
        <v>2.39</v>
      </c>
      <c r="P6" s="10">
        <v>4.2000000000000003E-2</v>
      </c>
      <c r="Q6" s="10">
        <v>0.31</v>
      </c>
      <c r="R6" s="9">
        <v>13</v>
      </c>
      <c r="S6" s="11">
        <v>5010</v>
      </c>
      <c r="T6" s="9">
        <v>0</v>
      </c>
      <c r="U6" s="9">
        <v>17.3</v>
      </c>
      <c r="V6" s="11">
        <v>65</v>
      </c>
      <c r="W6" s="9">
        <v>66.900000000000006</v>
      </c>
      <c r="X6" s="10">
        <v>2.5329999999999999</v>
      </c>
      <c r="Y6" s="10">
        <v>3.7999999999999999E-2</v>
      </c>
      <c r="Z6" s="10">
        <v>0.36</v>
      </c>
      <c r="AA6" s="9">
        <v>11.1</v>
      </c>
      <c r="AB6" s="11">
        <v>6716</v>
      </c>
      <c r="AC6" s="9">
        <v>2.9</v>
      </c>
      <c r="AD6" s="9">
        <v>16.899999999999999</v>
      </c>
      <c r="AE6" s="11">
        <v>35</v>
      </c>
      <c r="AF6" s="9">
        <v>48.8</v>
      </c>
      <c r="AG6" s="10">
        <v>4.0519999999999996</v>
      </c>
      <c r="AH6" s="10">
        <v>8.3000000000000004E-2</v>
      </c>
      <c r="AI6" s="9">
        <v>0</v>
      </c>
      <c r="AJ6" s="11">
        <v>35</v>
      </c>
      <c r="AK6" s="9">
        <v>311.2</v>
      </c>
      <c r="AL6" s="10">
        <v>13.298999999999999</v>
      </c>
      <c r="AM6" s="10">
        <v>4.2999999999999997E-2</v>
      </c>
      <c r="AN6" s="9">
        <v>19.600000000000001</v>
      </c>
      <c r="AO6" s="308"/>
      <c r="AP6" s="308"/>
      <c r="AQ6" s="308"/>
      <c r="AR6" s="308"/>
      <c r="AS6" s="12">
        <f>Table2[[#This Row],[Object_A_._head_time]]+Table2[[#This Row],[Object_B_._head_time]]</f>
        <v>123.2</v>
      </c>
      <c r="AT6" s="12"/>
      <c r="AU6" s="12"/>
      <c r="AV6" s="13"/>
      <c r="AW6" s="12"/>
      <c r="AX6" s="308">
        <f>(Table2[[#This Row],[Object_A_._head_time]]/(Table2[[#This Row],[Object_A_._head_time]]+Table2[[#This Row],[Object_B_._head_time]]))</f>
        <v>0.45698051948051943</v>
      </c>
      <c r="AY6" s="8" t="s">
        <v>486</v>
      </c>
      <c r="AZ6" s="8" t="s">
        <v>476</v>
      </c>
      <c r="BA6" s="8" t="s">
        <v>473</v>
      </c>
      <c r="BB6" s="11">
        <v>177</v>
      </c>
      <c r="BC6" s="9">
        <v>5.9</v>
      </c>
      <c r="BD6" s="9" t="s">
        <v>474</v>
      </c>
      <c r="BE6" s="27">
        <v>7</v>
      </c>
      <c r="BF6" s="8" t="s">
        <v>458</v>
      </c>
      <c r="BG6" s="270"/>
      <c r="BH6" s="270"/>
      <c r="BI6" s="270"/>
      <c r="BJ6" s="270"/>
      <c r="BK6" s="270"/>
      <c r="BL6" s="270"/>
      <c r="BM6" s="270"/>
      <c r="BN6" s="270"/>
      <c r="BO6" s="270"/>
      <c r="BP6" s="270"/>
      <c r="BQ6" s="270"/>
      <c r="BR6" s="270"/>
      <c r="BS6" s="270"/>
      <c r="BT6" s="270"/>
      <c r="BU6" s="270"/>
      <c r="BV6" s="270"/>
      <c r="BW6" s="270"/>
      <c r="BX6" s="270"/>
      <c r="BY6" s="270"/>
      <c r="BZ6" s="270"/>
      <c r="CA6" s="270"/>
      <c r="CB6" s="270"/>
      <c r="CC6" s="270"/>
      <c r="CD6" s="270"/>
      <c r="CE6" s="270"/>
      <c r="CF6" s="270"/>
      <c r="CG6" s="270"/>
      <c r="CH6" s="270"/>
      <c r="CI6" s="270"/>
      <c r="CJ6" s="270"/>
      <c r="CK6" s="270"/>
      <c r="CL6" s="270"/>
      <c r="CM6" s="270"/>
      <c r="CN6" s="270"/>
      <c r="CO6" s="270"/>
      <c r="CP6" s="270"/>
      <c r="CQ6" s="270"/>
      <c r="CR6" s="270"/>
      <c r="CS6" s="270"/>
      <c r="CT6" s="270"/>
      <c r="CU6" s="272"/>
    </row>
    <row r="7" spans="1:99" s="273" customFormat="1" ht="12" customHeight="1" x14ac:dyDescent="0.2">
      <c r="A7" s="8">
        <v>48</v>
      </c>
      <c r="B7" s="8" t="s">
        <v>58</v>
      </c>
      <c r="C7" s="8" t="s">
        <v>211</v>
      </c>
      <c r="D7" s="8" t="s">
        <v>46</v>
      </c>
      <c r="E7" s="8" t="s">
        <v>331</v>
      </c>
      <c r="F7" s="8" t="s">
        <v>397</v>
      </c>
      <c r="G7" s="8" t="s">
        <v>399</v>
      </c>
      <c r="H7" s="9">
        <v>360</v>
      </c>
      <c r="I7" s="10">
        <v>11.645</v>
      </c>
      <c r="J7" s="10">
        <v>3.2000000000000001E-2</v>
      </c>
      <c r="K7" s="10">
        <v>0.29899999999999999</v>
      </c>
      <c r="L7" s="9">
        <v>126</v>
      </c>
      <c r="M7" s="11">
        <v>26</v>
      </c>
      <c r="N7" s="9">
        <v>57.8</v>
      </c>
      <c r="O7" s="10">
        <v>1.387</v>
      </c>
      <c r="P7" s="10">
        <v>2.4E-2</v>
      </c>
      <c r="Q7" s="10">
        <v>0.28399999999999997</v>
      </c>
      <c r="R7" s="9">
        <v>37.200000000000003</v>
      </c>
      <c r="S7" s="11">
        <v>4008</v>
      </c>
      <c r="T7" s="9">
        <v>32.1</v>
      </c>
      <c r="U7" s="9">
        <v>29</v>
      </c>
      <c r="V7" s="11">
        <v>40</v>
      </c>
      <c r="W7" s="9">
        <v>36.5</v>
      </c>
      <c r="X7" s="10">
        <v>1.9059999999999999</v>
      </c>
      <c r="Y7" s="10">
        <v>5.1999999999999998E-2</v>
      </c>
      <c r="Z7" s="10">
        <v>0.247</v>
      </c>
      <c r="AA7" s="9">
        <v>8</v>
      </c>
      <c r="AB7" s="11">
        <v>3469</v>
      </c>
      <c r="AC7" s="9">
        <v>0.8</v>
      </c>
      <c r="AD7" s="9">
        <v>8.8000000000000007</v>
      </c>
      <c r="AE7" s="11">
        <v>16</v>
      </c>
      <c r="AF7" s="9">
        <v>24.7</v>
      </c>
      <c r="AG7" s="10">
        <v>2.4510000000000001</v>
      </c>
      <c r="AH7" s="10">
        <v>9.9000000000000005E-2</v>
      </c>
      <c r="AI7" s="9">
        <v>0</v>
      </c>
      <c r="AJ7" s="11">
        <v>16</v>
      </c>
      <c r="AK7" s="9">
        <v>335.3</v>
      </c>
      <c r="AL7" s="10">
        <v>9.1940000000000008</v>
      </c>
      <c r="AM7" s="10">
        <v>2.7E-2</v>
      </c>
      <c r="AN7" s="9">
        <v>126</v>
      </c>
      <c r="AO7" s="308"/>
      <c r="AP7" s="308"/>
      <c r="AQ7" s="308"/>
      <c r="AR7" s="308"/>
      <c r="AS7" s="12">
        <f>Table2[[#This Row],[Object_A_._head_time]]+Table2[[#This Row],[Object_B_._head_time]]</f>
        <v>94.3</v>
      </c>
      <c r="AT7" s="12"/>
      <c r="AU7" s="12"/>
      <c r="AV7" s="13"/>
      <c r="AW7" s="12"/>
      <c r="AX7" s="308">
        <f>(Table2[[#This Row],[Object_A_._head_time]]/(Table2[[#This Row],[Object_A_._head_time]]+Table2[[#This Row],[Object_B_._head_time]]))</f>
        <v>0.61293743372216325</v>
      </c>
      <c r="AY7" s="8" t="s">
        <v>487</v>
      </c>
      <c r="AZ7" s="8" t="s">
        <v>476</v>
      </c>
      <c r="BA7" s="8" t="s">
        <v>473</v>
      </c>
      <c r="BB7" s="11">
        <v>177</v>
      </c>
      <c r="BC7" s="9">
        <v>5.9</v>
      </c>
      <c r="BD7" s="9" t="s">
        <v>477</v>
      </c>
      <c r="BE7" s="27">
        <v>8</v>
      </c>
      <c r="BF7" s="8"/>
      <c r="BG7" s="270"/>
      <c r="BH7" s="270"/>
      <c r="BI7" s="270"/>
      <c r="BJ7" s="270"/>
      <c r="BK7" s="270"/>
      <c r="BL7" s="270"/>
      <c r="BM7" s="270"/>
      <c r="BN7" s="270"/>
      <c r="BO7" s="270"/>
      <c r="BP7" s="270"/>
      <c r="BQ7" s="270"/>
      <c r="BR7" s="270"/>
      <c r="BS7" s="270"/>
      <c r="BT7" s="270"/>
      <c r="BU7" s="270"/>
      <c r="BV7" s="270"/>
      <c r="BW7" s="270"/>
      <c r="BX7" s="270"/>
      <c r="BY7" s="270"/>
      <c r="BZ7" s="270"/>
      <c r="CA7" s="270"/>
      <c r="CB7" s="270"/>
      <c r="CC7" s="270"/>
      <c r="CD7" s="270"/>
      <c r="CE7" s="270"/>
      <c r="CF7" s="270"/>
      <c r="CG7" s="270"/>
      <c r="CH7" s="270"/>
      <c r="CI7" s="270"/>
      <c r="CJ7" s="270"/>
      <c r="CK7" s="270"/>
      <c r="CL7" s="270"/>
      <c r="CM7" s="270"/>
      <c r="CN7" s="270"/>
      <c r="CO7" s="270"/>
      <c r="CP7" s="270"/>
      <c r="CQ7" s="270"/>
      <c r="CR7" s="270"/>
      <c r="CS7" s="270"/>
      <c r="CT7" s="270"/>
      <c r="CU7" s="272"/>
    </row>
    <row r="8" spans="1:99" s="273" customFormat="1" ht="12" customHeight="1" x14ac:dyDescent="0.2">
      <c r="A8" s="8">
        <v>49</v>
      </c>
      <c r="B8" s="8" t="s">
        <v>60</v>
      </c>
      <c r="C8" s="8" t="s">
        <v>211</v>
      </c>
      <c r="D8" s="8" t="s">
        <v>49</v>
      </c>
      <c r="E8" s="8" t="s">
        <v>331</v>
      </c>
      <c r="F8" s="8" t="s">
        <v>397</v>
      </c>
      <c r="G8" s="8" t="s">
        <v>400</v>
      </c>
      <c r="H8" s="9">
        <v>360</v>
      </c>
      <c r="I8" s="10">
        <v>14.446999999999999</v>
      </c>
      <c r="J8" s="10">
        <v>0.04</v>
      </c>
      <c r="K8" s="10">
        <v>0.28399999999999997</v>
      </c>
      <c r="L8" s="9">
        <v>50.6</v>
      </c>
      <c r="M8" s="11">
        <v>27</v>
      </c>
      <c r="N8" s="9">
        <v>41.9</v>
      </c>
      <c r="O8" s="10">
        <v>1.611</v>
      </c>
      <c r="P8" s="10">
        <v>3.7999999999999999E-2</v>
      </c>
      <c r="Q8" s="10">
        <v>0.255</v>
      </c>
      <c r="R8" s="9">
        <v>17.5</v>
      </c>
      <c r="S8" s="11">
        <v>2371</v>
      </c>
      <c r="T8" s="9">
        <v>1.4</v>
      </c>
      <c r="U8" s="9">
        <v>19.399999999999999</v>
      </c>
      <c r="V8" s="11">
        <v>31</v>
      </c>
      <c r="W8" s="9">
        <v>38.1</v>
      </c>
      <c r="X8" s="10">
        <v>2.0670000000000002</v>
      </c>
      <c r="Y8" s="10">
        <v>5.3999999999999999E-2</v>
      </c>
      <c r="Z8" s="10">
        <v>0.251</v>
      </c>
      <c r="AA8" s="9">
        <v>7.1</v>
      </c>
      <c r="AB8" s="11">
        <v>2984</v>
      </c>
      <c r="AC8" s="9">
        <v>1.1000000000000001</v>
      </c>
      <c r="AD8" s="9">
        <v>10.8</v>
      </c>
      <c r="AE8" s="11">
        <v>22</v>
      </c>
      <c r="AF8" s="9">
        <v>85.3</v>
      </c>
      <c r="AG8" s="10">
        <v>3.214</v>
      </c>
      <c r="AH8" s="10">
        <v>3.7999999999999999E-2</v>
      </c>
      <c r="AI8" s="9">
        <v>18.2</v>
      </c>
      <c r="AJ8" s="11">
        <v>21</v>
      </c>
      <c r="AK8" s="9">
        <v>274.7</v>
      </c>
      <c r="AL8" s="10">
        <v>11.233000000000001</v>
      </c>
      <c r="AM8" s="10">
        <v>4.1000000000000002E-2</v>
      </c>
      <c r="AN8" s="9">
        <v>32.4</v>
      </c>
      <c r="AO8" s="308"/>
      <c r="AP8" s="308"/>
      <c r="AQ8" s="308"/>
      <c r="AR8" s="308"/>
      <c r="AS8" s="12">
        <f>Table2[[#This Row],[Object_A_._head_time]]+Table2[[#This Row],[Object_B_._head_time]]</f>
        <v>80</v>
      </c>
      <c r="AT8" s="12"/>
      <c r="AU8" s="12"/>
      <c r="AV8" s="13"/>
      <c r="AW8" s="12"/>
      <c r="AX8" s="308">
        <f>(Table2[[#This Row],[Object_A_._head_time]]/(Table2[[#This Row],[Object_A_._head_time]]+Table2[[#This Row],[Object_B_._head_time]]))</f>
        <v>0.52374999999999994</v>
      </c>
      <c r="AY8" s="8" t="s">
        <v>487</v>
      </c>
      <c r="AZ8" s="8" t="s">
        <v>476</v>
      </c>
      <c r="BA8" s="8" t="s">
        <v>475</v>
      </c>
      <c r="BB8" s="11">
        <v>177</v>
      </c>
      <c r="BC8" s="9">
        <v>5.9</v>
      </c>
      <c r="BD8" s="9" t="s">
        <v>474</v>
      </c>
      <c r="BE8" s="27">
        <v>5</v>
      </c>
      <c r="BF8" s="8"/>
      <c r="BG8" s="270"/>
      <c r="BH8" s="270"/>
      <c r="BI8" s="270"/>
      <c r="BJ8" s="270"/>
      <c r="BK8" s="270"/>
      <c r="BL8" s="270"/>
      <c r="BM8" s="270"/>
      <c r="BN8" s="270"/>
      <c r="BO8" s="270"/>
      <c r="BP8" s="270"/>
      <c r="BQ8" s="270"/>
      <c r="BR8" s="270"/>
      <c r="BS8" s="270"/>
      <c r="BT8" s="270"/>
      <c r="BU8" s="270"/>
      <c r="BV8" s="270"/>
      <c r="BW8" s="270"/>
      <c r="BX8" s="270"/>
      <c r="BY8" s="270"/>
      <c r="BZ8" s="270"/>
      <c r="CA8" s="270"/>
      <c r="CB8" s="270"/>
      <c r="CC8" s="270"/>
      <c r="CD8" s="270"/>
      <c r="CE8" s="270"/>
      <c r="CF8" s="270"/>
      <c r="CG8" s="270"/>
      <c r="CH8" s="270"/>
      <c r="CI8" s="270"/>
      <c r="CJ8" s="270"/>
      <c r="CK8" s="270"/>
      <c r="CL8" s="270"/>
      <c r="CM8" s="270"/>
      <c r="CN8" s="270"/>
      <c r="CO8" s="270"/>
      <c r="CP8" s="270"/>
      <c r="CQ8" s="270"/>
      <c r="CR8" s="270"/>
      <c r="CS8" s="270"/>
      <c r="CT8" s="270"/>
      <c r="CU8" s="272"/>
    </row>
    <row r="9" spans="1:99" s="273" customFormat="1" ht="12" customHeight="1" x14ac:dyDescent="0.2">
      <c r="A9" s="8">
        <v>51</v>
      </c>
      <c r="B9" s="8" t="s">
        <v>62</v>
      </c>
      <c r="C9" s="8" t="s">
        <v>211</v>
      </c>
      <c r="D9" s="8" t="s">
        <v>53</v>
      </c>
      <c r="E9" s="8" t="s">
        <v>331</v>
      </c>
      <c r="F9" s="8" t="s">
        <v>401</v>
      </c>
      <c r="G9" s="8" t="s">
        <v>402</v>
      </c>
      <c r="H9" s="9">
        <v>360</v>
      </c>
      <c r="I9" s="10">
        <v>14.986000000000001</v>
      </c>
      <c r="J9" s="10">
        <v>4.2000000000000003E-2</v>
      </c>
      <c r="K9" s="10">
        <v>0.3</v>
      </c>
      <c r="L9" s="9">
        <v>33</v>
      </c>
      <c r="M9" s="11">
        <v>19</v>
      </c>
      <c r="N9" s="9">
        <v>23.6</v>
      </c>
      <c r="O9" s="10">
        <v>1.2190000000000001</v>
      </c>
      <c r="P9" s="10">
        <v>5.1999999999999998E-2</v>
      </c>
      <c r="Q9" s="10">
        <v>0.27400000000000002</v>
      </c>
      <c r="R9" s="9">
        <v>4.0999999999999996</v>
      </c>
      <c r="S9" s="11">
        <v>2113</v>
      </c>
      <c r="T9" s="9">
        <v>0</v>
      </c>
      <c r="U9" s="9">
        <v>4.3</v>
      </c>
      <c r="V9" s="11">
        <v>31</v>
      </c>
      <c r="W9" s="9">
        <v>33.299999999999997</v>
      </c>
      <c r="X9" s="10">
        <v>1.746</v>
      </c>
      <c r="Y9" s="10">
        <v>5.1999999999999998E-2</v>
      </c>
      <c r="Z9" s="10">
        <v>0.27</v>
      </c>
      <c r="AA9" s="9">
        <v>6.1</v>
      </c>
      <c r="AB9" s="11">
        <v>2810</v>
      </c>
      <c r="AC9" s="9">
        <v>5</v>
      </c>
      <c r="AD9" s="9">
        <v>13.2</v>
      </c>
      <c r="AE9" s="11">
        <v>16</v>
      </c>
      <c r="AF9" s="9">
        <v>31.1</v>
      </c>
      <c r="AG9" s="10">
        <v>2.524</v>
      </c>
      <c r="AH9" s="10">
        <v>8.1000000000000003E-2</v>
      </c>
      <c r="AI9" s="9">
        <v>0</v>
      </c>
      <c r="AJ9" s="11">
        <v>15</v>
      </c>
      <c r="AK9" s="9">
        <v>328.9</v>
      </c>
      <c r="AL9" s="10">
        <v>12.462999999999999</v>
      </c>
      <c r="AM9" s="10">
        <v>3.7999999999999999E-2</v>
      </c>
      <c r="AN9" s="9">
        <v>33</v>
      </c>
      <c r="AO9" s="308"/>
      <c r="AP9" s="308"/>
      <c r="AQ9" s="308"/>
      <c r="AR9" s="308"/>
      <c r="AS9" s="12">
        <f>Table2[[#This Row],[Object_A_._head_time]]+Table2[[#This Row],[Object_B_._head_time]]</f>
        <v>56.9</v>
      </c>
      <c r="AT9" s="12"/>
      <c r="AU9" s="12"/>
      <c r="AV9" s="13"/>
      <c r="AW9" s="12"/>
      <c r="AX9" s="308">
        <f>(Table2[[#This Row],[Object_A_._head_time]]/(Table2[[#This Row],[Object_A_._head_time]]+Table2[[#This Row],[Object_B_._head_time]]))</f>
        <v>0.41476274165202115</v>
      </c>
      <c r="AY9" s="8" t="s">
        <v>487</v>
      </c>
      <c r="AZ9" s="8" t="s">
        <v>476</v>
      </c>
      <c r="BA9" s="8" t="s">
        <v>473</v>
      </c>
      <c r="BB9" s="11">
        <v>177</v>
      </c>
      <c r="BC9" s="9">
        <v>5.9</v>
      </c>
      <c r="BD9" s="9" t="s">
        <v>477</v>
      </c>
      <c r="BE9" s="27">
        <v>8</v>
      </c>
      <c r="BF9" s="8" t="s">
        <v>459</v>
      </c>
      <c r="BG9" s="270"/>
      <c r="BH9" s="270"/>
      <c r="BI9" s="270"/>
      <c r="BJ9" s="270"/>
      <c r="BK9" s="270"/>
      <c r="BL9" s="270"/>
      <c r="BM9" s="270"/>
      <c r="BN9" s="270"/>
      <c r="BO9" s="270"/>
      <c r="BP9" s="270"/>
      <c r="BQ9" s="270"/>
      <c r="BR9" s="270"/>
      <c r="BS9" s="270"/>
      <c r="BT9" s="270"/>
      <c r="BU9" s="270"/>
      <c r="BV9" s="270"/>
      <c r="BW9" s="270"/>
      <c r="BX9" s="270"/>
      <c r="BY9" s="270"/>
      <c r="BZ9" s="270"/>
      <c r="CA9" s="270"/>
      <c r="CB9" s="270"/>
      <c r="CC9" s="270"/>
      <c r="CD9" s="270"/>
      <c r="CE9" s="270"/>
      <c r="CF9" s="270"/>
      <c r="CG9" s="270"/>
      <c r="CH9" s="270"/>
      <c r="CI9" s="270"/>
      <c r="CJ9" s="270"/>
      <c r="CK9" s="270"/>
      <c r="CL9" s="270"/>
      <c r="CM9" s="270"/>
      <c r="CN9" s="270"/>
      <c r="CO9" s="270"/>
      <c r="CP9" s="270"/>
      <c r="CQ9" s="270"/>
      <c r="CR9" s="270"/>
      <c r="CS9" s="270"/>
      <c r="CT9" s="270"/>
      <c r="CU9" s="272"/>
    </row>
    <row r="10" spans="1:99" s="273" customFormat="1" ht="12" customHeight="1" x14ac:dyDescent="0.2">
      <c r="A10" s="8">
        <v>54</v>
      </c>
      <c r="B10" s="8" t="s">
        <v>64</v>
      </c>
      <c r="C10" s="8" t="s">
        <v>211</v>
      </c>
      <c r="D10" s="8" t="s">
        <v>41</v>
      </c>
      <c r="E10" s="8" t="s">
        <v>331</v>
      </c>
      <c r="F10" s="8" t="s">
        <v>403</v>
      </c>
      <c r="G10" s="8" t="s">
        <v>404</v>
      </c>
      <c r="H10" s="9">
        <v>360</v>
      </c>
      <c r="I10" s="10">
        <v>15.308</v>
      </c>
      <c r="J10" s="10">
        <v>4.2999999999999997E-2</v>
      </c>
      <c r="K10" s="10">
        <v>0.29099999999999998</v>
      </c>
      <c r="L10" s="9">
        <v>15.6</v>
      </c>
      <c r="M10" s="11">
        <v>58</v>
      </c>
      <c r="N10" s="9">
        <v>71.900000000000006</v>
      </c>
      <c r="O10" s="10">
        <v>2.4089999999999998</v>
      </c>
      <c r="P10" s="10">
        <v>3.4000000000000002E-2</v>
      </c>
      <c r="Q10" s="10">
        <v>0.217</v>
      </c>
      <c r="R10" s="9">
        <v>20.8</v>
      </c>
      <c r="S10" s="11">
        <v>5366</v>
      </c>
      <c r="T10" s="9">
        <v>3.3</v>
      </c>
      <c r="U10" s="9">
        <v>36.5</v>
      </c>
      <c r="V10" s="11">
        <v>50</v>
      </c>
      <c r="W10" s="9">
        <v>72.8</v>
      </c>
      <c r="X10" s="10">
        <v>2.7290000000000001</v>
      </c>
      <c r="Y10" s="10">
        <v>3.6999999999999998E-2</v>
      </c>
      <c r="Z10" s="10">
        <v>0.27300000000000002</v>
      </c>
      <c r="AA10" s="9">
        <v>17.8</v>
      </c>
      <c r="AB10" s="11">
        <v>5504</v>
      </c>
      <c r="AC10" s="9">
        <v>1.7</v>
      </c>
      <c r="AD10" s="9">
        <v>17.100000000000001</v>
      </c>
      <c r="AE10" s="11">
        <v>34</v>
      </c>
      <c r="AF10" s="9">
        <v>52.1</v>
      </c>
      <c r="AG10" s="10">
        <v>3.2789999999999999</v>
      </c>
      <c r="AH10" s="10">
        <v>6.3E-2</v>
      </c>
      <c r="AI10" s="9">
        <v>1.1000000000000001</v>
      </c>
      <c r="AJ10" s="11">
        <v>34</v>
      </c>
      <c r="AK10" s="9">
        <v>307.89999999999998</v>
      </c>
      <c r="AL10" s="10">
        <v>12.029</v>
      </c>
      <c r="AM10" s="10">
        <v>3.9E-2</v>
      </c>
      <c r="AN10" s="9">
        <v>14.6</v>
      </c>
      <c r="AO10" s="308"/>
      <c r="AP10" s="308"/>
      <c r="AQ10" s="308"/>
      <c r="AR10" s="308"/>
      <c r="AS10" s="12">
        <f>Table2[[#This Row],[Object_A_._head_time]]+Table2[[#This Row],[Object_B_._head_time]]</f>
        <v>144.69999999999999</v>
      </c>
      <c r="AT10" s="12"/>
      <c r="AU10" s="12"/>
      <c r="AV10" s="13"/>
      <c r="AW10" s="12"/>
      <c r="AX10" s="308">
        <f>(Table2[[#This Row],[Object_A_._head_time]]/(Table2[[#This Row],[Object_A_._head_time]]+Table2[[#This Row],[Object_B_._head_time]]))</f>
        <v>0.49689011748445067</v>
      </c>
      <c r="AY10" s="8" t="s">
        <v>487</v>
      </c>
      <c r="AZ10" s="8" t="s">
        <v>476</v>
      </c>
      <c r="BA10" s="8" t="s">
        <v>473</v>
      </c>
      <c r="BB10" s="11">
        <v>177</v>
      </c>
      <c r="BC10" s="9">
        <v>5.9</v>
      </c>
      <c r="BD10" s="9" t="s">
        <v>474</v>
      </c>
      <c r="BE10" s="27">
        <v>7</v>
      </c>
      <c r="BF10" s="8" t="s">
        <v>460</v>
      </c>
      <c r="BG10" s="270"/>
      <c r="BH10" s="270"/>
      <c r="BI10" s="270"/>
      <c r="BJ10" s="270"/>
      <c r="BK10" s="270"/>
      <c r="BL10" s="270"/>
      <c r="BM10" s="270"/>
      <c r="BN10" s="270"/>
      <c r="BO10" s="270"/>
      <c r="BP10" s="270"/>
      <c r="BQ10" s="270"/>
      <c r="BR10" s="270"/>
      <c r="BS10" s="270"/>
      <c r="BT10" s="270"/>
      <c r="BU10" s="270"/>
      <c r="BV10" s="270"/>
      <c r="BW10" s="270"/>
      <c r="BX10" s="270"/>
      <c r="BY10" s="270"/>
      <c r="BZ10" s="270"/>
      <c r="CA10" s="270"/>
      <c r="CB10" s="270"/>
      <c r="CC10" s="270"/>
      <c r="CD10" s="270"/>
      <c r="CE10" s="270"/>
      <c r="CF10" s="270"/>
      <c r="CG10" s="270"/>
      <c r="CH10" s="270"/>
      <c r="CI10" s="270"/>
      <c r="CJ10" s="270"/>
      <c r="CK10" s="270"/>
      <c r="CL10" s="270"/>
      <c r="CM10" s="270"/>
      <c r="CN10" s="270"/>
      <c r="CO10" s="270"/>
      <c r="CP10" s="270"/>
      <c r="CQ10" s="270"/>
      <c r="CR10" s="270"/>
      <c r="CS10" s="270"/>
      <c r="CT10" s="270"/>
      <c r="CU10" s="272"/>
    </row>
    <row r="11" spans="1:99" s="273" customFormat="1" ht="12" customHeight="1" x14ac:dyDescent="0.2">
      <c r="A11" s="8">
        <v>52</v>
      </c>
      <c r="B11" s="8" t="s">
        <v>67</v>
      </c>
      <c r="C11" s="8" t="s">
        <v>211</v>
      </c>
      <c r="D11" s="8" t="s">
        <v>46</v>
      </c>
      <c r="E11" s="8" t="s">
        <v>331</v>
      </c>
      <c r="F11" s="8" t="s">
        <v>405</v>
      </c>
      <c r="G11" s="8" t="s">
        <v>406</v>
      </c>
      <c r="H11" s="9">
        <v>360</v>
      </c>
      <c r="I11" s="10">
        <v>41.728000000000002</v>
      </c>
      <c r="J11" s="10">
        <v>0.11600000000000001</v>
      </c>
      <c r="K11" s="10">
        <v>0.314</v>
      </c>
      <c r="L11" s="9">
        <v>3.9</v>
      </c>
      <c r="M11" s="11">
        <v>70</v>
      </c>
      <c r="N11" s="9">
        <v>42</v>
      </c>
      <c r="O11" s="10">
        <v>5.3040000000000003</v>
      </c>
      <c r="P11" s="10">
        <v>0.126</v>
      </c>
      <c r="Q11" s="10">
        <v>0.30099999999999999</v>
      </c>
      <c r="R11" s="9">
        <v>8.6</v>
      </c>
      <c r="S11" s="11">
        <v>7808</v>
      </c>
      <c r="T11" s="9">
        <v>0</v>
      </c>
      <c r="U11" s="9">
        <v>8.4</v>
      </c>
      <c r="V11" s="11">
        <v>61</v>
      </c>
      <c r="W11" s="9">
        <v>40.1</v>
      </c>
      <c r="X11" s="10">
        <v>4.3689999999999998</v>
      </c>
      <c r="Y11" s="10">
        <v>0.109</v>
      </c>
      <c r="Z11" s="10">
        <v>0.29099999999999998</v>
      </c>
      <c r="AA11" s="9">
        <v>9.3000000000000007</v>
      </c>
      <c r="AB11" s="11">
        <v>6510</v>
      </c>
      <c r="AC11" s="9">
        <v>0</v>
      </c>
      <c r="AD11" s="9">
        <v>5.9</v>
      </c>
      <c r="AE11" s="11">
        <v>62</v>
      </c>
      <c r="AF11" s="9">
        <v>65.5</v>
      </c>
      <c r="AG11" s="10">
        <v>8.6029999999999998</v>
      </c>
      <c r="AH11" s="10">
        <v>0.13100000000000001</v>
      </c>
      <c r="AI11" s="9">
        <v>3.9</v>
      </c>
      <c r="AJ11" s="11">
        <v>63</v>
      </c>
      <c r="AK11" s="9">
        <v>294.5</v>
      </c>
      <c r="AL11" s="10">
        <v>33.125</v>
      </c>
      <c r="AM11" s="10">
        <v>0.112</v>
      </c>
      <c r="AN11" s="9">
        <v>0</v>
      </c>
      <c r="AO11" s="308"/>
      <c r="AP11" s="308"/>
      <c r="AQ11" s="308"/>
      <c r="AR11" s="308"/>
      <c r="AS11" s="12">
        <f>Table2[[#This Row],[Object_A_._head_time]]+Table2[[#This Row],[Object_B_._head_time]]</f>
        <v>82.1</v>
      </c>
      <c r="AT11" s="12"/>
      <c r="AU11" s="12"/>
      <c r="AV11" s="13"/>
      <c r="AW11" s="12"/>
      <c r="AX11" s="308">
        <f>(Table2[[#This Row],[Object_A_._head_time]]/(Table2[[#This Row],[Object_A_._head_time]]+Table2[[#This Row],[Object_B_._head_time]]))</f>
        <v>0.51157125456760055</v>
      </c>
      <c r="AY11" s="8" t="s">
        <v>487</v>
      </c>
      <c r="AZ11" s="8" t="s">
        <v>476</v>
      </c>
      <c r="BA11" s="8" t="s">
        <v>475</v>
      </c>
      <c r="BB11" s="11">
        <v>177</v>
      </c>
      <c r="BC11" s="9">
        <v>5.9</v>
      </c>
      <c r="BD11" s="9" t="s">
        <v>477</v>
      </c>
      <c r="BE11" s="27">
        <v>6</v>
      </c>
      <c r="BF11" s="8" t="s">
        <v>461</v>
      </c>
      <c r="BG11" s="270"/>
      <c r="BH11" s="270"/>
      <c r="BI11" s="270"/>
      <c r="BJ11" s="270"/>
      <c r="BK11" s="270"/>
      <c r="BL11" s="270"/>
      <c r="BM11" s="270"/>
      <c r="BN11" s="270"/>
      <c r="BO11" s="270"/>
      <c r="BP11" s="270"/>
      <c r="BQ11" s="270"/>
      <c r="BR11" s="270"/>
      <c r="BS11" s="270"/>
      <c r="BT11" s="270"/>
      <c r="BU11" s="270"/>
      <c r="BV11" s="270"/>
      <c r="BW11" s="270"/>
      <c r="BX11" s="270"/>
      <c r="BY11" s="270"/>
      <c r="BZ11" s="270"/>
      <c r="CA11" s="270"/>
      <c r="CB11" s="270"/>
      <c r="CC11" s="270"/>
      <c r="CD11" s="270"/>
      <c r="CE11" s="270"/>
      <c r="CF11" s="270"/>
      <c r="CG11" s="270"/>
      <c r="CH11" s="270"/>
      <c r="CI11" s="270"/>
      <c r="CJ11" s="270"/>
      <c r="CK11" s="270"/>
      <c r="CL11" s="270"/>
      <c r="CM11" s="270"/>
      <c r="CN11" s="270"/>
      <c r="CO11" s="270"/>
      <c r="CP11" s="270"/>
      <c r="CQ11" s="270"/>
      <c r="CR11" s="270"/>
      <c r="CS11" s="270"/>
      <c r="CT11" s="270"/>
      <c r="CU11" s="272"/>
    </row>
    <row r="12" spans="1:99" s="273" customFormat="1" ht="12" customHeight="1" x14ac:dyDescent="0.2">
      <c r="A12" s="8">
        <v>53</v>
      </c>
      <c r="B12" s="8" t="s">
        <v>69</v>
      </c>
      <c r="C12" s="8" t="s">
        <v>211</v>
      </c>
      <c r="D12" s="8" t="s">
        <v>49</v>
      </c>
      <c r="E12" s="8" t="s">
        <v>331</v>
      </c>
      <c r="F12" s="8" t="s">
        <v>403</v>
      </c>
      <c r="G12" s="8" t="s">
        <v>407</v>
      </c>
      <c r="H12" s="9">
        <v>360</v>
      </c>
      <c r="I12" s="10">
        <v>17.649000000000001</v>
      </c>
      <c r="J12" s="10">
        <v>4.9000000000000002E-2</v>
      </c>
      <c r="K12" s="10">
        <v>0.246</v>
      </c>
      <c r="L12" s="9">
        <v>23.1</v>
      </c>
      <c r="M12" s="11">
        <v>38</v>
      </c>
      <c r="N12" s="9">
        <v>50.6</v>
      </c>
      <c r="O12" s="10">
        <v>2.6339999999999999</v>
      </c>
      <c r="P12" s="10">
        <v>5.1999999999999998E-2</v>
      </c>
      <c r="Q12" s="10">
        <v>0.19900000000000001</v>
      </c>
      <c r="R12" s="9">
        <v>12.4</v>
      </c>
      <c r="S12" s="11">
        <v>3882</v>
      </c>
      <c r="T12" s="9">
        <v>0.1</v>
      </c>
      <c r="U12" s="9">
        <v>9.4</v>
      </c>
      <c r="V12" s="11">
        <v>28</v>
      </c>
      <c r="W12" s="9">
        <v>33.799999999999997</v>
      </c>
      <c r="X12" s="10">
        <v>1.6459999999999999</v>
      </c>
      <c r="Y12" s="10">
        <v>4.9000000000000002E-2</v>
      </c>
      <c r="Z12" s="10">
        <v>0.19700000000000001</v>
      </c>
      <c r="AA12" s="9">
        <v>14.4</v>
      </c>
      <c r="AB12" s="11">
        <v>2658</v>
      </c>
      <c r="AC12" s="9">
        <v>0</v>
      </c>
      <c r="AD12" s="9">
        <v>8.8000000000000007</v>
      </c>
      <c r="AE12" s="11">
        <v>19</v>
      </c>
      <c r="AF12" s="9">
        <v>32.299999999999997</v>
      </c>
      <c r="AG12" s="10">
        <v>2.677</v>
      </c>
      <c r="AH12" s="10">
        <v>8.3000000000000004E-2</v>
      </c>
      <c r="AI12" s="9">
        <v>0</v>
      </c>
      <c r="AJ12" s="11">
        <v>20</v>
      </c>
      <c r="AK12" s="9">
        <v>327.7</v>
      </c>
      <c r="AL12" s="10">
        <v>14.972</v>
      </c>
      <c r="AM12" s="10">
        <v>4.5999999999999999E-2</v>
      </c>
      <c r="AN12" s="9">
        <v>23.1</v>
      </c>
      <c r="AO12" s="308"/>
      <c r="AP12" s="308"/>
      <c r="AQ12" s="308"/>
      <c r="AR12" s="308"/>
      <c r="AS12" s="12">
        <f>Table2[[#This Row],[Object_A_._head_time]]+Table2[[#This Row],[Object_B_._head_time]]</f>
        <v>84.4</v>
      </c>
      <c r="AT12" s="12"/>
      <c r="AU12" s="12"/>
      <c r="AV12" s="13"/>
      <c r="AW12" s="12"/>
      <c r="AX12" s="308">
        <f>(Table2[[#This Row],[Object_A_._head_time]]/(Table2[[#This Row],[Object_A_._head_time]]+Table2[[#This Row],[Object_B_._head_time]]))</f>
        <v>0.59952606635071093</v>
      </c>
      <c r="AY12" s="8" t="s">
        <v>487</v>
      </c>
      <c r="AZ12" s="8" t="s">
        <v>476</v>
      </c>
      <c r="BA12" s="8" t="s">
        <v>475</v>
      </c>
      <c r="BB12" s="11">
        <v>177</v>
      </c>
      <c r="BC12" s="9">
        <v>5.9</v>
      </c>
      <c r="BD12" s="9" t="s">
        <v>474</v>
      </c>
      <c r="BE12" s="27">
        <v>5</v>
      </c>
      <c r="BF12" s="8" t="s">
        <v>462</v>
      </c>
      <c r="BG12" s="270"/>
      <c r="BH12" s="270"/>
      <c r="BI12" s="270"/>
      <c r="BJ12" s="270"/>
      <c r="BK12" s="270"/>
      <c r="BL12" s="270"/>
      <c r="BM12" s="270"/>
      <c r="BN12" s="270"/>
      <c r="BO12" s="270"/>
      <c r="BP12" s="270"/>
      <c r="BQ12" s="270"/>
      <c r="BR12" s="270"/>
      <c r="BS12" s="270"/>
      <c r="BT12" s="270"/>
      <c r="BU12" s="270"/>
      <c r="BV12" s="270"/>
      <c r="BW12" s="270"/>
      <c r="BX12" s="270"/>
      <c r="BY12" s="270"/>
      <c r="BZ12" s="270"/>
      <c r="CA12" s="270"/>
      <c r="CB12" s="270"/>
      <c r="CC12" s="270"/>
      <c r="CD12" s="270"/>
      <c r="CE12" s="270"/>
      <c r="CF12" s="270"/>
      <c r="CG12" s="270"/>
      <c r="CH12" s="270"/>
      <c r="CI12" s="270"/>
      <c r="CJ12" s="270"/>
      <c r="CK12" s="270"/>
      <c r="CL12" s="270"/>
      <c r="CM12" s="270"/>
      <c r="CN12" s="270"/>
      <c r="CO12" s="270"/>
      <c r="CP12" s="270"/>
      <c r="CQ12" s="270"/>
      <c r="CR12" s="270"/>
      <c r="CS12" s="270"/>
      <c r="CT12" s="270"/>
      <c r="CU12" s="272"/>
    </row>
    <row r="13" spans="1:99" s="273" customFormat="1" ht="12" customHeight="1" x14ac:dyDescent="0.2">
      <c r="A13" s="8">
        <v>55</v>
      </c>
      <c r="B13" s="8" t="s">
        <v>71</v>
      </c>
      <c r="C13" s="8" t="s">
        <v>211</v>
      </c>
      <c r="D13" s="8" t="s">
        <v>53</v>
      </c>
      <c r="E13" s="8" t="s">
        <v>331</v>
      </c>
      <c r="F13" s="8" t="s">
        <v>403</v>
      </c>
      <c r="G13" s="8" t="s">
        <v>408</v>
      </c>
      <c r="H13" s="9">
        <v>360</v>
      </c>
      <c r="I13" s="10">
        <v>7.6289999999999996</v>
      </c>
      <c r="J13" s="10">
        <v>2.1000000000000001E-2</v>
      </c>
      <c r="K13" s="10">
        <v>0.26100000000000001</v>
      </c>
      <c r="L13" s="9">
        <v>143.80000000000001</v>
      </c>
      <c r="M13" s="11">
        <v>61</v>
      </c>
      <c r="N13" s="9">
        <v>168.3</v>
      </c>
      <c r="O13" s="10">
        <v>1.0289999999999999</v>
      </c>
      <c r="P13" s="10">
        <v>6.0000000000000001E-3</v>
      </c>
      <c r="Q13" s="10">
        <v>0.23300000000000001</v>
      </c>
      <c r="R13" s="9">
        <v>89.7</v>
      </c>
      <c r="S13" s="11">
        <v>7445</v>
      </c>
      <c r="T13" s="9">
        <v>111.5</v>
      </c>
      <c r="U13" s="9">
        <v>154.19999999999999</v>
      </c>
      <c r="V13" s="11">
        <v>12</v>
      </c>
      <c r="W13" s="9">
        <v>16.5</v>
      </c>
      <c r="X13" s="10">
        <v>1.0289999999999999</v>
      </c>
      <c r="Y13" s="10">
        <v>6.2E-2</v>
      </c>
      <c r="Z13" s="10">
        <v>0.254</v>
      </c>
      <c r="AA13" s="9">
        <v>3.2</v>
      </c>
      <c r="AB13" s="11">
        <v>1130</v>
      </c>
      <c r="AC13" s="9">
        <v>0</v>
      </c>
      <c r="AD13" s="9">
        <v>4.2</v>
      </c>
      <c r="AE13" s="11">
        <v>9</v>
      </c>
      <c r="AF13" s="9">
        <v>12.1</v>
      </c>
      <c r="AG13" s="10">
        <v>1.026</v>
      </c>
      <c r="AH13" s="10">
        <v>8.5000000000000006E-2</v>
      </c>
      <c r="AI13" s="9">
        <v>0</v>
      </c>
      <c r="AJ13" s="11">
        <v>10</v>
      </c>
      <c r="AK13" s="9">
        <v>347.9</v>
      </c>
      <c r="AL13" s="10">
        <v>6.6020000000000003</v>
      </c>
      <c r="AM13" s="10">
        <v>1.9E-2</v>
      </c>
      <c r="AN13" s="9">
        <v>143.80000000000001</v>
      </c>
      <c r="AO13" s="308"/>
      <c r="AP13" s="308"/>
      <c r="AQ13" s="308"/>
      <c r="AR13" s="308"/>
      <c r="AS13" s="12">
        <f>Table2[[#This Row],[Object_A_._head_time]]+Table2[[#This Row],[Object_B_._head_time]]</f>
        <v>184.8</v>
      </c>
      <c r="AT13" s="12"/>
      <c r="AU13" s="12"/>
      <c r="AV13" s="13"/>
      <c r="AW13" s="12"/>
      <c r="AX13" s="311">
        <f>(Table2[[#This Row],[Object_A_._head_time]]/(Table2[[#This Row],[Object_A_._head_time]]+Table2[[#This Row],[Object_B_._head_time]]))</f>
        <v>0.9107142857142857</v>
      </c>
      <c r="AY13" s="8" t="s">
        <v>487</v>
      </c>
      <c r="AZ13" s="8" t="s">
        <v>476</v>
      </c>
      <c r="BA13" s="8" t="s">
        <v>475</v>
      </c>
      <c r="BB13" s="11">
        <v>177</v>
      </c>
      <c r="BC13" s="9">
        <v>5.9</v>
      </c>
      <c r="BD13" s="9" t="s">
        <v>477</v>
      </c>
      <c r="BE13" s="27">
        <v>6</v>
      </c>
      <c r="BF13" s="8"/>
      <c r="BG13" s="270"/>
      <c r="BH13" s="270"/>
      <c r="BI13" s="270"/>
      <c r="BJ13" s="270"/>
      <c r="BK13" s="270"/>
      <c r="BL13" s="270"/>
      <c r="BM13" s="270"/>
      <c r="BN13" s="270"/>
      <c r="BO13" s="270"/>
      <c r="BP13" s="270"/>
      <c r="BQ13" s="270"/>
      <c r="BR13" s="270"/>
      <c r="BS13" s="270"/>
      <c r="BT13" s="270"/>
      <c r="BU13" s="270"/>
      <c r="BV13" s="270"/>
      <c r="BW13" s="270"/>
      <c r="BX13" s="270"/>
      <c r="BY13" s="270"/>
      <c r="BZ13" s="270"/>
      <c r="CA13" s="270"/>
      <c r="CB13" s="270"/>
      <c r="CC13" s="270"/>
      <c r="CD13" s="270"/>
      <c r="CE13" s="270"/>
      <c r="CF13" s="270"/>
      <c r="CG13" s="270"/>
      <c r="CH13" s="270"/>
      <c r="CI13" s="270"/>
      <c r="CJ13" s="270"/>
      <c r="CK13" s="270"/>
      <c r="CL13" s="270"/>
      <c r="CM13" s="270"/>
      <c r="CN13" s="270"/>
      <c r="CO13" s="270"/>
      <c r="CP13" s="270"/>
      <c r="CQ13" s="270"/>
      <c r="CR13" s="270"/>
      <c r="CS13" s="270"/>
      <c r="CT13" s="270"/>
      <c r="CU13" s="272"/>
    </row>
    <row r="14" spans="1:99" s="273" customFormat="1" ht="12" customHeight="1" x14ac:dyDescent="0.2">
      <c r="A14" s="8">
        <v>59</v>
      </c>
      <c r="B14" s="8" t="s">
        <v>76</v>
      </c>
      <c r="C14" s="8" t="s">
        <v>211</v>
      </c>
      <c r="D14" s="8" t="s">
        <v>41</v>
      </c>
      <c r="E14" s="8" t="s">
        <v>331</v>
      </c>
      <c r="F14" s="8" t="s">
        <v>409</v>
      </c>
      <c r="G14" s="8" t="s">
        <v>410</v>
      </c>
      <c r="H14" s="9">
        <v>360</v>
      </c>
      <c r="I14" s="10">
        <v>33.621000000000002</v>
      </c>
      <c r="J14" s="10">
        <v>9.2999999999999999E-2</v>
      </c>
      <c r="K14" s="10">
        <v>0.372</v>
      </c>
      <c r="L14" s="9">
        <v>0</v>
      </c>
      <c r="M14" s="11">
        <v>62</v>
      </c>
      <c r="N14" s="9">
        <v>56.7</v>
      </c>
      <c r="O14" s="10">
        <v>4.718</v>
      </c>
      <c r="P14" s="10">
        <v>8.3000000000000004E-2</v>
      </c>
      <c r="Q14" s="10">
        <v>0.30099999999999999</v>
      </c>
      <c r="R14" s="9">
        <v>14.3</v>
      </c>
      <c r="S14" s="11">
        <v>6115</v>
      </c>
      <c r="T14" s="9">
        <v>0</v>
      </c>
      <c r="U14" s="9">
        <v>11.8</v>
      </c>
      <c r="V14" s="11">
        <v>52</v>
      </c>
      <c r="W14" s="9">
        <v>40.799999999999997</v>
      </c>
      <c r="X14" s="10">
        <v>4.0819999999999999</v>
      </c>
      <c r="Y14" s="10">
        <v>0.1</v>
      </c>
      <c r="Z14" s="10">
        <v>0.312</v>
      </c>
      <c r="AA14" s="9">
        <v>11.3</v>
      </c>
      <c r="AB14" s="11">
        <v>4322</v>
      </c>
      <c r="AC14" s="9">
        <v>0</v>
      </c>
      <c r="AD14" s="9">
        <v>14.9</v>
      </c>
      <c r="AE14" s="11">
        <v>42</v>
      </c>
      <c r="AF14" s="9">
        <v>55.5</v>
      </c>
      <c r="AG14" s="10">
        <v>6.109</v>
      </c>
      <c r="AH14" s="10">
        <v>0.11</v>
      </c>
      <c r="AI14" s="9">
        <v>0</v>
      </c>
      <c r="AJ14" s="11">
        <v>42</v>
      </c>
      <c r="AK14" s="9">
        <v>304.5</v>
      </c>
      <c r="AL14" s="10">
        <v>27.513000000000002</v>
      </c>
      <c r="AM14" s="10">
        <v>0.09</v>
      </c>
      <c r="AN14" s="9">
        <v>0</v>
      </c>
      <c r="AO14" s="308"/>
      <c r="AP14" s="308"/>
      <c r="AQ14" s="308"/>
      <c r="AR14" s="308"/>
      <c r="AS14" s="12">
        <f>Table2[[#This Row],[Object_A_._head_time]]+Table2[[#This Row],[Object_B_._head_time]]</f>
        <v>97.5</v>
      </c>
      <c r="AT14" s="12"/>
      <c r="AU14" s="12"/>
      <c r="AV14" s="13"/>
      <c r="AW14" s="12"/>
      <c r="AX14" s="308">
        <f>(Table2[[#This Row],[Object_A_._head_time]]/(Table2[[#This Row],[Object_A_._head_time]]+Table2[[#This Row],[Object_B_._head_time]]))</f>
        <v>0.58153846153846156</v>
      </c>
      <c r="AY14" s="8" t="s">
        <v>486</v>
      </c>
      <c r="AZ14" s="8" t="s">
        <v>472</v>
      </c>
      <c r="BA14" s="8" t="s">
        <v>473</v>
      </c>
      <c r="BB14" s="11">
        <v>169</v>
      </c>
      <c r="BC14" s="9">
        <v>5.6333333333333337</v>
      </c>
      <c r="BD14" s="8" t="s">
        <v>477</v>
      </c>
      <c r="BE14" s="27">
        <v>4</v>
      </c>
      <c r="BF14" s="8" t="s">
        <v>463</v>
      </c>
      <c r="BG14" s="270"/>
      <c r="BH14" s="270"/>
      <c r="BI14" s="270"/>
      <c r="BJ14" s="270"/>
      <c r="BK14" s="270"/>
      <c r="BL14" s="270"/>
      <c r="BM14" s="270"/>
      <c r="BN14" s="270"/>
      <c r="BO14" s="270"/>
      <c r="BP14" s="270"/>
      <c r="BQ14" s="270"/>
      <c r="BR14" s="270"/>
      <c r="BS14" s="270"/>
      <c r="BT14" s="270"/>
      <c r="BU14" s="270"/>
      <c r="BV14" s="270"/>
      <c r="BW14" s="270"/>
      <c r="BX14" s="270"/>
      <c r="BY14" s="270"/>
      <c r="BZ14" s="270"/>
      <c r="CA14" s="270"/>
      <c r="CB14" s="270"/>
      <c r="CC14" s="270"/>
      <c r="CD14" s="270"/>
      <c r="CE14" s="270"/>
      <c r="CF14" s="270"/>
      <c r="CG14" s="270"/>
      <c r="CH14" s="270"/>
      <c r="CI14" s="270"/>
      <c r="CJ14" s="270"/>
      <c r="CK14" s="270"/>
      <c r="CL14" s="270"/>
      <c r="CM14" s="270"/>
      <c r="CN14" s="270"/>
      <c r="CO14" s="270"/>
      <c r="CP14" s="270"/>
      <c r="CQ14" s="270"/>
      <c r="CR14" s="270"/>
      <c r="CS14" s="270"/>
      <c r="CT14" s="270"/>
      <c r="CU14" s="272"/>
    </row>
    <row r="15" spans="1:99" s="273" customFormat="1" ht="12" customHeight="1" x14ac:dyDescent="0.2">
      <c r="A15" s="8">
        <v>57</v>
      </c>
      <c r="B15" s="8" t="s">
        <v>78</v>
      </c>
      <c r="C15" s="8" t="s">
        <v>211</v>
      </c>
      <c r="D15" s="8" t="s">
        <v>46</v>
      </c>
      <c r="E15" s="8" t="s">
        <v>331</v>
      </c>
      <c r="F15" s="8" t="s">
        <v>411</v>
      </c>
      <c r="G15" s="8" t="s">
        <v>412</v>
      </c>
      <c r="H15" s="9">
        <v>360</v>
      </c>
      <c r="I15" s="10">
        <v>11.64</v>
      </c>
      <c r="J15" s="10">
        <v>3.2000000000000001E-2</v>
      </c>
      <c r="K15" s="10">
        <v>0.23300000000000001</v>
      </c>
      <c r="L15" s="9">
        <v>56.4</v>
      </c>
      <c r="M15" s="11">
        <v>23</v>
      </c>
      <c r="N15" s="9">
        <v>51.5</v>
      </c>
      <c r="O15" s="10">
        <v>1.7130000000000001</v>
      </c>
      <c r="P15" s="10">
        <v>3.3000000000000002E-2</v>
      </c>
      <c r="Q15" s="10">
        <v>0.20100000000000001</v>
      </c>
      <c r="R15" s="9">
        <v>23.3</v>
      </c>
      <c r="S15" s="11">
        <v>2548</v>
      </c>
      <c r="T15" s="9">
        <v>7.1</v>
      </c>
      <c r="U15" s="9">
        <v>28.8</v>
      </c>
      <c r="V15" s="11">
        <v>36</v>
      </c>
      <c r="W15" s="9">
        <v>58.4</v>
      </c>
      <c r="X15" s="10">
        <v>2.5009999999999999</v>
      </c>
      <c r="Y15" s="10">
        <v>4.2999999999999997E-2</v>
      </c>
      <c r="Z15" s="10">
        <v>0.193</v>
      </c>
      <c r="AA15" s="9">
        <v>11.7</v>
      </c>
      <c r="AB15" s="11">
        <v>4323</v>
      </c>
      <c r="AC15" s="9">
        <v>1.9</v>
      </c>
      <c r="AD15" s="9">
        <v>7.9</v>
      </c>
      <c r="AE15" s="11">
        <v>17</v>
      </c>
      <c r="AF15" s="9">
        <v>23</v>
      </c>
      <c r="AG15" s="10">
        <v>1.603</v>
      </c>
      <c r="AH15" s="10">
        <v>7.0000000000000007E-2</v>
      </c>
      <c r="AI15" s="9">
        <v>0</v>
      </c>
      <c r="AJ15" s="11">
        <v>19</v>
      </c>
      <c r="AK15" s="9">
        <v>336.9</v>
      </c>
      <c r="AL15" s="10">
        <v>10.038</v>
      </c>
      <c r="AM15" s="10">
        <v>0.03</v>
      </c>
      <c r="AN15" s="9">
        <v>56.4</v>
      </c>
      <c r="AO15" s="308"/>
      <c r="AP15" s="308"/>
      <c r="AQ15" s="308"/>
      <c r="AR15" s="308"/>
      <c r="AS15" s="12">
        <f>Table2[[#This Row],[Object_A_._head_time]]+Table2[[#This Row],[Object_B_._head_time]]</f>
        <v>109.9</v>
      </c>
      <c r="AT15" s="12"/>
      <c r="AU15" s="12"/>
      <c r="AV15" s="13"/>
      <c r="AW15" s="12"/>
      <c r="AX15" s="308">
        <f>(Table2[[#This Row],[Object_A_._head_time]]/(Table2[[#This Row],[Object_A_._head_time]]+Table2[[#This Row],[Object_B_._head_time]]))</f>
        <v>0.46860782529572337</v>
      </c>
      <c r="AY15" s="8" t="s">
        <v>487</v>
      </c>
      <c r="AZ15" s="8" t="s">
        <v>472</v>
      </c>
      <c r="BA15" s="8" t="s">
        <v>475</v>
      </c>
      <c r="BB15" s="11">
        <v>169</v>
      </c>
      <c r="BC15" s="9">
        <v>5.6333333333333337</v>
      </c>
      <c r="BD15" s="8" t="s">
        <v>474</v>
      </c>
      <c r="BE15" s="27">
        <v>1</v>
      </c>
      <c r="BF15" s="8"/>
      <c r="BG15" s="270"/>
      <c r="BH15" s="270"/>
      <c r="BI15" s="270"/>
      <c r="BJ15" s="270"/>
      <c r="BK15" s="270"/>
      <c r="BL15" s="270"/>
      <c r="BM15" s="270"/>
      <c r="BN15" s="270"/>
      <c r="BO15" s="270"/>
      <c r="BP15" s="270"/>
      <c r="BQ15" s="270"/>
      <c r="BR15" s="270"/>
      <c r="BS15" s="270"/>
      <c r="BT15" s="270"/>
      <c r="BU15" s="270"/>
      <c r="BV15" s="270"/>
      <c r="BW15" s="270"/>
      <c r="BX15" s="270"/>
      <c r="BY15" s="270"/>
      <c r="BZ15" s="270"/>
      <c r="CA15" s="270"/>
      <c r="CB15" s="270"/>
      <c r="CC15" s="270"/>
      <c r="CD15" s="270"/>
      <c r="CE15" s="270"/>
      <c r="CF15" s="270"/>
      <c r="CG15" s="270"/>
      <c r="CH15" s="270"/>
      <c r="CI15" s="270"/>
      <c r="CJ15" s="270"/>
      <c r="CK15" s="270"/>
      <c r="CL15" s="270"/>
      <c r="CM15" s="270"/>
      <c r="CN15" s="270"/>
      <c r="CO15" s="270"/>
      <c r="CP15" s="270"/>
      <c r="CQ15" s="270"/>
      <c r="CR15" s="270"/>
      <c r="CS15" s="270"/>
      <c r="CT15" s="270"/>
      <c r="CU15" s="272"/>
    </row>
    <row r="16" spans="1:99" s="273" customFormat="1" ht="12" customHeight="1" x14ac:dyDescent="0.2">
      <c r="A16" s="8">
        <v>56</v>
      </c>
      <c r="B16" s="8" t="s">
        <v>80</v>
      </c>
      <c r="C16" s="8" t="s">
        <v>211</v>
      </c>
      <c r="D16" s="8" t="s">
        <v>49</v>
      </c>
      <c r="E16" s="8" t="s">
        <v>331</v>
      </c>
      <c r="F16" s="8" t="s">
        <v>411</v>
      </c>
      <c r="G16" s="8" t="s">
        <v>413</v>
      </c>
      <c r="H16" s="9">
        <v>360</v>
      </c>
      <c r="I16" s="10">
        <v>39.436</v>
      </c>
      <c r="J16" s="10">
        <v>0.11</v>
      </c>
      <c r="K16" s="10">
        <v>0.39300000000000002</v>
      </c>
      <c r="L16" s="9">
        <v>3.7</v>
      </c>
      <c r="M16" s="11">
        <v>68</v>
      </c>
      <c r="N16" s="9">
        <v>39.5</v>
      </c>
      <c r="O16" s="10">
        <v>4.1970000000000001</v>
      </c>
      <c r="P16" s="10">
        <v>0.106</v>
      </c>
      <c r="Q16" s="10">
        <v>0.30399999999999999</v>
      </c>
      <c r="R16" s="9">
        <v>11.3</v>
      </c>
      <c r="S16" s="11">
        <v>3881</v>
      </c>
      <c r="T16" s="9">
        <v>0</v>
      </c>
      <c r="U16" s="9">
        <v>16.3</v>
      </c>
      <c r="V16" s="11">
        <v>57</v>
      </c>
      <c r="W16" s="9">
        <v>41.1</v>
      </c>
      <c r="X16" s="10">
        <v>3.9039999999999999</v>
      </c>
      <c r="Y16" s="10">
        <v>9.5000000000000001E-2</v>
      </c>
      <c r="Z16" s="10">
        <v>0.29099999999999998</v>
      </c>
      <c r="AA16" s="9">
        <v>14.3</v>
      </c>
      <c r="AB16" s="11">
        <v>3596</v>
      </c>
      <c r="AC16" s="9">
        <v>0</v>
      </c>
      <c r="AD16" s="9">
        <v>19</v>
      </c>
      <c r="AE16" s="11">
        <v>45</v>
      </c>
      <c r="AF16" s="9">
        <v>40.200000000000003</v>
      </c>
      <c r="AG16" s="10">
        <v>6.0830000000000002</v>
      </c>
      <c r="AH16" s="10">
        <v>0.151</v>
      </c>
      <c r="AI16" s="9">
        <v>0</v>
      </c>
      <c r="AJ16" s="11">
        <v>46</v>
      </c>
      <c r="AK16" s="9">
        <v>319.8</v>
      </c>
      <c r="AL16" s="10">
        <v>33.351999999999997</v>
      </c>
      <c r="AM16" s="10">
        <v>0.104</v>
      </c>
      <c r="AN16" s="9">
        <v>3.7</v>
      </c>
      <c r="AO16" s="308"/>
      <c r="AP16" s="308"/>
      <c r="AQ16" s="308"/>
      <c r="AR16" s="308"/>
      <c r="AS16" s="12">
        <f>Table2[[#This Row],[Object_A_._head_time]]+Table2[[#This Row],[Object_B_._head_time]]</f>
        <v>80.599999999999994</v>
      </c>
      <c r="AT16" s="12"/>
      <c r="AU16" s="12"/>
      <c r="AV16" s="13"/>
      <c r="AW16" s="12"/>
      <c r="AX16" s="308">
        <f>(Table2[[#This Row],[Object_A_._head_time]]/(Table2[[#This Row],[Object_A_._head_time]]+Table2[[#This Row],[Object_B_._head_time]]))</f>
        <v>0.49007444168734493</v>
      </c>
      <c r="AY16" s="8" t="s">
        <v>487</v>
      </c>
      <c r="AZ16" s="8" t="s">
        <v>476</v>
      </c>
      <c r="BA16" s="8" t="s">
        <v>473</v>
      </c>
      <c r="BB16" s="11">
        <v>169</v>
      </c>
      <c r="BC16" s="9">
        <v>5.6333333333333337</v>
      </c>
      <c r="BD16" s="8" t="s">
        <v>474</v>
      </c>
      <c r="BE16" s="27">
        <v>7</v>
      </c>
      <c r="BF16" s="8"/>
      <c r="BG16" s="270"/>
      <c r="BH16" s="270"/>
      <c r="BI16" s="270"/>
      <c r="BJ16" s="270"/>
      <c r="BK16" s="270"/>
      <c r="BL16" s="270"/>
      <c r="BM16" s="270"/>
      <c r="BN16" s="270"/>
      <c r="BO16" s="270"/>
      <c r="BP16" s="270"/>
      <c r="BQ16" s="270"/>
      <c r="BR16" s="270"/>
      <c r="BS16" s="270"/>
      <c r="BT16" s="270"/>
      <c r="BU16" s="270"/>
      <c r="BV16" s="270"/>
      <c r="BW16" s="270"/>
      <c r="BX16" s="270"/>
      <c r="BY16" s="270"/>
      <c r="BZ16" s="270"/>
      <c r="CA16" s="270"/>
      <c r="CB16" s="270"/>
      <c r="CC16" s="270"/>
      <c r="CD16" s="270"/>
      <c r="CE16" s="270"/>
      <c r="CF16" s="270"/>
      <c r="CG16" s="270"/>
      <c r="CH16" s="270"/>
      <c r="CI16" s="270"/>
      <c r="CJ16" s="270"/>
      <c r="CK16" s="270"/>
      <c r="CL16" s="270"/>
      <c r="CM16" s="270"/>
      <c r="CN16" s="270"/>
      <c r="CO16" s="270"/>
      <c r="CP16" s="270"/>
      <c r="CQ16" s="270"/>
      <c r="CR16" s="270"/>
      <c r="CS16" s="270"/>
      <c r="CT16" s="270"/>
      <c r="CU16" s="272"/>
    </row>
    <row r="17" spans="1:99" s="273" customFormat="1" ht="12" customHeight="1" x14ac:dyDescent="0.2">
      <c r="A17" s="8">
        <v>58</v>
      </c>
      <c r="B17" s="8" t="s">
        <v>82</v>
      </c>
      <c r="C17" s="8" t="s">
        <v>211</v>
      </c>
      <c r="D17" s="8" t="s">
        <v>53</v>
      </c>
      <c r="E17" s="8" t="s">
        <v>331</v>
      </c>
      <c r="F17" s="8" t="s">
        <v>411</v>
      </c>
      <c r="G17" s="8" t="s">
        <v>414</v>
      </c>
      <c r="H17" s="9">
        <v>360</v>
      </c>
      <c r="I17" s="10">
        <v>5.077</v>
      </c>
      <c r="J17" s="10">
        <v>1.4E-2</v>
      </c>
      <c r="K17" s="10">
        <v>0.218</v>
      </c>
      <c r="L17" s="9">
        <v>143.30000000000001</v>
      </c>
      <c r="M17" s="11">
        <v>6</v>
      </c>
      <c r="N17" s="9">
        <v>3.9</v>
      </c>
      <c r="O17" s="10">
        <v>0.112</v>
      </c>
      <c r="P17" s="10">
        <v>2.8000000000000001E-2</v>
      </c>
      <c r="Q17" s="10">
        <v>0.189</v>
      </c>
      <c r="R17" s="9">
        <v>2.2999999999999998</v>
      </c>
      <c r="S17" s="11">
        <v>289</v>
      </c>
      <c r="T17" s="9">
        <v>0</v>
      </c>
      <c r="U17" s="9">
        <v>2.2999999999999998</v>
      </c>
      <c r="V17" s="11">
        <v>14</v>
      </c>
      <c r="W17" s="9">
        <v>11.4</v>
      </c>
      <c r="X17" s="10">
        <v>0.161</v>
      </c>
      <c r="Y17" s="10">
        <v>1.4E-2</v>
      </c>
      <c r="Z17" s="10">
        <v>0.216</v>
      </c>
      <c r="AA17" s="9">
        <v>6.3</v>
      </c>
      <c r="AB17" s="11">
        <v>826</v>
      </c>
      <c r="AC17" s="9">
        <v>0</v>
      </c>
      <c r="AD17" s="9">
        <v>11.4</v>
      </c>
      <c r="AE17" s="11">
        <v>1</v>
      </c>
      <c r="AF17" s="9">
        <v>0.9</v>
      </c>
      <c r="AG17" s="10">
        <v>2.7E-2</v>
      </c>
      <c r="AH17" s="10">
        <v>3.2000000000000001E-2</v>
      </c>
      <c r="AI17" s="9">
        <v>0</v>
      </c>
      <c r="AJ17" s="11">
        <v>1</v>
      </c>
      <c r="AK17" s="9">
        <v>359.1</v>
      </c>
      <c r="AL17" s="10">
        <v>5.0490000000000004</v>
      </c>
      <c r="AM17" s="10">
        <v>1.4E-2</v>
      </c>
      <c r="AN17" s="9">
        <v>143.30000000000001</v>
      </c>
      <c r="AO17" s="308"/>
      <c r="AP17" s="308"/>
      <c r="AQ17" s="308"/>
      <c r="AR17" s="308"/>
      <c r="AS17" s="12">
        <f>Table2[[#This Row],[Object_A_._head_time]]+Table2[[#This Row],[Object_B_._head_time]]</f>
        <v>15.3</v>
      </c>
      <c r="AT17" s="12"/>
      <c r="AU17" s="12"/>
      <c r="AV17" s="13"/>
      <c r="AW17" s="12"/>
      <c r="AX17" s="308">
        <f>(Table2[[#This Row],[Object_A_._head_time]]/(Table2[[#This Row],[Object_A_._head_time]]+Table2[[#This Row],[Object_B_._head_time]]))</f>
        <v>0.25490196078431371</v>
      </c>
      <c r="AY17" s="8" t="s">
        <v>487</v>
      </c>
      <c r="AZ17" s="8" t="s">
        <v>472</v>
      </c>
      <c r="BA17" s="8" t="s">
        <v>473</v>
      </c>
      <c r="BB17" s="11">
        <v>169</v>
      </c>
      <c r="BC17" s="9">
        <v>5.6333333333333337</v>
      </c>
      <c r="BD17" s="8" t="s">
        <v>474</v>
      </c>
      <c r="BE17" s="27">
        <v>3</v>
      </c>
      <c r="BF17" s="8"/>
      <c r="BG17" s="270"/>
      <c r="BH17" s="270"/>
      <c r="BI17" s="270"/>
      <c r="BJ17" s="270"/>
      <c r="BK17" s="270"/>
      <c r="BL17" s="270"/>
      <c r="BM17" s="270"/>
      <c r="BN17" s="270"/>
      <c r="BO17" s="270"/>
      <c r="BP17" s="270"/>
      <c r="BQ17" s="270"/>
      <c r="BR17" s="270"/>
      <c r="BS17" s="270"/>
      <c r="BT17" s="270"/>
      <c r="BU17" s="270"/>
      <c r="BV17" s="270"/>
      <c r="BW17" s="270"/>
      <c r="BX17" s="270"/>
      <c r="BY17" s="270"/>
      <c r="BZ17" s="270"/>
      <c r="CA17" s="270"/>
      <c r="CB17" s="270"/>
      <c r="CC17" s="270"/>
      <c r="CD17" s="270"/>
      <c r="CE17" s="270"/>
      <c r="CF17" s="270"/>
      <c r="CG17" s="270"/>
      <c r="CH17" s="270"/>
      <c r="CI17" s="270"/>
      <c r="CJ17" s="270"/>
      <c r="CK17" s="270"/>
      <c r="CL17" s="270"/>
      <c r="CM17" s="270"/>
      <c r="CN17" s="270"/>
      <c r="CO17" s="270"/>
      <c r="CP17" s="270"/>
      <c r="CQ17" s="270"/>
      <c r="CR17" s="270"/>
      <c r="CS17" s="270"/>
      <c r="CT17" s="270"/>
      <c r="CU17" s="272"/>
    </row>
    <row r="18" spans="1:99" s="273" customFormat="1" ht="12" customHeight="1" x14ac:dyDescent="0.2">
      <c r="A18" s="8">
        <v>63</v>
      </c>
      <c r="B18" s="8" t="s">
        <v>85</v>
      </c>
      <c r="C18" s="8" t="s">
        <v>211</v>
      </c>
      <c r="D18" s="8" t="s">
        <v>41</v>
      </c>
      <c r="E18" s="8" t="s">
        <v>331</v>
      </c>
      <c r="F18" s="8" t="s">
        <v>415</v>
      </c>
      <c r="G18" s="8" t="s">
        <v>416</v>
      </c>
      <c r="H18" s="9">
        <v>360</v>
      </c>
      <c r="I18" s="10">
        <v>8.3539999999999992</v>
      </c>
      <c r="J18" s="10">
        <v>2.3E-2</v>
      </c>
      <c r="K18" s="10">
        <v>0.309</v>
      </c>
      <c r="L18" s="9">
        <v>158.5</v>
      </c>
      <c r="M18" s="11">
        <v>48</v>
      </c>
      <c r="N18" s="9">
        <v>123.7</v>
      </c>
      <c r="O18" s="10">
        <v>1.5149999999999999</v>
      </c>
      <c r="P18" s="10">
        <v>1.2E-2</v>
      </c>
      <c r="Q18" s="10">
        <v>0.309</v>
      </c>
      <c r="R18" s="9">
        <v>34.1</v>
      </c>
      <c r="S18" s="11">
        <v>9177</v>
      </c>
      <c r="T18" s="9">
        <v>63.5</v>
      </c>
      <c r="U18" s="9">
        <v>66.8</v>
      </c>
      <c r="V18" s="11">
        <v>52</v>
      </c>
      <c r="W18" s="9">
        <v>74.599999999999994</v>
      </c>
      <c r="X18" s="10">
        <v>0.65900000000000003</v>
      </c>
      <c r="Y18" s="10">
        <v>8.9999999999999993E-3</v>
      </c>
      <c r="Z18" s="10">
        <v>0.29199999999999998</v>
      </c>
      <c r="AA18" s="9">
        <v>23.2</v>
      </c>
      <c r="AB18" s="11">
        <v>3105</v>
      </c>
      <c r="AC18" s="9">
        <v>49.3</v>
      </c>
      <c r="AD18" s="9">
        <v>58.7</v>
      </c>
      <c r="AE18" s="11">
        <v>17</v>
      </c>
      <c r="AF18" s="9">
        <v>19.8</v>
      </c>
      <c r="AG18" s="10">
        <v>1.4650000000000001</v>
      </c>
      <c r="AH18" s="10">
        <v>7.3999999999999996E-2</v>
      </c>
      <c r="AI18" s="9">
        <v>1.1000000000000001</v>
      </c>
      <c r="AJ18" s="11">
        <v>17</v>
      </c>
      <c r="AK18" s="9">
        <v>340.2</v>
      </c>
      <c r="AL18" s="10">
        <v>6.8879999999999999</v>
      </c>
      <c r="AM18" s="10">
        <v>0.02</v>
      </c>
      <c r="AN18" s="9">
        <v>157.4</v>
      </c>
      <c r="AO18" s="308"/>
      <c r="AP18" s="308"/>
      <c r="AQ18" s="308"/>
      <c r="AR18" s="308"/>
      <c r="AS18" s="12">
        <f>Table2[[#This Row],[Object_A_._head_time]]+Table2[[#This Row],[Object_B_._head_time]]</f>
        <v>198.3</v>
      </c>
      <c r="AT18" s="12"/>
      <c r="AU18" s="12"/>
      <c r="AV18" s="13"/>
      <c r="AW18" s="12"/>
      <c r="AX18" s="308">
        <f>(Table2[[#This Row],[Object_A_._head_time]]/(Table2[[#This Row],[Object_A_._head_time]]+Table2[[#This Row],[Object_B_._head_time]]))</f>
        <v>0.62380231971759958</v>
      </c>
      <c r="AY18" s="8" t="s">
        <v>486</v>
      </c>
      <c r="AZ18" s="8" t="s">
        <v>472</v>
      </c>
      <c r="BA18" s="8" t="s">
        <v>473</v>
      </c>
      <c r="BB18" s="11">
        <v>159</v>
      </c>
      <c r="BC18" s="9">
        <v>5.3</v>
      </c>
      <c r="BD18" s="8" t="s">
        <v>474</v>
      </c>
      <c r="BE18" s="27">
        <v>3</v>
      </c>
      <c r="BF18" s="8"/>
      <c r="BG18" s="270"/>
      <c r="BH18" s="270"/>
      <c r="BI18" s="270"/>
      <c r="BJ18" s="270"/>
      <c r="BK18" s="270"/>
      <c r="BL18" s="270"/>
      <c r="BM18" s="270"/>
      <c r="BN18" s="270"/>
      <c r="BO18" s="270"/>
      <c r="BP18" s="270"/>
      <c r="BQ18" s="270"/>
      <c r="BR18" s="270"/>
      <c r="BS18" s="270"/>
      <c r="BT18" s="270"/>
      <c r="BU18" s="270"/>
      <c r="BV18" s="270"/>
      <c r="BW18" s="270"/>
      <c r="BX18" s="270"/>
      <c r="BY18" s="270"/>
      <c r="BZ18" s="270"/>
      <c r="CA18" s="270"/>
      <c r="CB18" s="270"/>
      <c r="CC18" s="270"/>
      <c r="CD18" s="270"/>
      <c r="CE18" s="270"/>
      <c r="CF18" s="270"/>
      <c r="CG18" s="270"/>
      <c r="CH18" s="270"/>
      <c r="CI18" s="270"/>
      <c r="CJ18" s="270"/>
      <c r="CK18" s="270"/>
      <c r="CL18" s="270"/>
      <c r="CM18" s="270"/>
      <c r="CN18" s="270"/>
      <c r="CO18" s="270"/>
      <c r="CP18" s="270"/>
      <c r="CQ18" s="270"/>
      <c r="CR18" s="270"/>
      <c r="CS18" s="270"/>
      <c r="CT18" s="270"/>
      <c r="CU18" s="272"/>
    </row>
    <row r="19" spans="1:99" s="273" customFormat="1" ht="12" customHeight="1" x14ac:dyDescent="0.2">
      <c r="A19" s="8">
        <v>62</v>
      </c>
      <c r="B19" s="8" t="s">
        <v>87</v>
      </c>
      <c r="C19" s="8" t="s">
        <v>211</v>
      </c>
      <c r="D19" s="8" t="s">
        <v>46</v>
      </c>
      <c r="E19" s="8" t="s">
        <v>331</v>
      </c>
      <c r="F19" s="8" t="s">
        <v>415</v>
      </c>
      <c r="G19" s="8" t="s">
        <v>417</v>
      </c>
      <c r="H19" s="9">
        <v>360</v>
      </c>
      <c r="I19" s="10">
        <v>13.321</v>
      </c>
      <c r="J19" s="10">
        <v>3.6999999999999998E-2</v>
      </c>
      <c r="K19" s="10">
        <v>0.23899999999999999</v>
      </c>
      <c r="L19" s="9">
        <v>65</v>
      </c>
      <c r="M19" s="11">
        <v>31</v>
      </c>
      <c r="N19" s="9">
        <v>48</v>
      </c>
      <c r="O19" s="10">
        <v>1.905</v>
      </c>
      <c r="P19" s="10">
        <v>0.04</v>
      </c>
      <c r="Q19" s="10">
        <v>0.216</v>
      </c>
      <c r="R19" s="9">
        <v>9.5</v>
      </c>
      <c r="S19" s="11">
        <v>4387</v>
      </c>
      <c r="T19" s="9">
        <v>4.5</v>
      </c>
      <c r="U19" s="9">
        <v>7.3</v>
      </c>
      <c r="V19" s="11">
        <v>41</v>
      </c>
      <c r="W19" s="9">
        <v>37.9</v>
      </c>
      <c r="X19" s="10">
        <v>2.4980000000000002</v>
      </c>
      <c r="Y19" s="10">
        <v>6.6000000000000003E-2</v>
      </c>
      <c r="Z19" s="10">
        <v>0.23899999999999999</v>
      </c>
      <c r="AA19" s="9">
        <v>8</v>
      </c>
      <c r="AB19" s="11">
        <v>4037</v>
      </c>
      <c r="AC19" s="9">
        <v>0.1</v>
      </c>
      <c r="AD19" s="9">
        <v>10.199999999999999</v>
      </c>
      <c r="AE19" s="11">
        <v>20</v>
      </c>
      <c r="AF19" s="9">
        <v>94</v>
      </c>
      <c r="AG19" s="10">
        <v>3.7869999999999999</v>
      </c>
      <c r="AH19" s="10">
        <v>0.04</v>
      </c>
      <c r="AI19" s="9">
        <v>7.2</v>
      </c>
      <c r="AJ19" s="11">
        <v>19</v>
      </c>
      <c r="AK19" s="9">
        <v>266</v>
      </c>
      <c r="AL19" s="10">
        <v>9.5340000000000007</v>
      </c>
      <c r="AM19" s="10">
        <v>3.5999999999999997E-2</v>
      </c>
      <c r="AN19" s="9">
        <v>57.8</v>
      </c>
      <c r="AO19" s="308"/>
      <c r="AP19" s="308"/>
      <c r="AQ19" s="308"/>
      <c r="AR19" s="308"/>
      <c r="AS19" s="12">
        <f>Table2[[#This Row],[Object_A_._head_time]]+Table2[[#This Row],[Object_B_._head_time]]</f>
        <v>85.9</v>
      </c>
      <c r="AT19" s="12"/>
      <c r="AU19" s="12"/>
      <c r="AV19" s="13"/>
      <c r="AW19" s="12"/>
      <c r="AX19" s="308">
        <f>(Table2[[#This Row],[Object_A_._head_time]]/(Table2[[#This Row],[Object_A_._head_time]]+Table2[[#This Row],[Object_B_._head_time]]))</f>
        <v>0.55878928987194409</v>
      </c>
      <c r="AY19" s="8" t="s">
        <v>486</v>
      </c>
      <c r="AZ19" s="8" t="s">
        <v>476</v>
      </c>
      <c r="BA19" s="8" t="s">
        <v>473</v>
      </c>
      <c r="BB19" s="11">
        <v>159</v>
      </c>
      <c r="BC19" s="9">
        <v>5.3</v>
      </c>
      <c r="BD19" s="8" t="s">
        <v>477</v>
      </c>
      <c r="BE19" s="27">
        <v>8</v>
      </c>
      <c r="BF19" s="8"/>
      <c r="BG19" s="270"/>
      <c r="BH19" s="270"/>
      <c r="BI19" s="270"/>
      <c r="BJ19" s="270"/>
      <c r="BK19" s="270"/>
      <c r="BL19" s="270"/>
      <c r="BM19" s="270"/>
      <c r="BN19" s="270"/>
      <c r="BO19" s="270"/>
      <c r="BP19" s="270"/>
      <c r="BQ19" s="270"/>
      <c r="BR19" s="270"/>
      <c r="BS19" s="270"/>
      <c r="BT19" s="270"/>
      <c r="BU19" s="270"/>
      <c r="BV19" s="270"/>
      <c r="BW19" s="270"/>
      <c r="BX19" s="270"/>
      <c r="BY19" s="270"/>
      <c r="BZ19" s="270"/>
      <c r="CA19" s="270"/>
      <c r="CB19" s="270"/>
      <c r="CC19" s="270"/>
      <c r="CD19" s="270"/>
      <c r="CE19" s="270"/>
      <c r="CF19" s="270"/>
      <c r="CG19" s="270"/>
      <c r="CH19" s="270"/>
      <c r="CI19" s="270"/>
      <c r="CJ19" s="270"/>
      <c r="CK19" s="270"/>
      <c r="CL19" s="270"/>
      <c r="CM19" s="270"/>
      <c r="CN19" s="270"/>
      <c r="CO19" s="270"/>
      <c r="CP19" s="270"/>
      <c r="CQ19" s="270"/>
      <c r="CR19" s="270"/>
      <c r="CS19" s="270"/>
      <c r="CT19" s="270"/>
      <c r="CU19" s="272"/>
    </row>
    <row r="20" spans="1:99" s="273" customFormat="1" ht="12" customHeight="1" x14ac:dyDescent="0.2">
      <c r="A20" s="8">
        <v>61</v>
      </c>
      <c r="B20" s="8" t="s">
        <v>89</v>
      </c>
      <c r="C20" s="8" t="s">
        <v>211</v>
      </c>
      <c r="D20" s="8" t="s">
        <v>49</v>
      </c>
      <c r="E20" s="8" t="s">
        <v>331</v>
      </c>
      <c r="F20" s="8" t="s">
        <v>415</v>
      </c>
      <c r="G20" s="8" t="s">
        <v>418</v>
      </c>
      <c r="H20" s="9">
        <v>360</v>
      </c>
      <c r="I20" s="10">
        <v>6.7510000000000003</v>
      </c>
      <c r="J20" s="10">
        <v>1.9E-2</v>
      </c>
      <c r="K20" s="10">
        <v>0.27700000000000002</v>
      </c>
      <c r="L20" s="9">
        <v>197.9</v>
      </c>
      <c r="M20" s="11">
        <v>13</v>
      </c>
      <c r="N20" s="9">
        <v>9.5</v>
      </c>
      <c r="O20" s="10">
        <v>0.32</v>
      </c>
      <c r="P20" s="10">
        <v>3.4000000000000002E-2</v>
      </c>
      <c r="Q20" s="10">
        <v>0.2</v>
      </c>
      <c r="R20" s="9">
        <v>5</v>
      </c>
      <c r="S20" s="11">
        <v>702</v>
      </c>
      <c r="T20" s="9">
        <v>0</v>
      </c>
      <c r="U20" s="9">
        <v>7.4</v>
      </c>
      <c r="V20" s="11">
        <v>9</v>
      </c>
      <c r="W20" s="9">
        <v>5.0999999999999996</v>
      </c>
      <c r="X20" s="10">
        <v>0.22600000000000001</v>
      </c>
      <c r="Y20" s="10">
        <v>4.3999999999999997E-2</v>
      </c>
      <c r="Z20" s="10">
        <v>0.20599999999999999</v>
      </c>
      <c r="AA20" s="9">
        <v>1.3</v>
      </c>
      <c r="AB20" s="11">
        <v>472</v>
      </c>
      <c r="AC20" s="9">
        <v>0</v>
      </c>
      <c r="AD20" s="9">
        <v>3.5</v>
      </c>
      <c r="AE20" s="11">
        <v>5</v>
      </c>
      <c r="AF20" s="9">
        <v>8.8000000000000007</v>
      </c>
      <c r="AG20" s="10">
        <v>0.58299999999999996</v>
      </c>
      <c r="AH20" s="10">
        <v>6.6000000000000003E-2</v>
      </c>
      <c r="AI20" s="9">
        <v>0</v>
      </c>
      <c r="AJ20" s="11">
        <v>5</v>
      </c>
      <c r="AK20" s="9">
        <v>351.2</v>
      </c>
      <c r="AL20" s="10">
        <v>6.1680000000000001</v>
      </c>
      <c r="AM20" s="10">
        <v>1.7999999999999999E-2</v>
      </c>
      <c r="AN20" s="9">
        <v>197.9</v>
      </c>
      <c r="AO20" s="308"/>
      <c r="AP20" s="308"/>
      <c r="AQ20" s="308"/>
      <c r="AR20" s="308"/>
      <c r="AS20" s="12">
        <f>Table2[[#This Row],[Object_A_._head_time]]+Table2[[#This Row],[Object_B_._head_time]]</f>
        <v>14.6</v>
      </c>
      <c r="AT20" s="12"/>
      <c r="AU20" s="12"/>
      <c r="AV20" s="13"/>
      <c r="AW20" s="12"/>
      <c r="AX20" s="308">
        <f>(Table2[[#This Row],[Object_A_._head_time]]/(Table2[[#This Row],[Object_A_._head_time]]+Table2[[#This Row],[Object_B_._head_time]]))</f>
        <v>0.65068493150684936</v>
      </c>
      <c r="AY20" s="8" t="s">
        <v>487</v>
      </c>
      <c r="AZ20" s="8" t="s">
        <v>472</v>
      </c>
      <c r="BA20" s="8" t="s">
        <v>473</v>
      </c>
      <c r="BB20" s="11">
        <v>159</v>
      </c>
      <c r="BC20" s="9">
        <v>5.3</v>
      </c>
      <c r="BD20" s="8" t="s">
        <v>474</v>
      </c>
      <c r="BE20" s="27">
        <v>3</v>
      </c>
      <c r="BF20" s="8"/>
      <c r="BG20" s="270"/>
      <c r="BH20" s="270"/>
      <c r="BI20" s="270"/>
      <c r="BJ20" s="270"/>
      <c r="BK20" s="270"/>
      <c r="BL20" s="270"/>
      <c r="BM20" s="270"/>
      <c r="BN20" s="270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0"/>
      <c r="CQ20" s="270"/>
      <c r="CR20" s="270"/>
      <c r="CS20" s="270"/>
      <c r="CT20" s="270"/>
      <c r="CU20" s="272"/>
    </row>
    <row r="21" spans="1:99" s="273" customFormat="1" ht="12" customHeight="1" x14ac:dyDescent="0.2">
      <c r="A21" s="8">
        <v>60</v>
      </c>
      <c r="B21" s="8" t="s">
        <v>91</v>
      </c>
      <c r="C21" s="8" t="s">
        <v>211</v>
      </c>
      <c r="D21" s="8" t="s">
        <v>53</v>
      </c>
      <c r="E21" s="8" t="s">
        <v>331</v>
      </c>
      <c r="F21" s="8" t="s">
        <v>419</v>
      </c>
      <c r="G21" s="8" t="s">
        <v>420</v>
      </c>
      <c r="H21" s="9">
        <v>360</v>
      </c>
      <c r="I21" s="10">
        <v>9.1940000000000008</v>
      </c>
      <c r="J21" s="10">
        <v>2.5999999999999999E-2</v>
      </c>
      <c r="K21" s="10">
        <v>0.29799999999999999</v>
      </c>
      <c r="L21" s="9">
        <v>143</v>
      </c>
      <c r="M21" s="11">
        <v>16</v>
      </c>
      <c r="N21" s="9">
        <v>14</v>
      </c>
      <c r="O21" s="10">
        <v>0.69499999999999995</v>
      </c>
      <c r="P21" s="10">
        <v>0.05</v>
      </c>
      <c r="Q21" s="10">
        <v>0.23200000000000001</v>
      </c>
      <c r="R21" s="9">
        <v>7.8</v>
      </c>
      <c r="S21" s="11">
        <v>1217</v>
      </c>
      <c r="T21" s="9">
        <v>0</v>
      </c>
      <c r="U21" s="9">
        <v>10.9</v>
      </c>
      <c r="V21" s="11">
        <v>17</v>
      </c>
      <c r="W21" s="9">
        <v>14.9</v>
      </c>
      <c r="X21" s="10">
        <v>0.65500000000000003</v>
      </c>
      <c r="Y21" s="10">
        <v>4.3999999999999997E-2</v>
      </c>
      <c r="Z21" s="10">
        <v>0.191</v>
      </c>
      <c r="AA21" s="9">
        <v>9.3000000000000007</v>
      </c>
      <c r="AB21" s="11">
        <v>1409</v>
      </c>
      <c r="AC21" s="9">
        <v>0</v>
      </c>
      <c r="AD21" s="9">
        <v>11.5</v>
      </c>
      <c r="AE21" s="11">
        <v>8</v>
      </c>
      <c r="AF21" s="9">
        <v>15</v>
      </c>
      <c r="AG21" s="10">
        <v>1.371</v>
      </c>
      <c r="AH21" s="10">
        <v>9.0999999999999998E-2</v>
      </c>
      <c r="AI21" s="9">
        <v>0</v>
      </c>
      <c r="AJ21" s="11">
        <v>9</v>
      </c>
      <c r="AK21" s="9">
        <v>345</v>
      </c>
      <c r="AL21" s="10">
        <v>7.8230000000000004</v>
      </c>
      <c r="AM21" s="10">
        <v>2.3E-2</v>
      </c>
      <c r="AN21" s="9">
        <v>143</v>
      </c>
      <c r="AO21" s="308"/>
      <c r="AP21" s="308"/>
      <c r="AQ21" s="308"/>
      <c r="AR21" s="308"/>
      <c r="AS21" s="12">
        <f>Table2[[#This Row],[Object_A_._head_time]]+Table2[[#This Row],[Object_B_._head_time]]</f>
        <v>28.9</v>
      </c>
      <c r="AT21" s="12"/>
      <c r="AU21" s="12"/>
      <c r="AV21" s="13"/>
      <c r="AW21" s="12"/>
      <c r="AX21" s="308">
        <f>(Table2[[#This Row],[Object_A_._head_time]]/(Table2[[#This Row],[Object_A_._head_time]]+Table2[[#This Row],[Object_B_._head_time]]))</f>
        <v>0.48442906574394468</v>
      </c>
      <c r="AY21" s="8" t="s">
        <v>487</v>
      </c>
      <c r="AZ21" s="8" t="s">
        <v>476</v>
      </c>
      <c r="BA21" s="8" t="s">
        <v>475</v>
      </c>
      <c r="BB21" s="11">
        <v>159</v>
      </c>
      <c r="BC21" s="9">
        <v>5.3</v>
      </c>
      <c r="BD21" s="8" t="s">
        <v>474</v>
      </c>
      <c r="BE21" s="27">
        <v>5</v>
      </c>
      <c r="BF21" s="8"/>
      <c r="BG21" s="270"/>
      <c r="BH21" s="270"/>
      <c r="BI21" s="270"/>
      <c r="BJ21" s="270"/>
      <c r="BK21" s="270"/>
      <c r="BL21" s="270"/>
      <c r="BM21" s="270"/>
      <c r="BN21" s="270"/>
      <c r="BO21" s="270"/>
      <c r="BP21" s="270"/>
      <c r="BQ21" s="270"/>
      <c r="BR21" s="270"/>
      <c r="BS21" s="270"/>
      <c r="BT21" s="270"/>
      <c r="BU21" s="270"/>
      <c r="BV21" s="270"/>
      <c r="BW21" s="270"/>
      <c r="BX21" s="270"/>
      <c r="BY21" s="270"/>
      <c r="BZ21" s="270"/>
      <c r="CA21" s="270"/>
      <c r="CB21" s="270"/>
      <c r="CC21" s="270"/>
      <c r="CD21" s="270"/>
      <c r="CE21" s="270"/>
      <c r="CF21" s="270"/>
      <c r="CG21" s="270"/>
      <c r="CH21" s="270"/>
      <c r="CI21" s="270"/>
      <c r="CJ21" s="270"/>
      <c r="CK21" s="270"/>
      <c r="CL21" s="270"/>
      <c r="CM21" s="270"/>
      <c r="CN21" s="270"/>
      <c r="CO21" s="270"/>
      <c r="CP21" s="270"/>
      <c r="CQ21" s="270"/>
      <c r="CR21" s="270"/>
      <c r="CS21" s="270"/>
      <c r="CT21" s="270"/>
      <c r="CU21" s="272"/>
    </row>
    <row r="22" spans="1:99" s="273" customFormat="1" ht="12" customHeight="1" x14ac:dyDescent="0.2">
      <c r="A22" s="8">
        <v>65</v>
      </c>
      <c r="B22" s="8" t="s">
        <v>96</v>
      </c>
      <c r="C22" s="8" t="s">
        <v>211</v>
      </c>
      <c r="D22" s="8" t="s">
        <v>41</v>
      </c>
      <c r="E22" s="8" t="s">
        <v>331</v>
      </c>
      <c r="F22" s="8" t="s">
        <v>421</v>
      </c>
      <c r="G22" s="8" t="s">
        <v>422</v>
      </c>
      <c r="H22" s="9">
        <v>360</v>
      </c>
      <c r="I22" s="10">
        <v>6.8230000000000004</v>
      </c>
      <c r="J22" s="10">
        <v>1.9E-2</v>
      </c>
      <c r="K22" s="10">
        <v>0.218</v>
      </c>
      <c r="L22" s="9">
        <v>140</v>
      </c>
      <c r="M22" s="11">
        <v>36</v>
      </c>
      <c r="N22" s="9">
        <v>75.2</v>
      </c>
      <c r="O22" s="10">
        <v>1.2929999999999999</v>
      </c>
      <c r="P22" s="10">
        <v>1.7000000000000001E-2</v>
      </c>
      <c r="Q22" s="10">
        <v>0.218</v>
      </c>
      <c r="R22" s="9">
        <v>24.7</v>
      </c>
      <c r="S22" s="11">
        <v>6193</v>
      </c>
      <c r="T22" s="9">
        <v>17.399999999999999</v>
      </c>
      <c r="U22" s="9">
        <v>29</v>
      </c>
      <c r="V22" s="11">
        <v>15</v>
      </c>
      <c r="W22" s="9">
        <v>17.2</v>
      </c>
      <c r="X22" s="10">
        <v>0.55800000000000005</v>
      </c>
      <c r="Y22" s="10">
        <v>3.2000000000000001E-2</v>
      </c>
      <c r="Z22" s="10">
        <v>0.19700000000000001</v>
      </c>
      <c r="AA22" s="9">
        <v>6</v>
      </c>
      <c r="AB22" s="11">
        <v>1436</v>
      </c>
      <c r="AC22" s="9">
        <v>0</v>
      </c>
      <c r="AD22" s="9">
        <v>5.3</v>
      </c>
      <c r="AE22" s="11">
        <v>44</v>
      </c>
      <c r="AF22" s="9">
        <v>82.6</v>
      </c>
      <c r="AG22" s="10">
        <v>2.6019999999999999</v>
      </c>
      <c r="AH22" s="10">
        <v>3.2000000000000001E-2</v>
      </c>
      <c r="AI22" s="9">
        <v>25.6</v>
      </c>
      <c r="AJ22" s="11">
        <v>43</v>
      </c>
      <c r="AK22" s="9">
        <v>277.39999999999998</v>
      </c>
      <c r="AL22" s="10">
        <v>4.2210000000000001</v>
      </c>
      <c r="AM22" s="10">
        <v>1.4999999999999999E-2</v>
      </c>
      <c r="AN22" s="9">
        <v>114.4</v>
      </c>
      <c r="AO22" s="308"/>
      <c r="AP22" s="308"/>
      <c r="AQ22" s="308"/>
      <c r="AR22" s="308"/>
      <c r="AS22" s="12">
        <f>Table2[[#This Row],[Object_A_._head_time]]+Table2[[#This Row],[Object_B_._head_time]]</f>
        <v>92.4</v>
      </c>
      <c r="AT22" s="12"/>
      <c r="AU22" s="12"/>
      <c r="AV22" s="13"/>
      <c r="AW22" s="12"/>
      <c r="AX22" s="311">
        <f>(Table2[[#This Row],[Object_A_._head_time]]/(Table2[[#This Row],[Object_A_._head_time]]+Table2[[#This Row],[Object_B_._head_time]]))</f>
        <v>0.81385281385281383</v>
      </c>
      <c r="AY22" s="8" t="s">
        <v>486</v>
      </c>
      <c r="AZ22" s="8" t="s">
        <v>476</v>
      </c>
      <c r="BA22" s="8" t="s">
        <v>475</v>
      </c>
      <c r="BB22" s="11">
        <v>151</v>
      </c>
      <c r="BC22" s="9">
        <v>5.0333333333333332</v>
      </c>
      <c r="BD22" s="8" t="s">
        <v>477</v>
      </c>
      <c r="BE22" s="27">
        <v>6</v>
      </c>
      <c r="BF22" s="8"/>
      <c r="BG22" s="270"/>
      <c r="BH22" s="270"/>
      <c r="BI22" s="270"/>
      <c r="BJ22" s="270"/>
      <c r="BK22" s="270"/>
      <c r="BL22" s="270"/>
      <c r="BM22" s="270"/>
      <c r="BN22" s="270"/>
      <c r="BO22" s="270"/>
      <c r="BP22" s="270"/>
      <c r="BQ22" s="270"/>
      <c r="BR22" s="270"/>
      <c r="BS22" s="270"/>
      <c r="BT22" s="270"/>
      <c r="BU22" s="270"/>
      <c r="BV22" s="270"/>
      <c r="BW22" s="270"/>
      <c r="BX22" s="270"/>
      <c r="BY22" s="270"/>
      <c r="BZ22" s="270"/>
      <c r="CA22" s="270"/>
      <c r="CB22" s="270"/>
      <c r="CC22" s="270"/>
      <c r="CD22" s="270"/>
      <c r="CE22" s="270"/>
      <c r="CF22" s="270"/>
      <c r="CG22" s="270"/>
      <c r="CH22" s="270"/>
      <c r="CI22" s="270"/>
      <c r="CJ22" s="270"/>
      <c r="CK22" s="270"/>
      <c r="CL22" s="270"/>
      <c r="CM22" s="270"/>
      <c r="CN22" s="270"/>
      <c r="CO22" s="270"/>
      <c r="CP22" s="270"/>
      <c r="CQ22" s="270"/>
      <c r="CR22" s="270"/>
      <c r="CS22" s="270"/>
      <c r="CT22" s="270"/>
      <c r="CU22" s="272"/>
    </row>
    <row r="23" spans="1:99" s="273" customFormat="1" ht="12" customHeight="1" x14ac:dyDescent="0.2">
      <c r="A23" s="8">
        <v>64</v>
      </c>
      <c r="B23" s="8" t="s">
        <v>98</v>
      </c>
      <c r="C23" s="8" t="s">
        <v>211</v>
      </c>
      <c r="D23" s="8" t="s">
        <v>46</v>
      </c>
      <c r="E23" s="8" t="s">
        <v>331</v>
      </c>
      <c r="F23" s="8" t="s">
        <v>421</v>
      </c>
      <c r="G23" s="8" t="s">
        <v>423</v>
      </c>
      <c r="H23" s="9">
        <v>360</v>
      </c>
      <c r="I23" s="10">
        <v>9.0579999999999998</v>
      </c>
      <c r="J23" s="10">
        <v>2.5000000000000001E-2</v>
      </c>
      <c r="K23" s="10">
        <v>0.23300000000000001</v>
      </c>
      <c r="L23" s="9">
        <v>182</v>
      </c>
      <c r="M23" s="11">
        <v>26</v>
      </c>
      <c r="N23" s="9">
        <v>175.7</v>
      </c>
      <c r="O23" s="10">
        <v>2.056</v>
      </c>
      <c r="P23" s="10">
        <v>1.2E-2</v>
      </c>
      <c r="Q23" s="10">
        <v>0.218</v>
      </c>
      <c r="R23" s="9">
        <v>137.4</v>
      </c>
      <c r="S23" s="11">
        <v>8652</v>
      </c>
      <c r="T23" s="9">
        <v>133.19999999999999</v>
      </c>
      <c r="U23" s="9">
        <v>138.4</v>
      </c>
      <c r="V23" s="11">
        <v>16</v>
      </c>
      <c r="W23" s="9">
        <v>24.1</v>
      </c>
      <c r="X23" s="10">
        <v>1.411</v>
      </c>
      <c r="Y23" s="10">
        <v>5.8000000000000003E-2</v>
      </c>
      <c r="Z23" s="10">
        <v>0.20699999999999999</v>
      </c>
      <c r="AA23" s="9">
        <v>7.7</v>
      </c>
      <c r="AB23" s="11">
        <v>2480</v>
      </c>
      <c r="AC23" s="9">
        <v>0</v>
      </c>
      <c r="AD23" s="9">
        <v>5.2</v>
      </c>
      <c r="AE23" s="11">
        <v>18</v>
      </c>
      <c r="AF23" s="9">
        <v>43</v>
      </c>
      <c r="AG23" s="10">
        <v>2.7290000000000001</v>
      </c>
      <c r="AH23" s="10">
        <v>6.4000000000000001E-2</v>
      </c>
      <c r="AI23" s="9">
        <v>0</v>
      </c>
      <c r="AJ23" s="11">
        <v>18</v>
      </c>
      <c r="AK23" s="9">
        <v>317</v>
      </c>
      <c r="AL23" s="10">
        <v>6.3289999999999997</v>
      </c>
      <c r="AM23" s="10">
        <v>0.02</v>
      </c>
      <c r="AN23" s="9">
        <v>182</v>
      </c>
      <c r="AO23" s="308"/>
      <c r="AP23" s="308"/>
      <c r="AQ23" s="308"/>
      <c r="AR23" s="308"/>
      <c r="AS23" s="12">
        <f>Table2[[#This Row],[Object_A_._head_time]]+Table2[[#This Row],[Object_B_._head_time]]</f>
        <v>199.79999999999998</v>
      </c>
      <c r="AT23" s="12"/>
      <c r="AU23" s="12"/>
      <c r="AV23" s="13"/>
      <c r="AW23" s="12"/>
      <c r="AX23" s="311">
        <f>(Table2[[#This Row],[Object_A_._head_time]]/(Table2[[#This Row],[Object_A_._head_time]]+Table2[[#This Row],[Object_B_._head_time]]))</f>
        <v>0.87937937937937938</v>
      </c>
      <c r="AY23" s="8" t="s">
        <v>486</v>
      </c>
      <c r="AZ23" s="8" t="s">
        <v>476</v>
      </c>
      <c r="BA23" s="8" t="s">
        <v>475</v>
      </c>
      <c r="BB23" s="11">
        <v>151</v>
      </c>
      <c r="BC23" s="9">
        <v>5.0333333333333332</v>
      </c>
      <c r="BD23" s="8" t="s">
        <v>474</v>
      </c>
      <c r="BE23" s="27">
        <v>5</v>
      </c>
      <c r="BF23" s="8"/>
      <c r="BG23" s="270"/>
      <c r="BH23" s="270"/>
      <c r="BI23" s="270"/>
      <c r="BJ23" s="270"/>
      <c r="BK23" s="270"/>
      <c r="BL23" s="270"/>
      <c r="BM23" s="270"/>
      <c r="BN23" s="270"/>
      <c r="BO23" s="270"/>
      <c r="BP23" s="270"/>
      <c r="BQ23" s="270"/>
      <c r="BR23" s="270"/>
      <c r="BS23" s="270"/>
      <c r="BT23" s="270"/>
      <c r="BU23" s="270"/>
      <c r="BV23" s="270"/>
      <c r="BW23" s="270"/>
      <c r="BX23" s="270"/>
      <c r="BY23" s="270"/>
      <c r="BZ23" s="270"/>
      <c r="CA23" s="270"/>
      <c r="CB23" s="270"/>
      <c r="CC23" s="270"/>
      <c r="CD23" s="270"/>
      <c r="CE23" s="270"/>
      <c r="CF23" s="270"/>
      <c r="CG23" s="270"/>
      <c r="CH23" s="270"/>
      <c r="CI23" s="270"/>
      <c r="CJ23" s="270"/>
      <c r="CK23" s="270"/>
      <c r="CL23" s="270"/>
      <c r="CM23" s="270"/>
      <c r="CN23" s="270"/>
      <c r="CO23" s="270"/>
      <c r="CP23" s="270"/>
      <c r="CQ23" s="270"/>
      <c r="CR23" s="270"/>
      <c r="CS23" s="270"/>
      <c r="CT23" s="270"/>
      <c r="CU23" s="272"/>
    </row>
    <row r="24" spans="1:99" s="273" customFormat="1" ht="12" customHeight="1" x14ac:dyDescent="0.2">
      <c r="A24" s="8">
        <v>66</v>
      </c>
      <c r="B24" s="8" t="s">
        <v>103</v>
      </c>
      <c r="C24" s="8" t="s">
        <v>211</v>
      </c>
      <c r="D24" s="8" t="s">
        <v>49</v>
      </c>
      <c r="E24" s="8" t="s">
        <v>331</v>
      </c>
      <c r="F24" s="8" t="s">
        <v>421</v>
      </c>
      <c r="G24" s="8" t="s">
        <v>424</v>
      </c>
      <c r="H24" s="9">
        <v>360</v>
      </c>
      <c r="I24" s="10">
        <v>10.79</v>
      </c>
      <c r="J24" s="10">
        <v>0.03</v>
      </c>
      <c r="K24" s="10">
        <v>0.29699999999999999</v>
      </c>
      <c r="L24" s="9">
        <v>94.3</v>
      </c>
      <c r="M24" s="11">
        <v>27</v>
      </c>
      <c r="N24" s="9">
        <v>46.6</v>
      </c>
      <c r="O24" s="10">
        <v>2.2410000000000001</v>
      </c>
      <c r="P24" s="10">
        <v>4.8000000000000001E-2</v>
      </c>
      <c r="Q24" s="10">
        <v>0.27700000000000002</v>
      </c>
      <c r="R24" s="9">
        <v>10.199999999999999</v>
      </c>
      <c r="S24" s="11">
        <v>4396</v>
      </c>
      <c r="T24" s="9">
        <v>2.4</v>
      </c>
      <c r="U24" s="9">
        <v>8.5</v>
      </c>
      <c r="V24" s="11">
        <v>16</v>
      </c>
      <c r="W24" s="9">
        <v>31.8</v>
      </c>
      <c r="X24" s="10">
        <v>1.083</v>
      </c>
      <c r="Y24" s="10">
        <v>3.4000000000000002E-2</v>
      </c>
      <c r="Z24" s="10">
        <v>0.26100000000000001</v>
      </c>
      <c r="AA24" s="9">
        <v>7.1</v>
      </c>
      <c r="AB24" s="11">
        <v>2232</v>
      </c>
      <c r="AC24" s="9">
        <v>5.5</v>
      </c>
      <c r="AD24" s="9">
        <v>4</v>
      </c>
      <c r="AE24" s="11">
        <v>13</v>
      </c>
      <c r="AF24" s="9">
        <v>61.7</v>
      </c>
      <c r="AG24" s="10">
        <v>2.8</v>
      </c>
      <c r="AH24" s="10">
        <v>4.4999999999999998E-2</v>
      </c>
      <c r="AI24" s="9">
        <v>8</v>
      </c>
      <c r="AJ24" s="11">
        <v>14</v>
      </c>
      <c r="AK24" s="9">
        <v>298.3</v>
      </c>
      <c r="AL24" s="10">
        <v>7.99</v>
      </c>
      <c r="AM24" s="10">
        <v>2.7E-2</v>
      </c>
      <c r="AN24" s="9">
        <v>86.3</v>
      </c>
      <c r="AO24" s="308"/>
      <c r="AP24" s="308"/>
      <c r="AQ24" s="308"/>
      <c r="AR24" s="308"/>
      <c r="AS24" s="12">
        <f>Table2[[#This Row],[Object_A_._head_time]]+Table2[[#This Row],[Object_B_._head_time]]</f>
        <v>78.400000000000006</v>
      </c>
      <c r="AT24" s="12"/>
      <c r="AU24" s="12"/>
      <c r="AV24" s="13"/>
      <c r="AW24" s="12"/>
      <c r="AX24" s="308">
        <f>(Table2[[#This Row],[Object_A_._head_time]]/(Table2[[#This Row],[Object_A_._head_time]]+Table2[[#This Row],[Object_B_._head_time]]))</f>
        <v>0.59438775510204078</v>
      </c>
      <c r="AY24" s="8" t="s">
        <v>486</v>
      </c>
      <c r="AZ24" s="8" t="s">
        <v>476</v>
      </c>
      <c r="BA24" s="8" t="s">
        <v>475</v>
      </c>
      <c r="BB24" s="11">
        <v>151</v>
      </c>
      <c r="BC24" s="9">
        <v>5.0333333333333332</v>
      </c>
      <c r="BD24" s="8" t="s">
        <v>477</v>
      </c>
      <c r="BE24" s="27">
        <v>6</v>
      </c>
      <c r="BF24" s="8"/>
      <c r="BG24" s="270"/>
      <c r="BH24" s="270"/>
      <c r="BI24" s="270"/>
      <c r="BJ24" s="270"/>
      <c r="BK24" s="270"/>
      <c r="BL24" s="270"/>
      <c r="BM24" s="270"/>
      <c r="BN24" s="270"/>
      <c r="BO24" s="270"/>
      <c r="BP24" s="270"/>
      <c r="BQ24" s="270"/>
      <c r="BR24" s="270"/>
      <c r="BS24" s="270"/>
      <c r="BT24" s="270"/>
      <c r="BU24" s="270"/>
      <c r="BV24" s="270"/>
      <c r="BW24" s="270"/>
      <c r="BX24" s="270"/>
      <c r="BY24" s="270"/>
      <c r="BZ24" s="270"/>
      <c r="CA24" s="270"/>
      <c r="CB24" s="270"/>
      <c r="CC24" s="270"/>
      <c r="CD24" s="270"/>
      <c r="CE24" s="270"/>
      <c r="CF24" s="270"/>
      <c r="CG24" s="270"/>
      <c r="CH24" s="270"/>
      <c r="CI24" s="270"/>
      <c r="CJ24" s="270"/>
      <c r="CK24" s="270"/>
      <c r="CL24" s="270"/>
      <c r="CM24" s="270"/>
      <c r="CN24" s="270"/>
      <c r="CO24" s="270"/>
      <c r="CP24" s="270"/>
      <c r="CQ24" s="270"/>
      <c r="CR24" s="270"/>
      <c r="CS24" s="270"/>
      <c r="CT24" s="270"/>
      <c r="CU24" s="272"/>
    </row>
    <row r="25" spans="1:99" s="273" customFormat="1" ht="12" customHeight="1" x14ac:dyDescent="0.2">
      <c r="A25" s="8">
        <v>67</v>
      </c>
      <c r="B25" s="8" t="s">
        <v>105</v>
      </c>
      <c r="C25" s="8" t="s">
        <v>211</v>
      </c>
      <c r="D25" s="8" t="s">
        <v>53</v>
      </c>
      <c r="E25" s="8" t="s">
        <v>331</v>
      </c>
      <c r="F25" s="8" t="s">
        <v>421</v>
      </c>
      <c r="G25" s="8" t="s">
        <v>425</v>
      </c>
      <c r="H25" s="9">
        <v>360</v>
      </c>
      <c r="I25" s="10">
        <v>11.959</v>
      </c>
      <c r="J25" s="10">
        <v>3.3000000000000002E-2</v>
      </c>
      <c r="K25" s="10">
        <v>0.29299999999999998</v>
      </c>
      <c r="L25" s="9">
        <v>83.5</v>
      </c>
      <c r="M25" s="11">
        <v>38</v>
      </c>
      <c r="N25" s="9">
        <v>40.6</v>
      </c>
      <c r="O25" s="10">
        <v>1.7090000000000001</v>
      </c>
      <c r="P25" s="10">
        <v>4.2000000000000003E-2</v>
      </c>
      <c r="Q25" s="10">
        <v>0.24299999999999999</v>
      </c>
      <c r="R25" s="9">
        <v>9.5</v>
      </c>
      <c r="S25" s="11">
        <v>4266</v>
      </c>
      <c r="T25" s="9">
        <v>1.6</v>
      </c>
      <c r="U25" s="9">
        <v>18.600000000000001</v>
      </c>
      <c r="V25" s="11">
        <v>27</v>
      </c>
      <c r="W25" s="9">
        <v>30</v>
      </c>
      <c r="X25" s="10">
        <v>1.452</v>
      </c>
      <c r="Y25" s="10">
        <v>4.8000000000000001E-2</v>
      </c>
      <c r="Z25" s="10">
        <v>0.255</v>
      </c>
      <c r="AA25" s="9">
        <v>8.6</v>
      </c>
      <c r="AB25" s="11">
        <v>2811</v>
      </c>
      <c r="AC25" s="9">
        <v>0</v>
      </c>
      <c r="AD25" s="9">
        <v>9.1</v>
      </c>
      <c r="AE25" s="11">
        <v>18</v>
      </c>
      <c r="AF25" s="9">
        <v>34.799999999999997</v>
      </c>
      <c r="AG25" s="10">
        <v>2.4369999999999998</v>
      </c>
      <c r="AH25" s="10">
        <v>7.0000000000000007E-2</v>
      </c>
      <c r="AI25" s="9">
        <v>0</v>
      </c>
      <c r="AJ25" s="11">
        <v>18</v>
      </c>
      <c r="AK25" s="9">
        <v>325.2</v>
      </c>
      <c r="AL25" s="10">
        <v>9.5220000000000002</v>
      </c>
      <c r="AM25" s="10">
        <v>2.9000000000000001E-2</v>
      </c>
      <c r="AN25" s="9">
        <v>83.5</v>
      </c>
      <c r="AO25" s="308"/>
      <c r="AP25" s="308"/>
      <c r="AQ25" s="308"/>
      <c r="AR25" s="308"/>
      <c r="AS25" s="12">
        <f>Table2[[#This Row],[Object_A_._head_time]]+Table2[[#This Row],[Object_B_._head_time]]</f>
        <v>70.599999999999994</v>
      </c>
      <c r="AT25" s="12"/>
      <c r="AU25" s="12"/>
      <c r="AV25" s="13"/>
      <c r="AW25" s="12"/>
      <c r="AX25" s="308">
        <f>(Table2[[#This Row],[Object_A_._head_time]]/(Table2[[#This Row],[Object_A_._head_time]]+Table2[[#This Row],[Object_B_._head_time]]))</f>
        <v>0.57507082152974509</v>
      </c>
      <c r="AY25" s="8" t="s">
        <v>486</v>
      </c>
      <c r="AZ25" s="8" t="s">
        <v>476</v>
      </c>
      <c r="BA25" s="8" t="s">
        <v>473</v>
      </c>
      <c r="BB25" s="11">
        <v>151</v>
      </c>
      <c r="BC25" s="9">
        <v>5.0333333333333332</v>
      </c>
      <c r="BD25" s="8" t="s">
        <v>477</v>
      </c>
      <c r="BE25" s="27">
        <v>8</v>
      </c>
      <c r="BF25" s="8"/>
      <c r="BG25" s="270"/>
      <c r="BH25" s="270"/>
      <c r="BI25" s="270"/>
      <c r="BJ25" s="270"/>
      <c r="BK25" s="270"/>
      <c r="BL25" s="270"/>
      <c r="BM25" s="270"/>
      <c r="BN25" s="270"/>
      <c r="BO25" s="270"/>
      <c r="BP25" s="270"/>
      <c r="BQ25" s="270"/>
      <c r="BR25" s="270"/>
      <c r="BS25" s="270"/>
      <c r="BT25" s="270"/>
      <c r="BU25" s="270"/>
      <c r="BV25" s="270"/>
      <c r="BW25" s="270"/>
      <c r="BX25" s="270"/>
      <c r="BY25" s="270"/>
      <c r="BZ25" s="270"/>
      <c r="CA25" s="270"/>
      <c r="CB25" s="270"/>
      <c r="CC25" s="270"/>
      <c r="CD25" s="270"/>
      <c r="CE25" s="270"/>
      <c r="CF25" s="270"/>
      <c r="CG25" s="270"/>
      <c r="CH25" s="270"/>
      <c r="CI25" s="270"/>
      <c r="CJ25" s="270"/>
      <c r="CK25" s="270"/>
      <c r="CL25" s="270"/>
      <c r="CM25" s="270"/>
      <c r="CN25" s="270"/>
      <c r="CO25" s="270"/>
      <c r="CP25" s="270"/>
      <c r="CQ25" s="270"/>
      <c r="CR25" s="270"/>
      <c r="CS25" s="270"/>
      <c r="CT25" s="270"/>
      <c r="CU25" s="272"/>
    </row>
    <row r="26" spans="1:99" s="273" customFormat="1" ht="12" customHeight="1" x14ac:dyDescent="0.2">
      <c r="A26" s="8">
        <v>71</v>
      </c>
      <c r="B26" s="8" t="s">
        <v>107</v>
      </c>
      <c r="C26" s="8" t="s">
        <v>211</v>
      </c>
      <c r="D26" s="8" t="s">
        <v>41</v>
      </c>
      <c r="E26" s="8" t="s">
        <v>331</v>
      </c>
      <c r="F26" s="8" t="s">
        <v>426</v>
      </c>
      <c r="G26" s="8" t="s">
        <v>427</v>
      </c>
      <c r="H26" s="9">
        <v>360</v>
      </c>
      <c r="I26" s="10">
        <v>6.7679999999999998</v>
      </c>
      <c r="J26" s="10">
        <v>1.9E-2</v>
      </c>
      <c r="K26" s="10">
        <v>0.26200000000000001</v>
      </c>
      <c r="L26" s="9">
        <v>129.30000000000001</v>
      </c>
      <c r="M26" s="11">
        <v>13</v>
      </c>
      <c r="N26" s="9">
        <v>13.6</v>
      </c>
      <c r="O26" s="10">
        <v>0.59</v>
      </c>
      <c r="P26" s="10">
        <v>4.2999999999999997E-2</v>
      </c>
      <c r="Q26" s="10">
        <v>0.20599999999999999</v>
      </c>
      <c r="R26" s="9">
        <v>7.1</v>
      </c>
      <c r="S26" s="11">
        <v>948</v>
      </c>
      <c r="T26" s="9">
        <v>0</v>
      </c>
      <c r="U26" s="9">
        <v>7.8</v>
      </c>
      <c r="V26" s="11">
        <v>17</v>
      </c>
      <c r="W26" s="9">
        <v>26.3</v>
      </c>
      <c r="X26" s="10">
        <v>0.76500000000000001</v>
      </c>
      <c r="Y26" s="10">
        <v>2.9000000000000001E-2</v>
      </c>
      <c r="Z26" s="10">
        <v>0.17899999999999999</v>
      </c>
      <c r="AA26" s="9">
        <v>9.1999999999999993</v>
      </c>
      <c r="AB26" s="11">
        <v>1756</v>
      </c>
      <c r="AC26" s="9">
        <v>0</v>
      </c>
      <c r="AD26" s="9">
        <v>9.4</v>
      </c>
      <c r="AE26" s="11">
        <v>7</v>
      </c>
      <c r="AF26" s="9">
        <v>12.3</v>
      </c>
      <c r="AG26" s="10">
        <v>1.0589999999999999</v>
      </c>
      <c r="AH26" s="10">
        <v>8.5999999999999993E-2</v>
      </c>
      <c r="AI26" s="9">
        <v>0</v>
      </c>
      <c r="AJ26" s="11">
        <v>8</v>
      </c>
      <c r="AK26" s="9">
        <v>347.7</v>
      </c>
      <c r="AL26" s="10">
        <v>5.7089999999999996</v>
      </c>
      <c r="AM26" s="10">
        <v>1.6E-2</v>
      </c>
      <c r="AN26" s="9">
        <v>129.30000000000001</v>
      </c>
      <c r="AO26" s="308"/>
      <c r="AP26" s="308"/>
      <c r="AQ26" s="308"/>
      <c r="AR26" s="308"/>
      <c r="AS26" s="12">
        <f>Table2[[#This Row],[Object_A_._head_time]]+Table2[[#This Row],[Object_B_._head_time]]</f>
        <v>39.9</v>
      </c>
      <c r="AT26" s="12"/>
      <c r="AU26" s="12"/>
      <c r="AV26" s="13"/>
      <c r="AW26" s="12"/>
      <c r="AX26" s="308">
        <f>(Table2[[#This Row],[Object_A_._head_time]]/(Table2[[#This Row],[Object_A_._head_time]]+Table2[[#This Row],[Object_B_._head_time]]))</f>
        <v>0.34085213032581452</v>
      </c>
      <c r="AY26" s="8" t="s">
        <v>486</v>
      </c>
      <c r="AZ26" s="8" t="s">
        <v>476</v>
      </c>
      <c r="BA26" s="8" t="s">
        <v>475</v>
      </c>
      <c r="BB26" s="11">
        <v>151</v>
      </c>
      <c r="BC26" s="9">
        <v>5.0333333333333332</v>
      </c>
      <c r="BD26" s="8" t="s">
        <v>474</v>
      </c>
      <c r="BE26" s="27">
        <v>5</v>
      </c>
      <c r="BF26" s="8" t="s">
        <v>464</v>
      </c>
      <c r="BG26" s="270"/>
      <c r="BH26" s="270"/>
      <c r="BI26" s="270"/>
      <c r="BJ26" s="270"/>
      <c r="BK26" s="270"/>
      <c r="BL26" s="270"/>
      <c r="BM26" s="270"/>
      <c r="BN26" s="270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  <c r="CE26" s="270"/>
      <c r="CF26" s="270"/>
      <c r="CG26" s="270"/>
      <c r="CH26" s="270"/>
      <c r="CI26" s="270"/>
      <c r="CJ26" s="270"/>
      <c r="CK26" s="270"/>
      <c r="CL26" s="270"/>
      <c r="CM26" s="270"/>
      <c r="CN26" s="270"/>
      <c r="CO26" s="270"/>
      <c r="CP26" s="270"/>
      <c r="CQ26" s="270"/>
      <c r="CR26" s="270"/>
      <c r="CS26" s="270"/>
      <c r="CT26" s="270"/>
      <c r="CU26" s="272"/>
    </row>
    <row r="27" spans="1:99" s="273" customFormat="1" ht="12" customHeight="1" x14ac:dyDescent="0.2">
      <c r="A27" s="8">
        <v>70</v>
      </c>
      <c r="B27" s="8" t="s">
        <v>109</v>
      </c>
      <c r="C27" s="8" t="s">
        <v>211</v>
      </c>
      <c r="D27" s="8" t="s">
        <v>46</v>
      </c>
      <c r="E27" s="8" t="s">
        <v>331</v>
      </c>
      <c r="F27" s="8" t="s">
        <v>426</v>
      </c>
      <c r="G27" s="8" t="s">
        <v>428</v>
      </c>
      <c r="H27" s="9">
        <v>360</v>
      </c>
      <c r="I27" s="10">
        <v>10.457000000000001</v>
      </c>
      <c r="J27" s="10">
        <v>2.9000000000000001E-2</v>
      </c>
      <c r="K27" s="10">
        <v>0.248</v>
      </c>
      <c r="L27" s="9">
        <v>67.3</v>
      </c>
      <c r="M27" s="11">
        <v>43</v>
      </c>
      <c r="N27" s="9">
        <v>75.400000000000006</v>
      </c>
      <c r="O27" s="10">
        <v>2.048</v>
      </c>
      <c r="P27" s="10">
        <v>2.7E-2</v>
      </c>
      <c r="Q27" s="10">
        <v>0.223</v>
      </c>
      <c r="R27" s="9">
        <v>23.9</v>
      </c>
      <c r="S27" s="11">
        <v>4292</v>
      </c>
      <c r="T27" s="9">
        <v>16.899999999999999</v>
      </c>
      <c r="U27" s="9">
        <v>35.9</v>
      </c>
      <c r="V27" s="11">
        <v>20</v>
      </c>
      <c r="W27" s="9">
        <v>25</v>
      </c>
      <c r="X27" s="10">
        <v>1.2549999999999999</v>
      </c>
      <c r="Y27" s="10">
        <v>0.05</v>
      </c>
      <c r="Z27" s="10">
        <v>0.248</v>
      </c>
      <c r="AA27" s="9">
        <v>5.6</v>
      </c>
      <c r="AB27" s="11">
        <v>2308</v>
      </c>
      <c r="AC27" s="9">
        <v>0</v>
      </c>
      <c r="AD27" s="9">
        <v>3.7</v>
      </c>
      <c r="AE27" s="11">
        <v>17</v>
      </c>
      <c r="AF27" s="9">
        <v>43.7</v>
      </c>
      <c r="AG27" s="10">
        <v>2.0699999999999998</v>
      </c>
      <c r="AH27" s="10">
        <v>4.7E-2</v>
      </c>
      <c r="AI27" s="9">
        <v>10.3</v>
      </c>
      <c r="AJ27" s="11">
        <v>17</v>
      </c>
      <c r="AK27" s="9">
        <v>316.3</v>
      </c>
      <c r="AL27" s="10">
        <v>8.3859999999999992</v>
      </c>
      <c r="AM27" s="10">
        <v>2.7E-2</v>
      </c>
      <c r="AN27" s="9">
        <v>57</v>
      </c>
      <c r="AO27" s="308"/>
      <c r="AP27" s="308"/>
      <c r="AQ27" s="308"/>
      <c r="AR27" s="308"/>
      <c r="AS27" s="12">
        <f>Table2[[#This Row],[Object_A_._head_time]]+Table2[[#This Row],[Object_B_._head_time]]</f>
        <v>100.4</v>
      </c>
      <c r="AT27" s="12"/>
      <c r="AU27" s="12"/>
      <c r="AV27" s="13"/>
      <c r="AW27" s="12"/>
      <c r="AX27" s="308">
        <f>(Table2[[#This Row],[Object_A_._head_time]]/(Table2[[#This Row],[Object_A_._head_time]]+Table2[[#This Row],[Object_B_._head_time]]))</f>
        <v>0.75099601593625498</v>
      </c>
      <c r="AY27" s="8" t="s">
        <v>486</v>
      </c>
      <c r="AZ27" s="8" t="s">
        <v>476</v>
      </c>
      <c r="BA27" s="8" t="s">
        <v>473</v>
      </c>
      <c r="BB27" s="11">
        <v>151</v>
      </c>
      <c r="BC27" s="9">
        <v>5.0333333333333332</v>
      </c>
      <c r="BD27" s="8" t="s">
        <v>474</v>
      </c>
      <c r="BE27" s="27">
        <v>7</v>
      </c>
      <c r="BF27" s="8"/>
      <c r="BG27" s="270"/>
      <c r="BH27" s="270"/>
      <c r="BI27" s="270"/>
      <c r="BJ27" s="270"/>
      <c r="BK27" s="270"/>
      <c r="BL27" s="270"/>
      <c r="BM27" s="270"/>
      <c r="BN27" s="270"/>
      <c r="BO27" s="270"/>
      <c r="BP27" s="270"/>
      <c r="BQ27" s="270"/>
      <c r="BR27" s="270"/>
      <c r="BS27" s="270"/>
      <c r="BT27" s="270"/>
      <c r="BU27" s="270"/>
      <c r="BV27" s="270"/>
      <c r="BW27" s="270"/>
      <c r="BX27" s="270"/>
      <c r="BY27" s="270"/>
      <c r="BZ27" s="270"/>
      <c r="CA27" s="270"/>
      <c r="CB27" s="270"/>
      <c r="CC27" s="270"/>
      <c r="CD27" s="270"/>
      <c r="CE27" s="270"/>
      <c r="CF27" s="270"/>
      <c r="CG27" s="270"/>
      <c r="CH27" s="270"/>
      <c r="CI27" s="270"/>
      <c r="CJ27" s="270"/>
      <c r="CK27" s="270"/>
      <c r="CL27" s="270"/>
      <c r="CM27" s="270"/>
      <c r="CN27" s="270"/>
      <c r="CO27" s="270"/>
      <c r="CP27" s="270"/>
      <c r="CQ27" s="270"/>
      <c r="CR27" s="270"/>
      <c r="CS27" s="270"/>
      <c r="CT27" s="270"/>
      <c r="CU27" s="272"/>
    </row>
    <row r="28" spans="1:99" s="273" customFormat="1" ht="12" customHeight="1" x14ac:dyDescent="0.2">
      <c r="A28" s="8">
        <v>68</v>
      </c>
      <c r="B28" s="8" t="s">
        <v>112</v>
      </c>
      <c r="C28" s="8" t="s">
        <v>211</v>
      </c>
      <c r="D28" s="8" t="s">
        <v>49</v>
      </c>
      <c r="E28" s="8" t="s">
        <v>331</v>
      </c>
      <c r="F28" s="8" t="s">
        <v>222</v>
      </c>
      <c r="G28" s="8" t="s">
        <v>429</v>
      </c>
      <c r="H28" s="9">
        <v>360</v>
      </c>
      <c r="I28" s="10">
        <v>8.5879999999999992</v>
      </c>
      <c r="J28" s="10">
        <v>2.4E-2</v>
      </c>
      <c r="K28" s="10">
        <v>0.21299999999999999</v>
      </c>
      <c r="L28" s="9">
        <v>76.400000000000006</v>
      </c>
      <c r="M28" s="11">
        <v>38</v>
      </c>
      <c r="N28" s="9">
        <v>66.5</v>
      </c>
      <c r="O28" s="10">
        <v>1.47</v>
      </c>
      <c r="P28" s="10">
        <v>2.1999999999999999E-2</v>
      </c>
      <c r="Q28" s="10">
        <v>0.193</v>
      </c>
      <c r="R28" s="9">
        <v>15.6</v>
      </c>
      <c r="S28" s="11">
        <v>3745</v>
      </c>
      <c r="T28" s="9">
        <v>10.8</v>
      </c>
      <c r="U28" s="9">
        <v>11.6</v>
      </c>
      <c r="V28" s="11">
        <v>22</v>
      </c>
      <c r="W28" s="9">
        <v>46.4</v>
      </c>
      <c r="X28" s="10">
        <v>1.671</v>
      </c>
      <c r="Y28" s="10">
        <v>3.5999999999999997E-2</v>
      </c>
      <c r="Z28" s="10">
        <v>0.20799999999999999</v>
      </c>
      <c r="AA28" s="9">
        <v>12.3</v>
      </c>
      <c r="AB28" s="11">
        <v>3113</v>
      </c>
      <c r="AC28" s="9">
        <v>3.4</v>
      </c>
      <c r="AD28" s="9">
        <v>7.1</v>
      </c>
      <c r="AE28" s="11">
        <v>14</v>
      </c>
      <c r="AF28" s="9">
        <v>40.5</v>
      </c>
      <c r="AG28" s="10">
        <v>2.1459999999999999</v>
      </c>
      <c r="AH28" s="10">
        <v>5.2999999999999999E-2</v>
      </c>
      <c r="AI28" s="9">
        <v>6.3</v>
      </c>
      <c r="AJ28" s="11">
        <v>15</v>
      </c>
      <c r="AK28" s="9">
        <v>319.5</v>
      </c>
      <c r="AL28" s="10">
        <v>6.4420000000000002</v>
      </c>
      <c r="AM28" s="10">
        <v>0.02</v>
      </c>
      <c r="AN28" s="9">
        <v>70.099999999999994</v>
      </c>
      <c r="AO28" s="308"/>
      <c r="AP28" s="308"/>
      <c r="AQ28" s="308"/>
      <c r="AR28" s="308"/>
      <c r="AS28" s="12">
        <f>Table2[[#This Row],[Object_A_._head_time]]+Table2[[#This Row],[Object_B_._head_time]]</f>
        <v>112.9</v>
      </c>
      <c r="AT28" s="12"/>
      <c r="AU28" s="12"/>
      <c r="AV28" s="13"/>
      <c r="AW28" s="12"/>
      <c r="AX28" s="308">
        <f>(Table2[[#This Row],[Object_A_._head_time]]/(Table2[[#This Row],[Object_A_._head_time]]+Table2[[#This Row],[Object_B_._head_time]]))</f>
        <v>0.58901682905225861</v>
      </c>
      <c r="AY28" s="8" t="s">
        <v>487</v>
      </c>
      <c r="AZ28" s="8" t="s">
        <v>476</v>
      </c>
      <c r="BA28" s="8" t="s">
        <v>475</v>
      </c>
      <c r="BB28" s="11">
        <v>151</v>
      </c>
      <c r="BC28" s="9">
        <v>5.0333333333333332</v>
      </c>
      <c r="BD28" s="8" t="s">
        <v>477</v>
      </c>
      <c r="BE28" s="27">
        <v>6</v>
      </c>
      <c r="BF28" s="8"/>
      <c r="BG28" s="270"/>
      <c r="BH28" s="270"/>
      <c r="BI28" s="270"/>
      <c r="BJ28" s="270"/>
      <c r="BK28" s="270"/>
      <c r="BL28" s="270"/>
      <c r="BM28" s="270"/>
      <c r="BN28" s="270"/>
      <c r="BO28" s="270"/>
      <c r="BP28" s="270"/>
      <c r="BQ28" s="270"/>
      <c r="BR28" s="270"/>
      <c r="BS28" s="270"/>
      <c r="BT28" s="270"/>
      <c r="BU28" s="270"/>
      <c r="BV28" s="270"/>
      <c r="BW28" s="270"/>
      <c r="BX28" s="270"/>
      <c r="BY28" s="270"/>
      <c r="BZ28" s="270"/>
      <c r="CA28" s="270"/>
      <c r="CB28" s="270"/>
      <c r="CC28" s="270"/>
      <c r="CD28" s="270"/>
      <c r="CE28" s="270"/>
      <c r="CF28" s="270"/>
      <c r="CG28" s="270"/>
      <c r="CH28" s="270"/>
      <c r="CI28" s="270"/>
      <c r="CJ28" s="270"/>
      <c r="CK28" s="270"/>
      <c r="CL28" s="270"/>
      <c r="CM28" s="270"/>
      <c r="CN28" s="270"/>
      <c r="CO28" s="270"/>
      <c r="CP28" s="270"/>
      <c r="CQ28" s="270"/>
      <c r="CR28" s="270"/>
      <c r="CS28" s="270"/>
      <c r="CT28" s="270"/>
      <c r="CU28" s="272"/>
    </row>
    <row r="29" spans="1:99" s="273" customFormat="1" ht="12" customHeight="1" x14ac:dyDescent="0.2">
      <c r="A29" s="8">
        <v>69</v>
      </c>
      <c r="B29" s="8" t="s">
        <v>114</v>
      </c>
      <c r="C29" s="8" t="s">
        <v>211</v>
      </c>
      <c r="D29" s="8" t="s">
        <v>53</v>
      </c>
      <c r="E29" s="8" t="s">
        <v>331</v>
      </c>
      <c r="F29" s="8" t="s">
        <v>426</v>
      </c>
      <c r="G29" s="8" t="s">
        <v>430</v>
      </c>
      <c r="H29" s="9">
        <v>360</v>
      </c>
      <c r="I29" s="10">
        <v>18.652999999999999</v>
      </c>
      <c r="J29" s="10">
        <v>5.1999999999999998E-2</v>
      </c>
      <c r="K29" s="10">
        <v>0.32700000000000001</v>
      </c>
      <c r="L29" s="9">
        <v>7.7</v>
      </c>
      <c r="M29" s="11">
        <v>65</v>
      </c>
      <c r="N29" s="9">
        <v>67</v>
      </c>
      <c r="O29" s="10">
        <v>4.4349999999999996</v>
      </c>
      <c r="P29" s="10">
        <v>6.6000000000000003E-2</v>
      </c>
      <c r="Q29" s="10">
        <v>0.314</v>
      </c>
      <c r="R29" s="9">
        <v>12.1</v>
      </c>
      <c r="S29" s="11">
        <v>6482</v>
      </c>
      <c r="T29" s="9">
        <v>0</v>
      </c>
      <c r="U29" s="9">
        <v>8.1999999999999993</v>
      </c>
      <c r="V29" s="11">
        <v>23</v>
      </c>
      <c r="W29" s="9">
        <v>34.799999999999997</v>
      </c>
      <c r="X29" s="10">
        <v>1.8640000000000001</v>
      </c>
      <c r="Y29" s="10">
        <v>5.3999999999999999E-2</v>
      </c>
      <c r="Z29" s="10">
        <v>0.23699999999999999</v>
      </c>
      <c r="AA29" s="9">
        <v>8.5</v>
      </c>
      <c r="AB29" s="11">
        <v>2821</v>
      </c>
      <c r="AC29" s="9">
        <v>3.4</v>
      </c>
      <c r="AD29" s="9">
        <v>7.1</v>
      </c>
      <c r="AE29" s="11">
        <v>38</v>
      </c>
      <c r="AF29" s="9">
        <v>78.400000000000006</v>
      </c>
      <c r="AG29" s="10">
        <v>4.1449999999999996</v>
      </c>
      <c r="AH29" s="10">
        <v>5.2999999999999999E-2</v>
      </c>
      <c r="AI29" s="9">
        <v>2.7</v>
      </c>
      <c r="AJ29" s="11">
        <v>37</v>
      </c>
      <c r="AK29" s="9">
        <v>281.60000000000002</v>
      </c>
      <c r="AL29" s="10">
        <v>14.507999999999999</v>
      </c>
      <c r="AM29" s="10">
        <v>5.1999999999999998E-2</v>
      </c>
      <c r="AN29" s="9">
        <v>4.9000000000000004</v>
      </c>
      <c r="AO29" s="308"/>
      <c r="AP29" s="308"/>
      <c r="AQ29" s="308"/>
      <c r="AR29" s="308"/>
      <c r="AS29" s="12">
        <f>Table2[[#This Row],[Object_A_._head_time]]+Table2[[#This Row],[Object_B_._head_time]]</f>
        <v>101.8</v>
      </c>
      <c r="AT29" s="12"/>
      <c r="AU29" s="12"/>
      <c r="AV29" s="13"/>
      <c r="AW29" s="12"/>
      <c r="AX29" s="308">
        <f>(Table2[[#This Row],[Object_A_._head_time]]/(Table2[[#This Row],[Object_A_._head_time]]+Table2[[#This Row],[Object_B_._head_time]]))</f>
        <v>0.65815324165029476</v>
      </c>
      <c r="AY29" s="8" t="s">
        <v>487</v>
      </c>
      <c r="AZ29" s="8" t="s">
        <v>476</v>
      </c>
      <c r="BA29" s="8" t="s">
        <v>473</v>
      </c>
      <c r="BB29" s="11">
        <v>151</v>
      </c>
      <c r="BC29" s="9">
        <v>5.0333333333333332</v>
      </c>
      <c r="BD29" s="8" t="s">
        <v>477</v>
      </c>
      <c r="BE29" s="27">
        <v>8</v>
      </c>
      <c r="BF29" s="8"/>
      <c r="BG29" s="270"/>
      <c r="BH29" s="270"/>
      <c r="BI29" s="270"/>
      <c r="BJ29" s="270"/>
      <c r="BK29" s="270"/>
      <c r="BL29" s="270"/>
      <c r="BM29" s="270"/>
      <c r="BN29" s="270"/>
      <c r="BO29" s="270"/>
      <c r="BP29" s="270"/>
      <c r="BQ29" s="270"/>
      <c r="BR29" s="270"/>
      <c r="BS29" s="270"/>
      <c r="BT29" s="270"/>
      <c r="BU29" s="270"/>
      <c r="BV29" s="270"/>
      <c r="BW29" s="270"/>
      <c r="BX29" s="270"/>
      <c r="BY29" s="270"/>
      <c r="BZ29" s="270"/>
      <c r="CA29" s="270"/>
      <c r="CB29" s="270"/>
      <c r="CC29" s="270"/>
      <c r="CD29" s="270"/>
      <c r="CE29" s="270"/>
      <c r="CF29" s="270"/>
      <c r="CG29" s="270"/>
      <c r="CH29" s="270"/>
      <c r="CI29" s="270"/>
      <c r="CJ29" s="270"/>
      <c r="CK29" s="270"/>
      <c r="CL29" s="270"/>
      <c r="CM29" s="270"/>
      <c r="CN29" s="270"/>
      <c r="CO29" s="270"/>
      <c r="CP29" s="270"/>
      <c r="CQ29" s="270"/>
      <c r="CR29" s="270"/>
      <c r="CS29" s="270"/>
      <c r="CT29" s="270"/>
      <c r="CU29" s="272"/>
    </row>
    <row r="30" spans="1:99" s="273" customFormat="1" ht="12" customHeight="1" x14ac:dyDescent="0.2">
      <c r="A30" s="8">
        <v>75</v>
      </c>
      <c r="B30" s="8" t="s">
        <v>116</v>
      </c>
      <c r="C30" s="8" t="s">
        <v>211</v>
      </c>
      <c r="D30" s="8" t="s">
        <v>41</v>
      </c>
      <c r="E30" s="8" t="s">
        <v>331</v>
      </c>
      <c r="F30" s="8" t="s">
        <v>431</v>
      </c>
      <c r="G30" s="8" t="s">
        <v>432</v>
      </c>
      <c r="H30" s="9">
        <v>360</v>
      </c>
      <c r="I30" s="10">
        <v>11.95</v>
      </c>
      <c r="J30" s="10">
        <v>3.3000000000000002E-2</v>
      </c>
      <c r="K30" s="10">
        <v>0.36399999999999999</v>
      </c>
      <c r="L30" s="9">
        <v>117.5</v>
      </c>
      <c r="M30" s="11">
        <v>15</v>
      </c>
      <c r="N30" s="9">
        <v>19.5</v>
      </c>
      <c r="O30" s="10">
        <v>0.82099999999999995</v>
      </c>
      <c r="P30" s="10">
        <v>4.2000000000000003E-2</v>
      </c>
      <c r="Q30" s="10">
        <v>0.245</v>
      </c>
      <c r="R30" s="9">
        <v>6.1</v>
      </c>
      <c r="S30" s="11">
        <v>1834</v>
      </c>
      <c r="T30" s="9">
        <v>0</v>
      </c>
      <c r="U30" s="9">
        <v>7.9</v>
      </c>
      <c r="V30" s="11">
        <v>49</v>
      </c>
      <c r="W30" s="9">
        <v>54.3</v>
      </c>
      <c r="X30" s="10">
        <v>1.0620000000000001</v>
      </c>
      <c r="Y30" s="10">
        <v>0.02</v>
      </c>
      <c r="Z30" s="10">
        <v>0.26300000000000001</v>
      </c>
      <c r="AA30" s="9">
        <v>23.1</v>
      </c>
      <c r="AB30" s="11">
        <v>4099</v>
      </c>
      <c r="AC30" s="9">
        <v>17.399999999999999</v>
      </c>
      <c r="AD30" s="9">
        <v>45.5</v>
      </c>
      <c r="AE30" s="11">
        <v>12</v>
      </c>
      <c r="AF30" s="9">
        <v>18</v>
      </c>
      <c r="AG30" s="10">
        <v>1.5429999999999999</v>
      </c>
      <c r="AH30" s="10">
        <v>8.5999999999999993E-2</v>
      </c>
      <c r="AI30" s="9">
        <v>0</v>
      </c>
      <c r="AJ30" s="11">
        <v>12</v>
      </c>
      <c r="AK30" s="9">
        <v>342</v>
      </c>
      <c r="AL30" s="10">
        <v>10.407</v>
      </c>
      <c r="AM30" s="10">
        <v>0.03</v>
      </c>
      <c r="AN30" s="9">
        <v>117.5</v>
      </c>
      <c r="AO30" s="308"/>
      <c r="AP30" s="308"/>
      <c r="AQ30" s="308"/>
      <c r="AR30" s="308"/>
      <c r="AS30" s="12">
        <f>Table2[[#This Row],[Object_A_._head_time]]+Table2[[#This Row],[Object_B_._head_time]]</f>
        <v>73.8</v>
      </c>
      <c r="AT30" s="12"/>
      <c r="AU30" s="12"/>
      <c r="AV30" s="13"/>
      <c r="AW30" s="12"/>
      <c r="AX30" s="308">
        <f>(Table2[[#This Row],[Object_A_._head_time]]/(Table2[[#This Row],[Object_A_._head_time]]+Table2[[#This Row],[Object_B_._head_time]]))</f>
        <v>0.26422764227642276</v>
      </c>
      <c r="AY30" s="8" t="s">
        <v>487</v>
      </c>
      <c r="AZ30" s="8" t="s">
        <v>476</v>
      </c>
      <c r="BA30" s="8" t="s">
        <v>473</v>
      </c>
      <c r="BB30" s="11">
        <v>151</v>
      </c>
      <c r="BC30" s="9">
        <v>5.0333333333333332</v>
      </c>
      <c r="BD30" s="8" t="s">
        <v>474</v>
      </c>
      <c r="BE30" s="27">
        <v>7</v>
      </c>
      <c r="BF30" s="8"/>
      <c r="BG30" s="270"/>
      <c r="BH30" s="270"/>
      <c r="BI30" s="270"/>
      <c r="BJ30" s="270"/>
      <c r="BK30" s="270"/>
      <c r="BL30" s="270"/>
      <c r="BM30" s="270"/>
      <c r="BN30" s="270"/>
      <c r="BO30" s="270"/>
      <c r="BP30" s="270"/>
      <c r="BQ30" s="270"/>
      <c r="BR30" s="270"/>
      <c r="BS30" s="270"/>
      <c r="BT30" s="270"/>
      <c r="BU30" s="270"/>
      <c r="BV30" s="270"/>
      <c r="BW30" s="270"/>
      <c r="BX30" s="270"/>
      <c r="BY30" s="270"/>
      <c r="BZ30" s="270"/>
      <c r="CA30" s="270"/>
      <c r="CB30" s="270"/>
      <c r="CC30" s="270"/>
      <c r="CD30" s="270"/>
      <c r="CE30" s="270"/>
      <c r="CF30" s="270"/>
      <c r="CG30" s="270"/>
      <c r="CH30" s="270"/>
      <c r="CI30" s="270"/>
      <c r="CJ30" s="270"/>
      <c r="CK30" s="270"/>
      <c r="CL30" s="270"/>
      <c r="CM30" s="270"/>
      <c r="CN30" s="270"/>
      <c r="CO30" s="270"/>
      <c r="CP30" s="270"/>
      <c r="CQ30" s="270"/>
      <c r="CR30" s="270"/>
      <c r="CS30" s="270"/>
      <c r="CT30" s="270"/>
      <c r="CU30" s="272"/>
    </row>
    <row r="31" spans="1:99" s="273" customFormat="1" ht="12" customHeight="1" x14ac:dyDescent="0.2">
      <c r="A31" s="8">
        <v>74</v>
      </c>
      <c r="B31" s="8" t="s">
        <v>118</v>
      </c>
      <c r="C31" s="8" t="s">
        <v>211</v>
      </c>
      <c r="D31" s="8" t="s">
        <v>46</v>
      </c>
      <c r="E31" s="8" t="s">
        <v>331</v>
      </c>
      <c r="F31" s="8" t="s">
        <v>431</v>
      </c>
      <c r="G31" s="8" t="s">
        <v>433</v>
      </c>
      <c r="H31" s="9">
        <v>360</v>
      </c>
      <c r="I31" s="10">
        <v>14.356999999999999</v>
      </c>
      <c r="J31" s="10">
        <v>0.04</v>
      </c>
      <c r="K31" s="10">
        <v>0.26500000000000001</v>
      </c>
      <c r="L31" s="9">
        <v>34.200000000000003</v>
      </c>
      <c r="M31" s="11">
        <v>32</v>
      </c>
      <c r="N31" s="9">
        <v>43.1</v>
      </c>
      <c r="O31" s="10">
        <v>2.1819999999999999</v>
      </c>
      <c r="P31" s="10">
        <v>5.0999999999999997E-2</v>
      </c>
      <c r="Q31" s="10">
        <v>0.217</v>
      </c>
      <c r="R31" s="9">
        <v>15</v>
      </c>
      <c r="S31" s="11">
        <v>4473</v>
      </c>
      <c r="T31" s="9">
        <v>0</v>
      </c>
      <c r="U31" s="9">
        <v>8.3000000000000007</v>
      </c>
      <c r="V31" s="11">
        <v>46</v>
      </c>
      <c r="W31" s="9">
        <v>43.8</v>
      </c>
      <c r="X31" s="10">
        <v>2.298</v>
      </c>
      <c r="Y31" s="10">
        <v>5.1999999999999998E-2</v>
      </c>
      <c r="Z31" s="10">
        <v>0.26500000000000001</v>
      </c>
      <c r="AA31" s="9">
        <v>9.8000000000000007</v>
      </c>
      <c r="AB31" s="11">
        <v>4332</v>
      </c>
      <c r="AC31" s="9">
        <v>3</v>
      </c>
      <c r="AD31" s="9">
        <v>11.1</v>
      </c>
      <c r="AE31" s="11">
        <v>27</v>
      </c>
      <c r="AF31" s="9">
        <v>65.8</v>
      </c>
      <c r="AG31" s="10">
        <v>3.214</v>
      </c>
      <c r="AH31" s="10">
        <v>4.9000000000000002E-2</v>
      </c>
      <c r="AI31" s="9">
        <v>1.3</v>
      </c>
      <c r="AJ31" s="11">
        <v>27</v>
      </c>
      <c r="AK31" s="9">
        <v>294.2</v>
      </c>
      <c r="AL31" s="10">
        <v>11.144</v>
      </c>
      <c r="AM31" s="10">
        <v>3.7999999999999999E-2</v>
      </c>
      <c r="AN31" s="9">
        <v>32.9</v>
      </c>
      <c r="AO31" s="308"/>
      <c r="AP31" s="308"/>
      <c r="AQ31" s="308"/>
      <c r="AR31" s="308"/>
      <c r="AS31" s="12">
        <f>Table2[[#This Row],[Object_A_._head_time]]+Table2[[#This Row],[Object_B_._head_time]]</f>
        <v>86.9</v>
      </c>
      <c r="AT31" s="12"/>
      <c r="AU31" s="12"/>
      <c r="AV31" s="13"/>
      <c r="AW31" s="12"/>
      <c r="AX31" s="308">
        <f>(Table2[[#This Row],[Object_A_._head_time]]/(Table2[[#This Row],[Object_A_._head_time]]+Table2[[#This Row],[Object_B_._head_time]]))</f>
        <v>0.49597238204833138</v>
      </c>
      <c r="AY31" s="8" t="s">
        <v>487</v>
      </c>
      <c r="AZ31" s="8" t="s">
        <v>476</v>
      </c>
      <c r="BA31" s="8" t="s">
        <v>475</v>
      </c>
      <c r="BB31" s="11">
        <v>151</v>
      </c>
      <c r="BC31" s="9">
        <v>5.0333333333333332</v>
      </c>
      <c r="BD31" s="8" t="s">
        <v>474</v>
      </c>
      <c r="BE31" s="27">
        <v>5</v>
      </c>
      <c r="BF31" s="8" t="s">
        <v>465</v>
      </c>
      <c r="BG31" s="270"/>
      <c r="BH31" s="270"/>
      <c r="BI31" s="270"/>
      <c r="BJ31" s="270"/>
      <c r="BK31" s="270"/>
      <c r="BL31" s="270"/>
      <c r="BM31" s="270"/>
      <c r="BN31" s="270"/>
      <c r="BO31" s="270"/>
      <c r="BP31" s="270"/>
      <c r="BQ31" s="270"/>
      <c r="BR31" s="270"/>
      <c r="BS31" s="270"/>
      <c r="BT31" s="270"/>
      <c r="BU31" s="270"/>
      <c r="BV31" s="270"/>
      <c r="BW31" s="270"/>
      <c r="BX31" s="270"/>
      <c r="BY31" s="270"/>
      <c r="BZ31" s="270"/>
      <c r="CA31" s="270"/>
      <c r="CB31" s="270"/>
      <c r="CC31" s="270"/>
      <c r="CD31" s="270"/>
      <c r="CE31" s="270"/>
      <c r="CF31" s="270"/>
      <c r="CG31" s="270"/>
      <c r="CH31" s="270"/>
      <c r="CI31" s="270"/>
      <c r="CJ31" s="270"/>
      <c r="CK31" s="270"/>
      <c r="CL31" s="270"/>
      <c r="CM31" s="270"/>
      <c r="CN31" s="270"/>
      <c r="CO31" s="270"/>
      <c r="CP31" s="270"/>
      <c r="CQ31" s="270"/>
      <c r="CR31" s="270"/>
      <c r="CS31" s="270"/>
      <c r="CT31" s="270"/>
      <c r="CU31" s="272"/>
    </row>
    <row r="32" spans="1:99" s="273" customFormat="1" ht="12" customHeight="1" x14ac:dyDescent="0.2">
      <c r="A32" s="8">
        <v>72</v>
      </c>
      <c r="B32" s="8" t="s">
        <v>121</v>
      </c>
      <c r="C32" s="8" t="s">
        <v>211</v>
      </c>
      <c r="D32" s="8" t="s">
        <v>49</v>
      </c>
      <c r="E32" s="8" t="s">
        <v>331</v>
      </c>
      <c r="F32" s="8" t="s">
        <v>434</v>
      </c>
      <c r="G32" s="8" t="s">
        <v>435</v>
      </c>
      <c r="H32" s="9">
        <v>360</v>
      </c>
      <c r="I32" s="10">
        <v>15.287000000000001</v>
      </c>
      <c r="J32" s="10">
        <v>4.2000000000000003E-2</v>
      </c>
      <c r="K32" s="10">
        <v>0.315</v>
      </c>
      <c r="L32" s="9">
        <v>24.3</v>
      </c>
      <c r="M32" s="11">
        <v>73</v>
      </c>
      <c r="N32" s="9">
        <v>84.5</v>
      </c>
      <c r="O32" s="10">
        <v>2.742</v>
      </c>
      <c r="P32" s="10">
        <v>3.2000000000000001E-2</v>
      </c>
      <c r="Q32" s="10">
        <v>0.30199999999999999</v>
      </c>
      <c r="R32" s="9">
        <v>25.5</v>
      </c>
      <c r="S32" s="11">
        <v>9228</v>
      </c>
      <c r="T32" s="9">
        <v>2.2000000000000002</v>
      </c>
      <c r="U32" s="9">
        <v>25.2</v>
      </c>
      <c r="V32" s="11">
        <v>52</v>
      </c>
      <c r="W32" s="9">
        <v>76.3</v>
      </c>
      <c r="X32" s="10">
        <v>2.4870000000000001</v>
      </c>
      <c r="Y32" s="10">
        <v>3.3000000000000002E-2</v>
      </c>
      <c r="Z32" s="10">
        <v>0.27300000000000002</v>
      </c>
      <c r="AA32" s="9">
        <v>22.9</v>
      </c>
      <c r="AB32" s="11">
        <v>7413</v>
      </c>
      <c r="AC32" s="9">
        <v>10.9</v>
      </c>
      <c r="AD32" s="9">
        <v>29.2</v>
      </c>
      <c r="AE32" s="11">
        <v>31</v>
      </c>
      <c r="AF32" s="9">
        <v>52.7</v>
      </c>
      <c r="AG32" s="10">
        <v>4.7809999999999997</v>
      </c>
      <c r="AH32" s="10">
        <v>9.0999999999999998E-2</v>
      </c>
      <c r="AI32" s="9">
        <v>0</v>
      </c>
      <c r="AJ32" s="11">
        <v>31</v>
      </c>
      <c r="AK32" s="9">
        <v>307.3</v>
      </c>
      <c r="AL32" s="10">
        <v>10.506</v>
      </c>
      <c r="AM32" s="10">
        <v>3.4000000000000002E-2</v>
      </c>
      <c r="AN32" s="9">
        <v>24.3</v>
      </c>
      <c r="AO32" s="308"/>
      <c r="AP32" s="308"/>
      <c r="AQ32" s="308"/>
      <c r="AR32" s="308"/>
      <c r="AS32" s="12">
        <f>Table2[[#This Row],[Object_A_._head_time]]+Table2[[#This Row],[Object_B_._head_time]]</f>
        <v>160.80000000000001</v>
      </c>
      <c r="AT32" s="12"/>
      <c r="AU32" s="12"/>
      <c r="AV32" s="13"/>
      <c r="AW32" s="12"/>
      <c r="AX32" s="308">
        <f>(Table2[[#This Row],[Object_A_._head_time]]/(Table2[[#This Row],[Object_A_._head_time]]+Table2[[#This Row],[Object_B_._head_time]]))</f>
        <v>0.52549751243781095</v>
      </c>
      <c r="AY32" s="8" t="s">
        <v>486</v>
      </c>
      <c r="AZ32" s="8" t="s">
        <v>472</v>
      </c>
      <c r="BA32" s="8" t="s">
        <v>475</v>
      </c>
      <c r="BB32" s="11">
        <v>144</v>
      </c>
      <c r="BC32" s="9">
        <v>4.8</v>
      </c>
      <c r="BD32" s="8" t="s">
        <v>474</v>
      </c>
      <c r="BE32" s="27">
        <v>1</v>
      </c>
      <c r="BF32" s="8" t="s">
        <v>466</v>
      </c>
      <c r="BG32" s="270"/>
      <c r="BH32" s="270"/>
      <c r="BI32" s="270"/>
      <c r="BJ32" s="270"/>
      <c r="BK32" s="270"/>
      <c r="BL32" s="270"/>
      <c r="BM32" s="270"/>
      <c r="BN32" s="270"/>
      <c r="BO32" s="270"/>
      <c r="BP32" s="270"/>
      <c r="BQ32" s="270"/>
      <c r="BR32" s="270"/>
      <c r="BS32" s="270"/>
      <c r="BT32" s="270"/>
      <c r="BU32" s="270"/>
      <c r="BV32" s="270"/>
      <c r="BW32" s="270"/>
      <c r="BX32" s="270"/>
      <c r="BY32" s="270"/>
      <c r="BZ32" s="270"/>
      <c r="CA32" s="270"/>
      <c r="CB32" s="270"/>
      <c r="CC32" s="270"/>
      <c r="CD32" s="270"/>
      <c r="CE32" s="270"/>
      <c r="CF32" s="270"/>
      <c r="CG32" s="270"/>
      <c r="CH32" s="270"/>
      <c r="CI32" s="270"/>
      <c r="CJ32" s="270"/>
      <c r="CK32" s="270"/>
      <c r="CL32" s="270"/>
      <c r="CM32" s="270"/>
      <c r="CN32" s="270"/>
      <c r="CO32" s="270"/>
      <c r="CP32" s="270"/>
      <c r="CQ32" s="270"/>
      <c r="CR32" s="270"/>
      <c r="CS32" s="270"/>
      <c r="CT32" s="270"/>
      <c r="CU32" s="272"/>
    </row>
    <row r="33" spans="1:99" s="273" customFormat="1" ht="12" customHeight="1" x14ac:dyDescent="0.2">
      <c r="A33" s="8">
        <v>73</v>
      </c>
      <c r="B33" s="8" t="s">
        <v>123</v>
      </c>
      <c r="C33" s="8" t="s">
        <v>211</v>
      </c>
      <c r="D33" s="8" t="s">
        <v>53</v>
      </c>
      <c r="E33" s="8" t="s">
        <v>331</v>
      </c>
      <c r="F33" s="8" t="s">
        <v>434</v>
      </c>
      <c r="G33" s="8" t="s">
        <v>436</v>
      </c>
      <c r="H33" s="9">
        <v>360</v>
      </c>
      <c r="I33" s="10">
        <v>71.283000000000001</v>
      </c>
      <c r="J33" s="10">
        <v>0.19800000000000001</v>
      </c>
      <c r="K33" s="10">
        <v>0.46300000000000002</v>
      </c>
      <c r="L33" s="9">
        <v>5.0999999999999996</v>
      </c>
      <c r="M33" s="11">
        <v>90</v>
      </c>
      <c r="N33" s="9">
        <v>34.5</v>
      </c>
      <c r="O33" s="10">
        <v>6.2160000000000002</v>
      </c>
      <c r="P33" s="10">
        <v>0.18</v>
      </c>
      <c r="Q33" s="10">
        <v>0.42699999999999999</v>
      </c>
      <c r="R33" s="9">
        <v>10.7</v>
      </c>
      <c r="S33" s="11">
        <v>7356</v>
      </c>
      <c r="T33" s="9">
        <v>0</v>
      </c>
      <c r="U33" s="9">
        <v>13.5</v>
      </c>
      <c r="V33" s="11">
        <v>165</v>
      </c>
      <c r="W33" s="9">
        <v>82.1</v>
      </c>
      <c r="X33" s="10">
        <v>19.004999999999999</v>
      </c>
      <c r="Y33" s="10">
        <v>0.23100000000000001</v>
      </c>
      <c r="Z33" s="10">
        <v>0.437</v>
      </c>
      <c r="AA33" s="9">
        <v>16.8</v>
      </c>
      <c r="AB33" s="11">
        <v>20685</v>
      </c>
      <c r="AC33" s="9">
        <v>0</v>
      </c>
      <c r="AD33" s="9">
        <v>26.6</v>
      </c>
      <c r="AE33" s="11">
        <v>150</v>
      </c>
      <c r="AF33" s="9">
        <v>164.8</v>
      </c>
      <c r="AG33" s="10">
        <v>31.632000000000001</v>
      </c>
      <c r="AH33" s="10">
        <v>0.192</v>
      </c>
      <c r="AI33" s="9">
        <v>2.9</v>
      </c>
      <c r="AJ33" s="11">
        <v>150</v>
      </c>
      <c r="AK33" s="9">
        <v>195.2</v>
      </c>
      <c r="AL33" s="10">
        <v>39.652000000000001</v>
      </c>
      <c r="AM33" s="10">
        <v>0.20300000000000001</v>
      </c>
      <c r="AN33" s="9">
        <v>2.2999999999999998</v>
      </c>
      <c r="AO33" s="308"/>
      <c r="AP33" s="308"/>
      <c r="AQ33" s="308"/>
      <c r="AR33" s="308"/>
      <c r="AS33" s="12">
        <f>Table2[[#This Row],[Object_A_._head_time]]+Table2[[#This Row],[Object_B_._head_time]]</f>
        <v>116.6</v>
      </c>
      <c r="AT33" s="12"/>
      <c r="AU33" s="12"/>
      <c r="AV33" s="13"/>
      <c r="AW33" s="12"/>
      <c r="AX33" s="308">
        <f>(Table2[[#This Row],[Object_A_._head_time]]/(Table2[[#This Row],[Object_A_._head_time]]+Table2[[#This Row],[Object_B_._head_time]]))</f>
        <v>0.29588336192109777</v>
      </c>
      <c r="AY33" s="8" t="s">
        <v>486</v>
      </c>
      <c r="AZ33" s="8" t="s">
        <v>472</v>
      </c>
      <c r="BA33" s="8" t="s">
        <v>473</v>
      </c>
      <c r="BB33" s="11">
        <v>144</v>
      </c>
      <c r="BC33" s="9">
        <v>4.8</v>
      </c>
      <c r="BD33" s="8" t="s">
        <v>477</v>
      </c>
      <c r="BE33" s="27">
        <v>4</v>
      </c>
      <c r="BF33" s="8" t="s">
        <v>467</v>
      </c>
      <c r="BG33" s="270"/>
      <c r="BH33" s="270"/>
      <c r="BI33" s="270"/>
      <c r="BJ33" s="270"/>
      <c r="BK33" s="270"/>
      <c r="BL33" s="270"/>
      <c r="BM33" s="270"/>
      <c r="BN33" s="270"/>
      <c r="BO33" s="270"/>
      <c r="BP33" s="270"/>
      <c r="BQ33" s="270"/>
      <c r="BR33" s="270"/>
      <c r="BS33" s="270"/>
      <c r="BT33" s="270"/>
      <c r="BU33" s="270"/>
      <c r="BV33" s="270"/>
      <c r="BW33" s="270"/>
      <c r="BX33" s="270"/>
      <c r="BY33" s="270"/>
      <c r="BZ33" s="270"/>
      <c r="CA33" s="270"/>
      <c r="CB33" s="270"/>
      <c r="CC33" s="270"/>
      <c r="CD33" s="270"/>
      <c r="CE33" s="270"/>
      <c r="CF33" s="270"/>
      <c r="CG33" s="270"/>
      <c r="CH33" s="270"/>
      <c r="CI33" s="270"/>
      <c r="CJ33" s="270"/>
      <c r="CK33" s="270"/>
      <c r="CL33" s="270"/>
      <c r="CM33" s="270"/>
      <c r="CN33" s="270"/>
      <c r="CO33" s="270"/>
      <c r="CP33" s="270"/>
      <c r="CQ33" s="270"/>
      <c r="CR33" s="270"/>
      <c r="CS33" s="270"/>
      <c r="CT33" s="270"/>
      <c r="CU33" s="272"/>
    </row>
    <row r="34" spans="1:99" s="273" customFormat="1" ht="12" customHeight="1" x14ac:dyDescent="0.2">
      <c r="A34" s="8">
        <v>79</v>
      </c>
      <c r="B34" s="8" t="s">
        <v>125</v>
      </c>
      <c r="C34" s="8" t="s">
        <v>211</v>
      </c>
      <c r="D34" s="8" t="s">
        <v>41</v>
      </c>
      <c r="E34" s="8" t="s">
        <v>331</v>
      </c>
      <c r="F34" s="8" t="s">
        <v>437</v>
      </c>
      <c r="G34" s="8" t="s">
        <v>438</v>
      </c>
      <c r="H34" s="9">
        <v>360</v>
      </c>
      <c r="I34" s="10">
        <v>34.896000000000001</v>
      </c>
      <c r="J34" s="10">
        <v>9.7000000000000003E-2</v>
      </c>
      <c r="K34" s="10">
        <v>0.434</v>
      </c>
      <c r="L34" s="9">
        <v>6</v>
      </c>
      <c r="M34" s="11">
        <v>57</v>
      </c>
      <c r="N34" s="9">
        <v>48</v>
      </c>
      <c r="O34" s="10">
        <v>3.7530000000000001</v>
      </c>
      <c r="P34" s="10">
        <v>7.8E-2</v>
      </c>
      <c r="Q34" s="10">
        <v>0.4</v>
      </c>
      <c r="R34" s="9">
        <v>12</v>
      </c>
      <c r="S34" s="11">
        <v>6208</v>
      </c>
      <c r="T34" s="9">
        <v>1.2</v>
      </c>
      <c r="U34" s="9">
        <v>17.100000000000001</v>
      </c>
      <c r="V34" s="11">
        <v>70</v>
      </c>
      <c r="W34" s="9">
        <v>60.1</v>
      </c>
      <c r="X34" s="10">
        <v>4.6189999999999998</v>
      </c>
      <c r="Y34" s="10">
        <v>7.6999999999999999E-2</v>
      </c>
      <c r="Z34" s="10">
        <v>0.371</v>
      </c>
      <c r="AA34" s="9">
        <v>13.7</v>
      </c>
      <c r="AB34" s="11">
        <v>8131</v>
      </c>
      <c r="AC34" s="9">
        <v>0</v>
      </c>
      <c r="AD34" s="9">
        <v>23</v>
      </c>
      <c r="AE34" s="11">
        <v>54</v>
      </c>
      <c r="AF34" s="9">
        <v>47.8</v>
      </c>
      <c r="AG34" s="10">
        <v>6.7750000000000004</v>
      </c>
      <c r="AH34" s="10">
        <v>0.14199999999999999</v>
      </c>
      <c r="AI34" s="9">
        <v>0</v>
      </c>
      <c r="AJ34" s="11">
        <v>54</v>
      </c>
      <c r="AK34" s="9">
        <v>312.2</v>
      </c>
      <c r="AL34" s="10">
        <v>28.120999999999999</v>
      </c>
      <c r="AM34" s="10">
        <v>0.09</v>
      </c>
      <c r="AN34" s="9">
        <v>6</v>
      </c>
      <c r="AO34" s="308"/>
      <c r="AP34" s="308"/>
      <c r="AQ34" s="308"/>
      <c r="AR34" s="308"/>
      <c r="AS34" s="12">
        <f>Table2[[#This Row],[Object_A_._head_time]]+Table2[[#This Row],[Object_B_._head_time]]</f>
        <v>108.1</v>
      </c>
      <c r="AT34" s="12"/>
      <c r="AU34" s="12"/>
      <c r="AV34" s="13"/>
      <c r="AW34" s="12"/>
      <c r="AX34" s="308">
        <f>(Table2[[#This Row],[Object_A_._head_time]]/(Table2[[#This Row],[Object_A_._head_time]]+Table2[[#This Row],[Object_B_._head_time]]))</f>
        <v>0.44403330249768735</v>
      </c>
      <c r="AY34" s="8" t="s">
        <v>486</v>
      </c>
      <c r="AZ34" s="8" t="s">
        <v>472</v>
      </c>
      <c r="BA34" s="8" t="s">
        <v>475</v>
      </c>
      <c r="BB34" s="11">
        <v>144</v>
      </c>
      <c r="BC34" s="9">
        <v>4.8</v>
      </c>
      <c r="BD34" s="8" t="s">
        <v>477</v>
      </c>
      <c r="BE34" s="27">
        <v>2</v>
      </c>
      <c r="BF34" s="8" t="s">
        <v>466</v>
      </c>
      <c r="BG34" s="270"/>
      <c r="BH34" s="270"/>
      <c r="BI34" s="270"/>
      <c r="BJ34" s="270"/>
      <c r="BK34" s="270"/>
      <c r="BL34" s="270"/>
      <c r="BM34" s="270"/>
      <c r="BN34" s="270"/>
      <c r="BO34" s="270"/>
      <c r="BP34" s="270"/>
      <c r="BQ34" s="270"/>
      <c r="BR34" s="270"/>
      <c r="BS34" s="270"/>
      <c r="BT34" s="270"/>
      <c r="BU34" s="270"/>
      <c r="BV34" s="270"/>
      <c r="BW34" s="270"/>
      <c r="BX34" s="270"/>
      <c r="BY34" s="270"/>
      <c r="BZ34" s="270"/>
      <c r="CA34" s="270"/>
      <c r="CB34" s="270"/>
      <c r="CC34" s="270"/>
      <c r="CD34" s="270"/>
      <c r="CE34" s="270"/>
      <c r="CF34" s="270"/>
      <c r="CG34" s="270"/>
      <c r="CH34" s="270"/>
      <c r="CI34" s="270"/>
      <c r="CJ34" s="270"/>
      <c r="CK34" s="270"/>
      <c r="CL34" s="270"/>
      <c r="CM34" s="270"/>
      <c r="CN34" s="270"/>
      <c r="CO34" s="270"/>
      <c r="CP34" s="270"/>
      <c r="CQ34" s="270"/>
      <c r="CR34" s="270"/>
      <c r="CS34" s="270"/>
      <c r="CT34" s="270"/>
      <c r="CU34" s="272"/>
    </row>
    <row r="35" spans="1:99" s="273" customFormat="1" ht="12" customHeight="1" x14ac:dyDescent="0.2">
      <c r="A35" s="8">
        <v>76</v>
      </c>
      <c r="B35" s="8" t="s">
        <v>127</v>
      </c>
      <c r="C35" s="8" t="s">
        <v>211</v>
      </c>
      <c r="D35" s="8" t="s">
        <v>46</v>
      </c>
      <c r="E35" s="8" t="s">
        <v>331</v>
      </c>
      <c r="F35" s="8" t="s">
        <v>437</v>
      </c>
      <c r="G35" s="8" t="s">
        <v>439</v>
      </c>
      <c r="H35" s="9">
        <v>360</v>
      </c>
      <c r="I35" s="10">
        <v>19.007000000000001</v>
      </c>
      <c r="J35" s="10">
        <v>5.2999999999999999E-2</v>
      </c>
      <c r="K35" s="10">
        <v>0.41099999999999998</v>
      </c>
      <c r="L35" s="9">
        <v>53.2</v>
      </c>
      <c r="M35" s="11">
        <v>43</v>
      </c>
      <c r="N35" s="9">
        <v>37.200000000000003</v>
      </c>
      <c r="O35" s="10">
        <v>1.4219999999999999</v>
      </c>
      <c r="P35" s="10">
        <v>3.7999999999999999E-2</v>
      </c>
      <c r="Q35" s="10">
        <v>0.31</v>
      </c>
      <c r="R35" s="9">
        <v>16.7</v>
      </c>
      <c r="S35" s="11">
        <v>3937</v>
      </c>
      <c r="T35" s="9">
        <v>4.9000000000000004</v>
      </c>
      <c r="U35" s="9">
        <v>22.4</v>
      </c>
      <c r="V35" s="11">
        <v>48</v>
      </c>
      <c r="W35" s="9">
        <v>33.9</v>
      </c>
      <c r="X35" s="10">
        <v>2.0019999999999998</v>
      </c>
      <c r="Y35" s="10">
        <v>5.8999999999999997E-2</v>
      </c>
      <c r="Z35" s="10">
        <v>0.318</v>
      </c>
      <c r="AA35" s="9">
        <v>7.1</v>
      </c>
      <c r="AB35" s="11">
        <v>3094</v>
      </c>
      <c r="AC35" s="9">
        <v>2.8</v>
      </c>
      <c r="AD35" s="9">
        <v>15.2</v>
      </c>
      <c r="AE35" s="11">
        <v>24</v>
      </c>
      <c r="AF35" s="9">
        <v>50.9</v>
      </c>
      <c r="AG35" s="10">
        <v>2.9060000000000001</v>
      </c>
      <c r="AH35" s="10">
        <v>5.7000000000000002E-2</v>
      </c>
      <c r="AI35" s="9">
        <v>13</v>
      </c>
      <c r="AJ35" s="11">
        <v>25</v>
      </c>
      <c r="AK35" s="9">
        <v>309.10000000000002</v>
      </c>
      <c r="AL35" s="10">
        <v>16.100999999999999</v>
      </c>
      <c r="AM35" s="10">
        <v>5.1999999999999998E-2</v>
      </c>
      <c r="AN35" s="9">
        <v>40.200000000000003</v>
      </c>
      <c r="AO35" s="308"/>
      <c r="AP35" s="308"/>
      <c r="AQ35" s="308"/>
      <c r="AR35" s="308"/>
      <c r="AS35" s="12">
        <f>Table2[[#This Row],[Object_A_._head_time]]+Table2[[#This Row],[Object_B_._head_time]]</f>
        <v>71.099999999999994</v>
      </c>
      <c r="AT35" s="12"/>
      <c r="AU35" s="12"/>
      <c r="AV35" s="13"/>
      <c r="AW35" s="12"/>
      <c r="AX35" s="308">
        <f>(Table2[[#This Row],[Object_A_._head_time]]/(Table2[[#This Row],[Object_A_._head_time]]+Table2[[#This Row],[Object_B_._head_time]]))</f>
        <v>0.52320675105485237</v>
      </c>
      <c r="AY35" s="8" t="s">
        <v>486</v>
      </c>
      <c r="AZ35" s="8" t="s">
        <v>472</v>
      </c>
      <c r="BA35" s="8" t="s">
        <v>473</v>
      </c>
      <c r="BB35" s="11">
        <v>144</v>
      </c>
      <c r="BC35" s="9">
        <v>4.8</v>
      </c>
      <c r="BD35" s="8" t="s">
        <v>477</v>
      </c>
      <c r="BE35" s="27">
        <v>4</v>
      </c>
      <c r="BF35" s="8"/>
      <c r="BG35" s="270"/>
      <c r="BH35" s="270"/>
      <c r="BI35" s="270"/>
      <c r="BJ35" s="270"/>
      <c r="BK35" s="270"/>
      <c r="BL35" s="270"/>
      <c r="BM35" s="270"/>
      <c r="BN35" s="270"/>
      <c r="BO35" s="270"/>
      <c r="BP35" s="270"/>
      <c r="BQ35" s="270"/>
      <c r="BR35" s="270"/>
      <c r="BS35" s="270"/>
      <c r="BT35" s="270"/>
      <c r="BU35" s="270"/>
      <c r="BV35" s="270"/>
      <c r="BW35" s="270"/>
      <c r="BX35" s="270"/>
      <c r="BY35" s="270"/>
      <c r="BZ35" s="270"/>
      <c r="CA35" s="270"/>
      <c r="CB35" s="270"/>
      <c r="CC35" s="270"/>
      <c r="CD35" s="270"/>
      <c r="CE35" s="270"/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0"/>
      <c r="CQ35" s="270"/>
      <c r="CR35" s="270"/>
      <c r="CS35" s="270"/>
      <c r="CT35" s="270"/>
      <c r="CU35" s="272"/>
    </row>
    <row r="36" spans="1:99" s="273" customFormat="1" ht="12" customHeight="1" x14ac:dyDescent="0.2">
      <c r="A36" s="8">
        <v>77</v>
      </c>
      <c r="B36" s="8" t="s">
        <v>130</v>
      </c>
      <c r="C36" s="8" t="s">
        <v>211</v>
      </c>
      <c r="D36" s="8" t="s">
        <v>49</v>
      </c>
      <c r="E36" s="8" t="s">
        <v>331</v>
      </c>
      <c r="F36" s="8" t="s">
        <v>440</v>
      </c>
      <c r="G36" s="8" t="s">
        <v>441</v>
      </c>
      <c r="H36" s="9">
        <v>360</v>
      </c>
      <c r="I36" s="10">
        <v>12.406000000000001</v>
      </c>
      <c r="J36" s="10">
        <v>3.4000000000000002E-2</v>
      </c>
      <c r="K36" s="10">
        <v>0.36299999999999999</v>
      </c>
      <c r="L36" s="9">
        <v>151.30000000000001</v>
      </c>
      <c r="M36" s="11">
        <v>17</v>
      </c>
      <c r="N36" s="9">
        <v>16.100000000000001</v>
      </c>
      <c r="O36" s="10">
        <v>0.497</v>
      </c>
      <c r="P36" s="10">
        <v>3.1E-2</v>
      </c>
      <c r="Q36" s="10">
        <v>0.29799999999999999</v>
      </c>
      <c r="R36" s="9">
        <v>7.4</v>
      </c>
      <c r="S36" s="11">
        <v>1377</v>
      </c>
      <c r="T36" s="9">
        <v>0</v>
      </c>
      <c r="U36" s="9">
        <v>9.6999999999999993</v>
      </c>
      <c r="V36" s="11">
        <v>23</v>
      </c>
      <c r="W36" s="9">
        <v>16.399999999999999</v>
      </c>
      <c r="X36" s="10">
        <v>1.0660000000000001</v>
      </c>
      <c r="Y36" s="10">
        <v>6.5000000000000002E-2</v>
      </c>
      <c r="Z36" s="10">
        <v>0.312</v>
      </c>
      <c r="AA36" s="9">
        <v>5.0999999999999996</v>
      </c>
      <c r="AB36" s="11">
        <v>1821</v>
      </c>
      <c r="AC36" s="9">
        <v>1.2</v>
      </c>
      <c r="AD36" s="9">
        <v>11</v>
      </c>
      <c r="AE36" s="11">
        <v>9</v>
      </c>
      <c r="AF36" s="9">
        <v>12.1</v>
      </c>
      <c r="AG36" s="10">
        <v>1.3859999999999999</v>
      </c>
      <c r="AH36" s="10">
        <v>0.114</v>
      </c>
      <c r="AI36" s="9">
        <v>0</v>
      </c>
      <c r="AJ36" s="11">
        <v>9</v>
      </c>
      <c r="AK36" s="9">
        <v>347.9</v>
      </c>
      <c r="AL36" s="10">
        <v>11.021000000000001</v>
      </c>
      <c r="AM36" s="10">
        <v>3.2000000000000001E-2</v>
      </c>
      <c r="AN36" s="9">
        <v>151.30000000000001</v>
      </c>
      <c r="AO36" s="308"/>
      <c r="AP36" s="308"/>
      <c r="AQ36" s="308"/>
      <c r="AR36" s="308"/>
      <c r="AS36" s="12">
        <f>Table2[[#This Row],[Object_A_._head_time]]+Table2[[#This Row],[Object_B_._head_time]]</f>
        <v>32.5</v>
      </c>
      <c r="AT36" s="12"/>
      <c r="AU36" s="12"/>
      <c r="AV36" s="13"/>
      <c r="AW36" s="12"/>
      <c r="AX36" s="308">
        <f>(Table2[[#This Row],[Object_A_._head_time]]/(Table2[[#This Row],[Object_A_._head_time]]+Table2[[#This Row],[Object_B_._head_time]]))</f>
        <v>0.49538461538461542</v>
      </c>
      <c r="AY36" s="8" t="s">
        <v>486</v>
      </c>
      <c r="AZ36" s="8" t="s">
        <v>472</v>
      </c>
      <c r="BA36" s="8" t="s">
        <v>473</v>
      </c>
      <c r="BB36" s="11">
        <v>144</v>
      </c>
      <c r="BC36" s="9">
        <v>4.8</v>
      </c>
      <c r="BD36" s="8" t="s">
        <v>474</v>
      </c>
      <c r="BE36" s="27">
        <v>3</v>
      </c>
      <c r="BF36" s="8" t="s">
        <v>468</v>
      </c>
      <c r="BG36" s="270"/>
      <c r="BH36" s="270"/>
      <c r="BI36" s="270"/>
      <c r="BJ36" s="270"/>
      <c r="BK36" s="270"/>
      <c r="BL36" s="270"/>
      <c r="BM36" s="270"/>
      <c r="BN36" s="270"/>
      <c r="BO36" s="270"/>
      <c r="BP36" s="270"/>
      <c r="BQ36" s="270"/>
      <c r="BR36" s="270"/>
      <c r="BS36" s="270"/>
      <c r="BT36" s="270"/>
      <c r="BU36" s="270"/>
      <c r="BV36" s="270"/>
      <c r="BW36" s="270"/>
      <c r="BX36" s="270"/>
      <c r="BY36" s="270"/>
      <c r="BZ36" s="270"/>
      <c r="CA36" s="270"/>
      <c r="CB36" s="270"/>
      <c r="CC36" s="270"/>
      <c r="CD36" s="270"/>
      <c r="CE36" s="270"/>
      <c r="CF36" s="270"/>
      <c r="CG36" s="270"/>
      <c r="CH36" s="270"/>
      <c r="CI36" s="270"/>
      <c r="CJ36" s="270"/>
      <c r="CK36" s="270"/>
      <c r="CL36" s="270"/>
      <c r="CM36" s="270"/>
      <c r="CN36" s="270"/>
      <c r="CO36" s="270"/>
      <c r="CP36" s="270"/>
      <c r="CQ36" s="270"/>
      <c r="CR36" s="270"/>
      <c r="CS36" s="270"/>
      <c r="CT36" s="270"/>
      <c r="CU36" s="272"/>
    </row>
    <row r="37" spans="1:99" s="273" customFormat="1" ht="12" customHeight="1" x14ac:dyDescent="0.2">
      <c r="A37" s="8">
        <v>78</v>
      </c>
      <c r="B37" s="8" t="s">
        <v>132</v>
      </c>
      <c r="C37" s="8" t="s">
        <v>211</v>
      </c>
      <c r="D37" s="8" t="s">
        <v>53</v>
      </c>
      <c r="E37" s="8" t="s">
        <v>331</v>
      </c>
      <c r="F37" s="8" t="s">
        <v>440</v>
      </c>
      <c r="G37" s="8" t="s">
        <v>442</v>
      </c>
      <c r="H37" s="9">
        <v>360</v>
      </c>
      <c r="I37" s="10">
        <v>7.7990000000000004</v>
      </c>
      <c r="J37" s="10">
        <v>2.1999999999999999E-2</v>
      </c>
      <c r="K37" s="10">
        <v>0.33100000000000002</v>
      </c>
      <c r="L37" s="9">
        <v>208.4</v>
      </c>
      <c r="M37" s="11">
        <v>6</v>
      </c>
      <c r="N37" s="9">
        <v>9.9</v>
      </c>
      <c r="O37" s="10">
        <v>0.64400000000000002</v>
      </c>
      <c r="P37" s="10">
        <v>6.5000000000000002E-2</v>
      </c>
      <c r="Q37" s="10">
        <v>0.28799999999999998</v>
      </c>
      <c r="R37" s="9">
        <v>2</v>
      </c>
      <c r="S37" s="11">
        <v>970</v>
      </c>
      <c r="T37" s="9">
        <v>0</v>
      </c>
      <c r="U37" s="9">
        <v>2.7</v>
      </c>
      <c r="V37" s="11">
        <v>31</v>
      </c>
      <c r="W37" s="9">
        <v>42.6</v>
      </c>
      <c r="X37" s="10">
        <v>1.08</v>
      </c>
      <c r="Y37" s="10">
        <v>2.5000000000000001E-2</v>
      </c>
      <c r="Z37" s="10">
        <v>0.26800000000000002</v>
      </c>
      <c r="AA37" s="9">
        <v>25.2</v>
      </c>
      <c r="AB37" s="11">
        <v>2945</v>
      </c>
      <c r="AC37" s="9">
        <v>11.9</v>
      </c>
      <c r="AD37" s="9">
        <v>27.5</v>
      </c>
      <c r="AE37" s="11">
        <v>8</v>
      </c>
      <c r="AF37" s="9">
        <v>6.2</v>
      </c>
      <c r="AG37" s="10">
        <v>0.69799999999999995</v>
      </c>
      <c r="AH37" s="10">
        <v>0.113</v>
      </c>
      <c r="AI37" s="9">
        <v>0</v>
      </c>
      <c r="AJ37" s="11">
        <v>8</v>
      </c>
      <c r="AK37" s="9">
        <v>353.8</v>
      </c>
      <c r="AL37" s="10">
        <v>7.101</v>
      </c>
      <c r="AM37" s="10">
        <v>0.02</v>
      </c>
      <c r="AN37" s="9">
        <v>208.4</v>
      </c>
      <c r="AO37" s="308"/>
      <c r="AP37" s="308"/>
      <c r="AQ37" s="308"/>
      <c r="AR37" s="308"/>
      <c r="AS37" s="12">
        <f>Table2[[#This Row],[Object_A_._head_time]]+Table2[[#This Row],[Object_B_._head_time]]</f>
        <v>52.5</v>
      </c>
      <c r="AT37" s="12"/>
      <c r="AU37" s="12"/>
      <c r="AV37" s="13"/>
      <c r="AW37" s="12"/>
      <c r="AX37" s="311">
        <f>(Table2[[#This Row],[Object_A_._head_time]]/(Table2[[#This Row],[Object_A_._head_time]]+Table2[[#This Row],[Object_B_._head_time]]))</f>
        <v>0.18857142857142858</v>
      </c>
      <c r="AY37" s="8" t="s">
        <v>487</v>
      </c>
      <c r="AZ37" s="8" t="s">
        <v>472</v>
      </c>
      <c r="BA37" s="8" t="s">
        <v>475</v>
      </c>
      <c r="BB37" s="11">
        <v>144</v>
      </c>
      <c r="BC37" s="9">
        <v>4.8</v>
      </c>
      <c r="BD37" s="8" t="s">
        <v>474</v>
      </c>
      <c r="BE37" s="27">
        <v>1</v>
      </c>
      <c r="BF37" s="8" t="s">
        <v>469</v>
      </c>
      <c r="BG37" s="270"/>
      <c r="BH37" s="270"/>
      <c r="BI37" s="270"/>
      <c r="BJ37" s="270"/>
      <c r="BK37" s="270"/>
      <c r="BL37" s="270"/>
      <c r="BM37" s="270"/>
      <c r="BN37" s="270"/>
      <c r="BO37" s="270"/>
      <c r="BP37" s="270"/>
      <c r="BQ37" s="270"/>
      <c r="BR37" s="270"/>
      <c r="BS37" s="270"/>
      <c r="BT37" s="270"/>
      <c r="BU37" s="270"/>
      <c r="BV37" s="270"/>
      <c r="BW37" s="270"/>
      <c r="BX37" s="270"/>
      <c r="BY37" s="270"/>
      <c r="BZ37" s="270"/>
      <c r="CA37" s="270"/>
      <c r="CB37" s="270"/>
      <c r="CC37" s="270"/>
      <c r="CD37" s="270"/>
      <c r="CE37" s="270"/>
      <c r="CF37" s="270"/>
      <c r="CG37" s="270"/>
      <c r="CH37" s="270"/>
      <c r="CI37" s="270"/>
      <c r="CJ37" s="270"/>
      <c r="CK37" s="270"/>
      <c r="CL37" s="270"/>
      <c r="CM37" s="270"/>
      <c r="CN37" s="270"/>
      <c r="CO37" s="270"/>
      <c r="CP37" s="270"/>
      <c r="CQ37" s="270"/>
      <c r="CR37" s="270"/>
      <c r="CS37" s="270"/>
      <c r="CT37" s="270"/>
      <c r="CU37" s="272"/>
    </row>
    <row r="38" spans="1:99" s="273" customFormat="1" ht="12" customHeight="1" x14ac:dyDescent="0.2">
      <c r="A38" s="8">
        <v>81</v>
      </c>
      <c r="B38" s="8" t="s">
        <v>134</v>
      </c>
      <c r="C38" s="8" t="s">
        <v>211</v>
      </c>
      <c r="D38" s="8" t="s">
        <v>41</v>
      </c>
      <c r="E38" s="8" t="s">
        <v>331</v>
      </c>
      <c r="F38" s="8" t="s">
        <v>443</v>
      </c>
      <c r="G38" s="8" t="s">
        <v>444</v>
      </c>
      <c r="H38" s="9">
        <v>360</v>
      </c>
      <c r="I38" s="10">
        <v>41.557000000000002</v>
      </c>
      <c r="J38" s="10">
        <v>0.115</v>
      </c>
      <c r="K38" s="10">
        <v>0.371</v>
      </c>
      <c r="L38" s="9">
        <v>3.2</v>
      </c>
      <c r="M38" s="11">
        <v>45</v>
      </c>
      <c r="N38" s="9">
        <v>26.8</v>
      </c>
      <c r="O38" s="10">
        <v>1.1910000000000001</v>
      </c>
      <c r="P38" s="10">
        <v>4.3999999999999997E-2</v>
      </c>
      <c r="Q38" s="10">
        <v>0.28499999999999998</v>
      </c>
      <c r="R38" s="9">
        <v>20.7</v>
      </c>
      <c r="S38" s="11">
        <v>2731</v>
      </c>
      <c r="T38" s="9">
        <v>0</v>
      </c>
      <c r="U38" s="9">
        <v>22.4</v>
      </c>
      <c r="V38" s="11">
        <v>37</v>
      </c>
      <c r="W38" s="9">
        <v>23.6</v>
      </c>
      <c r="X38" s="10">
        <v>0.86199999999999999</v>
      </c>
      <c r="Y38" s="10">
        <v>3.6999999999999998E-2</v>
      </c>
      <c r="Z38" s="10">
        <v>0.27300000000000002</v>
      </c>
      <c r="AA38" s="9">
        <v>19.2</v>
      </c>
      <c r="AB38" s="11">
        <v>1849</v>
      </c>
      <c r="AC38" s="9">
        <v>0</v>
      </c>
      <c r="AD38" s="9">
        <v>23.3</v>
      </c>
      <c r="AE38" s="11">
        <v>14</v>
      </c>
      <c r="AF38" s="9">
        <v>14.9</v>
      </c>
      <c r="AG38" s="10">
        <v>1.7749999999999999</v>
      </c>
      <c r="AH38" s="10">
        <v>0.11899999999999999</v>
      </c>
      <c r="AI38" s="9">
        <v>0</v>
      </c>
      <c r="AJ38" s="11">
        <v>14</v>
      </c>
      <c r="AK38" s="9">
        <v>345.1</v>
      </c>
      <c r="AL38" s="10">
        <v>39.781999999999996</v>
      </c>
      <c r="AM38" s="10">
        <v>0.115</v>
      </c>
      <c r="AN38" s="9">
        <v>3.2</v>
      </c>
      <c r="AO38" s="308"/>
      <c r="AP38" s="308"/>
      <c r="AQ38" s="308"/>
      <c r="AR38" s="308"/>
      <c r="AS38" s="12">
        <f>Table2[[#This Row],[Object_A_._head_time]]+Table2[[#This Row],[Object_B_._head_time]]</f>
        <v>50.400000000000006</v>
      </c>
      <c r="AT38" s="12"/>
      <c r="AU38" s="12"/>
      <c r="AV38" s="13"/>
      <c r="AW38" s="12"/>
      <c r="AX38" s="308">
        <f>(Table2[[#This Row],[Object_A_._head_time]]/(Table2[[#This Row],[Object_A_._head_time]]+Table2[[#This Row],[Object_B_._head_time]]))</f>
        <v>0.53174603174603174</v>
      </c>
      <c r="AY38" s="8" t="s">
        <v>487</v>
      </c>
      <c r="AZ38" s="8" t="s">
        <v>472</v>
      </c>
      <c r="BA38" s="8" t="s">
        <v>473</v>
      </c>
      <c r="BB38" s="11">
        <v>144</v>
      </c>
      <c r="BC38" s="9">
        <v>4.8</v>
      </c>
      <c r="BD38" s="8" t="s">
        <v>477</v>
      </c>
      <c r="BE38" s="27">
        <v>4</v>
      </c>
      <c r="BF38" s="8"/>
      <c r="BG38" s="270"/>
      <c r="BH38" s="270"/>
      <c r="BI38" s="270"/>
      <c r="BJ38" s="270"/>
      <c r="BK38" s="270"/>
      <c r="BL38" s="270"/>
      <c r="BM38" s="270"/>
      <c r="BN38" s="270"/>
      <c r="BO38" s="270"/>
      <c r="BP38" s="270"/>
      <c r="BQ38" s="270"/>
      <c r="BR38" s="270"/>
      <c r="BS38" s="270"/>
      <c r="BT38" s="270"/>
      <c r="BU38" s="270"/>
      <c r="BV38" s="270"/>
      <c r="BW38" s="270"/>
      <c r="BX38" s="270"/>
      <c r="BY38" s="270"/>
      <c r="BZ38" s="270"/>
      <c r="CA38" s="270"/>
      <c r="CB38" s="270"/>
      <c r="CC38" s="270"/>
      <c r="CD38" s="270"/>
      <c r="CE38" s="270"/>
      <c r="CF38" s="270"/>
      <c r="CG38" s="270"/>
      <c r="CH38" s="270"/>
      <c r="CI38" s="270"/>
      <c r="CJ38" s="270"/>
      <c r="CK38" s="270"/>
      <c r="CL38" s="270"/>
      <c r="CM38" s="270"/>
      <c r="CN38" s="270"/>
      <c r="CO38" s="270"/>
      <c r="CP38" s="270"/>
      <c r="CQ38" s="270"/>
      <c r="CR38" s="270"/>
      <c r="CS38" s="270"/>
      <c r="CT38" s="270"/>
      <c r="CU38" s="272"/>
    </row>
    <row r="39" spans="1:99" s="273" customFormat="1" ht="12" customHeight="1" x14ac:dyDescent="0.2">
      <c r="A39" s="8">
        <v>80</v>
      </c>
      <c r="B39" s="8" t="s">
        <v>136</v>
      </c>
      <c r="C39" s="8" t="s">
        <v>211</v>
      </c>
      <c r="D39" s="8" t="s">
        <v>46</v>
      </c>
      <c r="E39" s="8" t="s">
        <v>331</v>
      </c>
      <c r="F39" s="8" t="s">
        <v>443</v>
      </c>
      <c r="G39" s="8" t="s">
        <v>445</v>
      </c>
      <c r="H39" s="9">
        <v>360</v>
      </c>
      <c r="I39" s="10">
        <v>14.667999999999999</v>
      </c>
      <c r="J39" s="10">
        <v>4.1000000000000002E-2</v>
      </c>
      <c r="K39" s="10">
        <v>0.28899999999999998</v>
      </c>
      <c r="L39" s="9">
        <v>65.099999999999994</v>
      </c>
      <c r="M39" s="11">
        <v>28</v>
      </c>
      <c r="N39" s="9">
        <v>40.1</v>
      </c>
      <c r="O39" s="10">
        <v>1.988</v>
      </c>
      <c r="P39" s="10">
        <v>0.05</v>
      </c>
      <c r="Q39" s="10">
        <v>0.26400000000000001</v>
      </c>
      <c r="R39" s="9">
        <v>19.7</v>
      </c>
      <c r="S39" s="11">
        <v>2856</v>
      </c>
      <c r="T39" s="9">
        <v>4.5</v>
      </c>
      <c r="U39" s="9">
        <v>14.4</v>
      </c>
      <c r="V39" s="11">
        <v>30</v>
      </c>
      <c r="W39" s="9">
        <v>39.200000000000003</v>
      </c>
      <c r="X39" s="10">
        <v>2.1259999999999999</v>
      </c>
      <c r="Y39" s="10">
        <v>5.3999999999999999E-2</v>
      </c>
      <c r="Z39" s="10">
        <v>0.23499999999999999</v>
      </c>
      <c r="AA39" s="9">
        <v>8.4</v>
      </c>
      <c r="AB39" s="11">
        <v>2854</v>
      </c>
      <c r="AC39" s="9">
        <v>1.3</v>
      </c>
      <c r="AD39" s="9">
        <v>6.1</v>
      </c>
      <c r="AE39" s="11">
        <v>21</v>
      </c>
      <c r="AF39" s="9">
        <v>57.2</v>
      </c>
      <c r="AG39" s="10">
        <v>3.4510000000000001</v>
      </c>
      <c r="AH39" s="10">
        <v>0.06</v>
      </c>
      <c r="AI39" s="9">
        <v>5.6</v>
      </c>
      <c r="AJ39" s="11">
        <v>22</v>
      </c>
      <c r="AK39" s="9">
        <v>302.8</v>
      </c>
      <c r="AL39" s="10">
        <v>11.217000000000001</v>
      </c>
      <c r="AM39" s="10">
        <v>3.6999999999999998E-2</v>
      </c>
      <c r="AN39" s="9">
        <v>59.5</v>
      </c>
      <c r="AO39" s="308"/>
      <c r="AP39" s="308"/>
      <c r="AQ39" s="308"/>
      <c r="AR39" s="308"/>
      <c r="AS39" s="12">
        <f>Table2[[#This Row],[Object_A_._head_time]]+Table2[[#This Row],[Object_B_._head_time]]</f>
        <v>79.300000000000011</v>
      </c>
      <c r="AT39" s="12"/>
      <c r="AU39" s="12"/>
      <c r="AV39" s="13"/>
      <c r="AW39" s="12"/>
      <c r="AX39" s="308">
        <f>(Table2[[#This Row],[Object_A_._head_time]]/(Table2[[#This Row],[Object_A_._head_time]]+Table2[[#This Row],[Object_B_._head_time]]))</f>
        <v>0.50567465321563676</v>
      </c>
      <c r="AY39" s="8" t="s">
        <v>487</v>
      </c>
      <c r="AZ39" s="8" t="s">
        <v>472</v>
      </c>
      <c r="BA39" s="8" t="s">
        <v>475</v>
      </c>
      <c r="BB39" s="11">
        <v>144</v>
      </c>
      <c r="BC39" s="9">
        <v>4.8</v>
      </c>
      <c r="BD39" s="8" t="s">
        <v>477</v>
      </c>
      <c r="BE39" s="27">
        <v>2</v>
      </c>
      <c r="BF39" s="8"/>
      <c r="BG39" s="270"/>
      <c r="BH39" s="270"/>
      <c r="BI39" s="270"/>
      <c r="BJ39" s="270"/>
      <c r="BK39" s="270"/>
      <c r="BL39" s="270"/>
      <c r="BM39" s="270"/>
      <c r="BN39" s="270"/>
      <c r="BO39" s="270"/>
      <c r="BP39" s="270"/>
      <c r="BQ39" s="270"/>
      <c r="BR39" s="270"/>
      <c r="BS39" s="270"/>
      <c r="BT39" s="270"/>
      <c r="BU39" s="270"/>
      <c r="BV39" s="270"/>
      <c r="BW39" s="270"/>
      <c r="BX39" s="270"/>
      <c r="BY39" s="270"/>
      <c r="BZ39" s="270"/>
      <c r="CA39" s="270"/>
      <c r="CB39" s="270"/>
      <c r="CC39" s="270"/>
      <c r="CD39" s="270"/>
      <c r="CE39" s="270"/>
      <c r="CF39" s="270"/>
      <c r="CG39" s="270"/>
      <c r="CH39" s="270"/>
      <c r="CI39" s="270"/>
      <c r="CJ39" s="270"/>
      <c r="CK39" s="270"/>
      <c r="CL39" s="270"/>
      <c r="CM39" s="270"/>
      <c r="CN39" s="270"/>
      <c r="CO39" s="270"/>
      <c r="CP39" s="270"/>
      <c r="CQ39" s="270"/>
      <c r="CR39" s="270"/>
      <c r="CS39" s="270"/>
      <c r="CT39" s="270"/>
      <c r="CU39" s="272"/>
    </row>
    <row r="40" spans="1:99" s="273" customFormat="1" ht="12" customHeight="1" x14ac:dyDescent="0.2">
      <c r="A40" s="8">
        <v>82</v>
      </c>
      <c r="B40" s="8" t="s">
        <v>139</v>
      </c>
      <c r="C40" s="8" t="s">
        <v>211</v>
      </c>
      <c r="D40" s="8" t="s">
        <v>49</v>
      </c>
      <c r="E40" s="8" t="s">
        <v>331</v>
      </c>
      <c r="F40" s="8" t="s">
        <v>443</v>
      </c>
      <c r="G40" s="8" t="s">
        <v>446</v>
      </c>
      <c r="H40" s="9">
        <v>360</v>
      </c>
      <c r="I40" s="10">
        <v>9.6310000000000002</v>
      </c>
      <c r="J40" s="10">
        <v>2.7E-2</v>
      </c>
      <c r="K40" s="10">
        <v>0.30499999999999999</v>
      </c>
      <c r="L40" s="9">
        <v>49.2</v>
      </c>
      <c r="M40" s="11">
        <v>33</v>
      </c>
      <c r="N40" s="9">
        <v>33.700000000000003</v>
      </c>
      <c r="O40" s="10">
        <v>1.429</v>
      </c>
      <c r="P40" s="10">
        <v>4.2000000000000003E-2</v>
      </c>
      <c r="Q40" s="10">
        <v>0.24099999999999999</v>
      </c>
      <c r="R40" s="9">
        <v>13.6</v>
      </c>
      <c r="S40" s="11">
        <v>2467</v>
      </c>
      <c r="T40" s="9">
        <v>0</v>
      </c>
      <c r="U40" s="9">
        <v>21</v>
      </c>
      <c r="V40" s="11">
        <v>12</v>
      </c>
      <c r="W40" s="9">
        <v>11.7</v>
      </c>
      <c r="X40" s="10">
        <v>0.92200000000000004</v>
      </c>
      <c r="Y40" s="10">
        <v>7.9000000000000001E-2</v>
      </c>
      <c r="Z40" s="10">
        <v>0.26400000000000001</v>
      </c>
      <c r="AA40" s="9">
        <v>4.5999999999999996</v>
      </c>
      <c r="AB40" s="11">
        <v>1112</v>
      </c>
      <c r="AC40" s="9">
        <v>0</v>
      </c>
      <c r="AD40" s="9">
        <v>5.6</v>
      </c>
      <c r="AE40" s="11">
        <v>8</v>
      </c>
      <c r="AF40" s="9">
        <v>27.2</v>
      </c>
      <c r="AG40" s="10">
        <v>1.764</v>
      </c>
      <c r="AH40" s="10">
        <v>6.5000000000000002E-2</v>
      </c>
      <c r="AI40" s="9">
        <v>0</v>
      </c>
      <c r="AJ40" s="11">
        <v>9</v>
      </c>
      <c r="AK40" s="9">
        <v>332.8</v>
      </c>
      <c r="AL40" s="10">
        <v>7.8659999999999997</v>
      </c>
      <c r="AM40" s="10">
        <v>2.4E-2</v>
      </c>
      <c r="AN40" s="9">
        <v>49.2</v>
      </c>
      <c r="AO40" s="308"/>
      <c r="AP40" s="308"/>
      <c r="AQ40" s="308"/>
      <c r="AR40" s="308"/>
      <c r="AS40" s="12">
        <f>Table2[[#This Row],[Object_A_._head_time]]+Table2[[#This Row],[Object_B_._head_time]]</f>
        <v>45.400000000000006</v>
      </c>
      <c r="AT40" s="12"/>
      <c r="AU40" s="12"/>
      <c r="AV40" s="13"/>
      <c r="AW40" s="12"/>
      <c r="AX40" s="308">
        <f>(Table2[[#This Row],[Object_A_._head_time]]/(Table2[[#This Row],[Object_A_._head_time]]+Table2[[#This Row],[Object_B_._head_time]]))</f>
        <v>0.74229074889867841</v>
      </c>
      <c r="AY40" s="8" t="s">
        <v>486</v>
      </c>
      <c r="AZ40" s="8" t="s">
        <v>472</v>
      </c>
      <c r="BA40" s="8" t="s">
        <v>475</v>
      </c>
      <c r="BB40" s="11">
        <v>143</v>
      </c>
      <c r="BC40" s="9">
        <v>4.7666666666666666</v>
      </c>
      <c r="BD40" s="8" t="s">
        <v>474</v>
      </c>
      <c r="BE40" s="27">
        <v>1</v>
      </c>
      <c r="BF40" s="8" t="s">
        <v>470</v>
      </c>
      <c r="BG40" s="270"/>
      <c r="BH40" s="270"/>
      <c r="BI40" s="270"/>
      <c r="BJ40" s="270"/>
      <c r="BK40" s="270"/>
      <c r="BL40" s="270"/>
      <c r="BM40" s="270"/>
      <c r="BN40" s="270"/>
      <c r="BO40" s="270"/>
      <c r="BP40" s="270"/>
      <c r="BQ40" s="270"/>
      <c r="BR40" s="270"/>
      <c r="BS40" s="270"/>
      <c r="BT40" s="270"/>
      <c r="BU40" s="270"/>
      <c r="BV40" s="270"/>
      <c r="BW40" s="270"/>
      <c r="BX40" s="270"/>
      <c r="BY40" s="270"/>
      <c r="BZ40" s="270"/>
      <c r="CA40" s="270"/>
      <c r="CB40" s="270"/>
      <c r="CC40" s="270"/>
      <c r="CD40" s="270"/>
      <c r="CE40" s="270"/>
      <c r="CF40" s="270"/>
      <c r="CG40" s="270"/>
      <c r="CH40" s="270"/>
      <c r="CI40" s="270"/>
      <c r="CJ40" s="270"/>
      <c r="CK40" s="270"/>
      <c r="CL40" s="270"/>
      <c r="CM40" s="270"/>
      <c r="CN40" s="270"/>
      <c r="CO40" s="270"/>
      <c r="CP40" s="270"/>
      <c r="CQ40" s="270"/>
      <c r="CR40" s="270"/>
      <c r="CS40" s="270"/>
      <c r="CT40" s="270"/>
      <c r="CU40" s="272"/>
    </row>
    <row r="41" spans="1:99" s="273" customFormat="1" ht="12" customHeight="1" x14ac:dyDescent="0.2">
      <c r="A41" s="8">
        <v>83</v>
      </c>
      <c r="B41" s="8" t="s">
        <v>141</v>
      </c>
      <c r="C41" s="8" t="s">
        <v>211</v>
      </c>
      <c r="D41" s="8" t="s">
        <v>53</v>
      </c>
      <c r="E41" s="8" t="s">
        <v>331</v>
      </c>
      <c r="F41" s="8" t="s">
        <v>443</v>
      </c>
      <c r="G41" s="8" t="s">
        <v>447</v>
      </c>
      <c r="H41" s="9">
        <v>360</v>
      </c>
      <c r="I41" s="10">
        <v>34.965000000000003</v>
      </c>
      <c r="J41" s="10">
        <v>9.7000000000000003E-2</v>
      </c>
      <c r="K41" s="10">
        <v>0.28100000000000003</v>
      </c>
      <c r="L41" s="9">
        <v>2.2999999999999998</v>
      </c>
      <c r="M41" s="11">
        <v>35</v>
      </c>
      <c r="N41" s="9">
        <v>20.8</v>
      </c>
      <c r="O41" s="10">
        <v>1.659</v>
      </c>
      <c r="P41" s="10">
        <v>0.08</v>
      </c>
      <c r="Q41" s="10">
        <v>0.25600000000000001</v>
      </c>
      <c r="R41" s="9">
        <v>8.6</v>
      </c>
      <c r="S41" s="11">
        <v>1801</v>
      </c>
      <c r="T41" s="9">
        <v>0</v>
      </c>
      <c r="U41" s="9">
        <v>11.1</v>
      </c>
      <c r="V41" s="11">
        <v>22</v>
      </c>
      <c r="W41" s="9">
        <v>22.7</v>
      </c>
      <c r="X41" s="10">
        <v>1.008</v>
      </c>
      <c r="Y41" s="10">
        <v>4.3999999999999997E-2</v>
      </c>
      <c r="Z41" s="10">
        <v>0.24199999999999999</v>
      </c>
      <c r="AA41" s="9">
        <v>15.3</v>
      </c>
      <c r="AB41" s="11">
        <v>1831</v>
      </c>
      <c r="AC41" s="9">
        <v>0</v>
      </c>
      <c r="AD41" s="9">
        <v>13.4</v>
      </c>
      <c r="AE41" s="11">
        <v>18</v>
      </c>
      <c r="AF41" s="9">
        <v>27.3</v>
      </c>
      <c r="AG41" s="10">
        <v>3.125</v>
      </c>
      <c r="AH41" s="10">
        <v>0.114</v>
      </c>
      <c r="AI41" s="9">
        <v>0</v>
      </c>
      <c r="AJ41" s="11">
        <v>18</v>
      </c>
      <c r="AK41" s="9">
        <v>332.7</v>
      </c>
      <c r="AL41" s="10">
        <v>31.84</v>
      </c>
      <c r="AM41" s="10">
        <v>9.6000000000000002E-2</v>
      </c>
      <c r="AN41" s="9">
        <v>2.2999999999999998</v>
      </c>
      <c r="AO41" s="308"/>
      <c r="AP41" s="308"/>
      <c r="AQ41" s="308"/>
      <c r="AR41" s="308"/>
      <c r="AS41" s="12">
        <f>Table2[[#This Row],[Object_A_._head_time]]+Table2[[#This Row],[Object_B_._head_time]]</f>
        <v>43.5</v>
      </c>
      <c r="AT41" s="12"/>
      <c r="AU41" s="12"/>
      <c r="AV41" s="13"/>
      <c r="AW41" s="12"/>
      <c r="AX41" s="308">
        <f>(Table2[[#This Row],[Object_A_._head_time]]/(Table2[[#This Row],[Object_A_._head_time]]+Table2[[#This Row],[Object_B_._head_time]]))</f>
        <v>0.47816091954022988</v>
      </c>
      <c r="AY41" s="8" t="s">
        <v>487</v>
      </c>
      <c r="AZ41" s="8" t="s">
        <v>472</v>
      </c>
      <c r="BA41" s="8" t="s">
        <v>475</v>
      </c>
      <c r="BB41" s="11">
        <v>136</v>
      </c>
      <c r="BC41" s="9">
        <v>4.5333333333333332</v>
      </c>
      <c r="BD41" s="8" t="s">
        <v>477</v>
      </c>
      <c r="BE41" s="27">
        <v>2</v>
      </c>
      <c r="BF41" s="8" t="s">
        <v>471</v>
      </c>
      <c r="BG41" s="270"/>
      <c r="BH41" s="270"/>
      <c r="BI41" s="270"/>
      <c r="BJ41" s="270"/>
      <c r="BK41" s="270"/>
      <c r="BL41" s="270"/>
      <c r="BM41" s="270"/>
      <c r="BN41" s="270"/>
      <c r="BO41" s="270"/>
      <c r="BP41" s="270"/>
      <c r="BQ41" s="270"/>
      <c r="BR41" s="270"/>
      <c r="BS41" s="270"/>
      <c r="BT41" s="270"/>
      <c r="BU41" s="270"/>
      <c r="BV41" s="270"/>
      <c r="BW41" s="270"/>
      <c r="BX41" s="270"/>
      <c r="BY41" s="270"/>
      <c r="BZ41" s="270"/>
      <c r="CA41" s="270"/>
      <c r="CB41" s="270"/>
      <c r="CC41" s="270"/>
      <c r="CD41" s="270"/>
      <c r="CE41" s="270"/>
      <c r="CF41" s="270"/>
      <c r="CG41" s="270"/>
      <c r="CH41" s="270"/>
      <c r="CI41" s="270"/>
      <c r="CJ41" s="270"/>
      <c r="CK41" s="270"/>
      <c r="CL41" s="270"/>
      <c r="CM41" s="270"/>
      <c r="CN41" s="270"/>
      <c r="CO41" s="270"/>
      <c r="CP41" s="270"/>
      <c r="CQ41" s="270"/>
      <c r="CR41" s="270"/>
      <c r="CS41" s="270"/>
      <c r="CT41" s="270"/>
      <c r="CU41" s="272"/>
    </row>
    <row r="42" spans="1:99" s="273" customFormat="1" ht="12" customHeight="1" x14ac:dyDescent="0.2">
      <c r="A42" s="8">
        <v>85</v>
      </c>
      <c r="B42" s="8" t="s">
        <v>143</v>
      </c>
      <c r="C42" s="8" t="s">
        <v>211</v>
      </c>
      <c r="D42" s="8" t="s">
        <v>41</v>
      </c>
      <c r="E42" s="8" t="s">
        <v>331</v>
      </c>
      <c r="F42" s="8" t="s">
        <v>448</v>
      </c>
      <c r="G42" s="8" t="s">
        <v>449</v>
      </c>
      <c r="H42" s="9">
        <v>360</v>
      </c>
      <c r="I42" s="10">
        <v>16.353999999999999</v>
      </c>
      <c r="J42" s="10">
        <v>4.4999999999999998E-2</v>
      </c>
      <c r="K42" s="10">
        <v>0.27800000000000002</v>
      </c>
      <c r="L42" s="9">
        <v>29.7</v>
      </c>
      <c r="M42" s="11">
        <v>18</v>
      </c>
      <c r="N42" s="9">
        <v>17.399999999999999</v>
      </c>
      <c r="O42" s="10">
        <v>0.75800000000000001</v>
      </c>
      <c r="P42" s="10">
        <v>4.3999999999999997E-2</v>
      </c>
      <c r="Q42" s="10">
        <v>0.16500000000000001</v>
      </c>
      <c r="R42" s="9">
        <v>6.9</v>
      </c>
      <c r="S42" s="11">
        <v>1133</v>
      </c>
      <c r="T42" s="9">
        <v>0</v>
      </c>
      <c r="U42" s="9">
        <v>12.5</v>
      </c>
      <c r="V42" s="11">
        <v>25</v>
      </c>
      <c r="W42" s="9">
        <v>20.8</v>
      </c>
      <c r="X42" s="10">
        <v>0.65600000000000003</v>
      </c>
      <c r="Y42" s="10">
        <v>3.2000000000000001E-2</v>
      </c>
      <c r="Z42" s="10">
        <v>0.16200000000000001</v>
      </c>
      <c r="AA42" s="9">
        <v>12.5</v>
      </c>
      <c r="AB42" s="11">
        <v>1220</v>
      </c>
      <c r="AC42" s="9">
        <v>0</v>
      </c>
      <c r="AD42" s="9">
        <v>17.7</v>
      </c>
      <c r="AE42" s="11">
        <v>7</v>
      </c>
      <c r="AF42" s="9">
        <v>6.6</v>
      </c>
      <c r="AG42" s="10">
        <v>0.93200000000000005</v>
      </c>
      <c r="AH42" s="10">
        <v>0.14099999999999999</v>
      </c>
      <c r="AI42" s="9">
        <v>0</v>
      </c>
      <c r="AJ42" s="11">
        <v>8</v>
      </c>
      <c r="AK42" s="9">
        <v>353.4</v>
      </c>
      <c r="AL42" s="10">
        <v>15.422000000000001</v>
      </c>
      <c r="AM42" s="10">
        <v>4.3999999999999997E-2</v>
      </c>
      <c r="AN42" s="9">
        <v>29.7</v>
      </c>
      <c r="AO42" s="308"/>
      <c r="AP42" s="308"/>
      <c r="AQ42" s="308"/>
      <c r="AR42" s="308"/>
      <c r="AS42" s="12">
        <f>Table2[[#This Row],[Object_A_._head_time]]+Table2[[#This Row],[Object_B_._head_time]]</f>
        <v>38.200000000000003</v>
      </c>
      <c r="AT42" s="12"/>
      <c r="AU42" s="12"/>
      <c r="AV42" s="13"/>
      <c r="AW42" s="12"/>
      <c r="AX42" s="308">
        <f>(Table2[[#This Row],[Object_A_._head_time]]/(Table2[[#This Row],[Object_A_._head_time]]+Table2[[#This Row],[Object_B_._head_time]]))</f>
        <v>0.4554973821989528</v>
      </c>
      <c r="AY42" s="8" t="s">
        <v>487</v>
      </c>
      <c r="AZ42" s="8" t="s">
        <v>476</v>
      </c>
      <c r="BA42" s="8" t="s">
        <v>475</v>
      </c>
      <c r="BB42" s="11">
        <v>125</v>
      </c>
      <c r="BC42" s="9">
        <v>4.166666666666667</v>
      </c>
      <c r="BD42" s="9" t="s">
        <v>474</v>
      </c>
      <c r="BE42" s="27">
        <v>5</v>
      </c>
      <c r="BF42" s="8"/>
      <c r="BG42" s="270"/>
      <c r="BH42" s="270"/>
      <c r="BI42" s="270"/>
      <c r="BJ42" s="270"/>
      <c r="BK42" s="270"/>
      <c r="BL42" s="270"/>
      <c r="BM42" s="270"/>
      <c r="BN42" s="270"/>
      <c r="BO42" s="270"/>
      <c r="BP42" s="270"/>
      <c r="BQ42" s="270"/>
      <c r="BR42" s="270"/>
      <c r="BS42" s="270"/>
      <c r="BT42" s="270"/>
      <c r="BU42" s="270"/>
      <c r="BV42" s="270"/>
      <c r="BW42" s="270"/>
      <c r="BX42" s="270"/>
      <c r="BY42" s="270"/>
      <c r="BZ42" s="270"/>
      <c r="CA42" s="270"/>
      <c r="CB42" s="270"/>
      <c r="CC42" s="270"/>
      <c r="CD42" s="270"/>
      <c r="CE42" s="270"/>
      <c r="CF42" s="270"/>
      <c r="CG42" s="270"/>
      <c r="CH42" s="270"/>
      <c r="CI42" s="270"/>
      <c r="CJ42" s="270"/>
      <c r="CK42" s="270"/>
      <c r="CL42" s="270"/>
      <c r="CM42" s="270"/>
      <c r="CN42" s="270"/>
      <c r="CO42" s="270"/>
      <c r="CP42" s="270"/>
      <c r="CQ42" s="270"/>
      <c r="CR42" s="270"/>
      <c r="CS42" s="270"/>
      <c r="CT42" s="270"/>
      <c r="CU42" s="272"/>
    </row>
    <row r="43" spans="1:99" s="273" customFormat="1" ht="9" customHeight="1" x14ac:dyDescent="0.2">
      <c r="A43" s="8">
        <v>84</v>
      </c>
      <c r="B43" s="8" t="s">
        <v>145</v>
      </c>
      <c r="C43" s="8" t="s">
        <v>211</v>
      </c>
      <c r="D43" s="8" t="s">
        <v>46</v>
      </c>
      <c r="E43" s="8" t="s">
        <v>331</v>
      </c>
      <c r="F43" s="8" t="s">
        <v>448</v>
      </c>
      <c r="G43" s="8" t="s">
        <v>450</v>
      </c>
      <c r="H43" s="9">
        <v>360</v>
      </c>
      <c r="I43" s="10">
        <v>14.273999999999999</v>
      </c>
      <c r="J43" s="10">
        <v>0.04</v>
      </c>
      <c r="K43" s="10">
        <v>0.29099999999999998</v>
      </c>
      <c r="L43" s="9">
        <v>33.200000000000003</v>
      </c>
      <c r="M43" s="11">
        <v>21</v>
      </c>
      <c r="N43" s="9">
        <v>27.2</v>
      </c>
      <c r="O43" s="10">
        <v>1.0980000000000001</v>
      </c>
      <c r="P43" s="10">
        <v>0.04</v>
      </c>
      <c r="Q43" s="10">
        <v>0.16200000000000001</v>
      </c>
      <c r="R43" s="9">
        <v>14</v>
      </c>
      <c r="S43" s="11">
        <v>2020</v>
      </c>
      <c r="T43" s="9">
        <v>0</v>
      </c>
      <c r="U43" s="9">
        <v>17.8</v>
      </c>
      <c r="V43" s="11">
        <v>20</v>
      </c>
      <c r="W43" s="9">
        <v>22.7</v>
      </c>
      <c r="X43" s="10">
        <v>0.88400000000000001</v>
      </c>
      <c r="Y43" s="10">
        <v>3.9E-2</v>
      </c>
      <c r="Z43" s="10">
        <v>0.156</v>
      </c>
      <c r="AA43" s="9">
        <v>12.7</v>
      </c>
      <c r="AB43" s="11">
        <v>1727</v>
      </c>
      <c r="AC43" s="9">
        <v>0</v>
      </c>
      <c r="AD43" s="9">
        <v>15.6</v>
      </c>
      <c r="AE43" s="11">
        <v>7</v>
      </c>
      <c r="AF43" s="9">
        <v>15.9</v>
      </c>
      <c r="AG43" s="10">
        <v>1.202</v>
      </c>
      <c r="AH43" s="10">
        <v>7.5999999999999998E-2</v>
      </c>
      <c r="AI43" s="9">
        <v>0</v>
      </c>
      <c r="AJ43" s="11">
        <v>8</v>
      </c>
      <c r="AK43" s="9">
        <v>344.1</v>
      </c>
      <c r="AL43" s="10">
        <v>13.071999999999999</v>
      </c>
      <c r="AM43" s="10">
        <v>3.7999999999999999E-2</v>
      </c>
      <c r="AN43" s="9">
        <v>33.200000000000003</v>
      </c>
      <c r="AO43" s="308"/>
      <c r="AP43" s="308"/>
      <c r="AQ43" s="308"/>
      <c r="AR43" s="308"/>
      <c r="AS43" s="12">
        <f>Table2[[#This Row],[Object_A_._head_time]]+Table2[[#This Row],[Object_B_._head_time]]</f>
        <v>49.9</v>
      </c>
      <c r="AT43" s="12"/>
      <c r="AU43" s="12"/>
      <c r="AV43" s="13"/>
      <c r="AW43" s="12"/>
      <c r="AX43" s="308">
        <f>(Table2[[#This Row],[Object_A_._head_time]]/(Table2[[#This Row],[Object_A_._head_time]]+Table2[[#This Row],[Object_B_._head_time]]))</f>
        <v>0.54509018036072143</v>
      </c>
      <c r="AY43" s="8" t="s">
        <v>487</v>
      </c>
      <c r="AZ43" s="8" t="s">
        <v>476</v>
      </c>
      <c r="BA43" s="8" t="s">
        <v>473</v>
      </c>
      <c r="BB43" s="11">
        <v>125</v>
      </c>
      <c r="BC43" s="9">
        <v>4.166666666666667</v>
      </c>
      <c r="BD43" s="9" t="s">
        <v>477</v>
      </c>
      <c r="BE43" s="27">
        <v>8</v>
      </c>
      <c r="BF43" s="8"/>
      <c r="BG43" s="270"/>
      <c r="BH43" s="270"/>
      <c r="BI43" s="270"/>
      <c r="BJ43" s="270"/>
      <c r="BK43" s="270"/>
      <c r="BL43" s="270"/>
      <c r="BM43" s="270"/>
      <c r="BN43" s="270"/>
      <c r="BO43" s="270"/>
      <c r="BP43" s="270"/>
      <c r="BQ43" s="270"/>
      <c r="BR43" s="270"/>
      <c r="BS43" s="270"/>
      <c r="BT43" s="270"/>
      <c r="BU43" s="270"/>
      <c r="BV43" s="270"/>
      <c r="BW43" s="270"/>
      <c r="BX43" s="270"/>
      <c r="BY43" s="270"/>
      <c r="BZ43" s="270"/>
      <c r="CA43" s="270"/>
      <c r="CB43" s="270"/>
      <c r="CC43" s="270"/>
      <c r="CD43" s="270"/>
      <c r="CE43" s="270"/>
      <c r="CF43" s="270"/>
      <c r="CG43" s="270"/>
      <c r="CH43" s="270"/>
      <c r="CI43" s="270"/>
      <c r="CJ43" s="270"/>
      <c r="CK43" s="270"/>
      <c r="CL43" s="270"/>
      <c r="CM43" s="270"/>
      <c r="CN43" s="270"/>
      <c r="CO43" s="270"/>
      <c r="CP43" s="270"/>
      <c r="CQ43" s="270"/>
      <c r="CR43" s="270"/>
      <c r="CS43" s="270"/>
      <c r="CT43" s="270"/>
      <c r="CU43" s="272"/>
    </row>
    <row r="44" spans="1:99" s="273" customFormat="1" ht="12" customHeight="1" x14ac:dyDescent="0.2">
      <c r="A44" s="8">
        <v>86</v>
      </c>
      <c r="B44" s="8" t="s">
        <v>148</v>
      </c>
      <c r="C44" s="8" t="s">
        <v>211</v>
      </c>
      <c r="D44" s="8" t="s">
        <v>49</v>
      </c>
      <c r="E44" s="8" t="s">
        <v>331</v>
      </c>
      <c r="F44" s="8" t="s">
        <v>448</v>
      </c>
      <c r="G44" s="8" t="s">
        <v>451</v>
      </c>
      <c r="H44" s="9">
        <v>360</v>
      </c>
      <c r="I44" s="10">
        <v>15.851000000000001</v>
      </c>
      <c r="J44" s="10">
        <v>4.3999999999999997E-2</v>
      </c>
      <c r="K44" s="10">
        <v>0.24299999999999999</v>
      </c>
      <c r="L44" s="9">
        <v>27.8</v>
      </c>
      <c r="M44" s="11">
        <v>34</v>
      </c>
      <c r="N44" s="9">
        <v>42.1</v>
      </c>
      <c r="O44" s="10">
        <v>2.782</v>
      </c>
      <c r="P44" s="10">
        <v>6.6000000000000003E-2</v>
      </c>
      <c r="Q44" s="10">
        <v>0.23799999999999999</v>
      </c>
      <c r="R44" s="9">
        <v>9.8000000000000007</v>
      </c>
      <c r="S44" s="11">
        <v>3490</v>
      </c>
      <c r="T44" s="9">
        <v>0</v>
      </c>
      <c r="U44" s="9">
        <v>8.4</v>
      </c>
      <c r="V44" s="11">
        <v>21</v>
      </c>
      <c r="W44" s="9">
        <v>40.9</v>
      </c>
      <c r="X44" s="10">
        <v>2.0459999999999998</v>
      </c>
      <c r="Y44" s="10">
        <v>0.05</v>
      </c>
      <c r="Z44" s="10">
        <v>0.23</v>
      </c>
      <c r="AA44" s="9">
        <v>6.5</v>
      </c>
      <c r="AB44" s="11">
        <v>2823</v>
      </c>
      <c r="AC44" s="9">
        <v>0</v>
      </c>
      <c r="AD44" s="9">
        <v>7.9</v>
      </c>
      <c r="AE44" s="11">
        <v>26</v>
      </c>
      <c r="AF44" s="9">
        <v>32.9</v>
      </c>
      <c r="AG44" s="10">
        <v>2.544</v>
      </c>
      <c r="AH44" s="10">
        <v>7.6999999999999999E-2</v>
      </c>
      <c r="AI44" s="9">
        <v>0</v>
      </c>
      <c r="AJ44" s="11">
        <v>26</v>
      </c>
      <c r="AK44" s="9">
        <v>327.10000000000002</v>
      </c>
      <c r="AL44" s="10">
        <v>13.307</v>
      </c>
      <c r="AM44" s="10">
        <v>4.1000000000000002E-2</v>
      </c>
      <c r="AN44" s="9">
        <v>27.8</v>
      </c>
      <c r="AO44" s="308"/>
      <c r="AP44" s="308"/>
      <c r="AQ44" s="308"/>
      <c r="AR44" s="308"/>
      <c r="AS44" s="12">
        <f>Table2[[#This Row],[Object_A_._head_time]]+Table2[[#This Row],[Object_B_._head_time]]</f>
        <v>83</v>
      </c>
      <c r="AT44" s="12"/>
      <c r="AU44" s="12"/>
      <c r="AV44" s="13"/>
      <c r="AW44" s="12"/>
      <c r="AX44" s="308">
        <f>(Table2[[#This Row],[Object_A_._head_time]]/(Table2[[#This Row],[Object_A_._head_time]]+Table2[[#This Row],[Object_B_._head_time]]))</f>
        <v>0.5072289156626506</v>
      </c>
      <c r="AY44" s="8" t="s">
        <v>487</v>
      </c>
      <c r="AZ44" s="8" t="s">
        <v>476</v>
      </c>
      <c r="BA44" s="8" t="s">
        <v>473</v>
      </c>
      <c r="BB44" s="11">
        <v>125</v>
      </c>
      <c r="BC44" s="9">
        <v>4.166666666666667</v>
      </c>
      <c r="BD44" s="9" t="s">
        <v>474</v>
      </c>
      <c r="BE44" s="27">
        <v>7</v>
      </c>
      <c r="BF44" s="8"/>
      <c r="BG44" s="270"/>
      <c r="BH44" s="270"/>
      <c r="BI44" s="270"/>
      <c r="BJ44" s="270"/>
      <c r="BK44" s="270"/>
      <c r="BL44" s="270"/>
      <c r="BM44" s="270"/>
      <c r="BN44" s="270"/>
      <c r="BO44" s="270"/>
      <c r="BP44" s="270"/>
      <c r="BQ44" s="270"/>
      <c r="BR44" s="270"/>
      <c r="BS44" s="270"/>
      <c r="BT44" s="270"/>
      <c r="BU44" s="270"/>
      <c r="BV44" s="270"/>
      <c r="BW44" s="270"/>
      <c r="BX44" s="270"/>
      <c r="BY44" s="270"/>
      <c r="BZ44" s="270"/>
      <c r="CA44" s="270"/>
      <c r="CB44" s="270"/>
      <c r="CC44" s="270"/>
      <c r="CD44" s="270"/>
      <c r="CE44" s="270"/>
      <c r="CF44" s="270"/>
      <c r="CG44" s="270"/>
      <c r="CH44" s="270"/>
      <c r="CI44" s="270"/>
      <c r="CJ44" s="270"/>
      <c r="CK44" s="270"/>
      <c r="CL44" s="270"/>
      <c r="CM44" s="270"/>
      <c r="CN44" s="270"/>
      <c r="CO44" s="270"/>
      <c r="CP44" s="270"/>
      <c r="CQ44" s="270"/>
      <c r="CR44" s="270"/>
      <c r="CS44" s="270"/>
      <c r="CT44" s="270"/>
      <c r="CU44" s="272"/>
    </row>
    <row r="45" spans="1:99" s="275" customFormat="1" ht="12" customHeight="1" x14ac:dyDescent="0.2">
      <c r="A45" s="14">
        <v>90</v>
      </c>
      <c r="B45" s="14" t="s">
        <v>39</v>
      </c>
      <c r="C45" s="14" t="s">
        <v>150</v>
      </c>
      <c r="D45" s="14" t="s">
        <v>41</v>
      </c>
      <c r="E45" s="14" t="s">
        <v>331</v>
      </c>
      <c r="F45" s="14" t="s">
        <v>332</v>
      </c>
      <c r="G45" s="14" t="s">
        <v>333</v>
      </c>
      <c r="H45" s="15">
        <v>360</v>
      </c>
      <c r="I45" s="16">
        <v>4.931</v>
      </c>
      <c r="J45" s="16">
        <v>1.4E-2</v>
      </c>
      <c r="K45" s="16">
        <v>0.19500000000000001</v>
      </c>
      <c r="L45" s="15">
        <v>126.4</v>
      </c>
      <c r="M45" s="17">
        <v>43</v>
      </c>
      <c r="N45" s="15">
        <v>49.3</v>
      </c>
      <c r="O45" s="16">
        <v>0.28599999999999998</v>
      </c>
      <c r="P45" s="16">
        <v>6.0000000000000001E-3</v>
      </c>
      <c r="Q45" s="16">
        <v>0.153</v>
      </c>
      <c r="R45" s="15">
        <v>22.6</v>
      </c>
      <c r="S45" s="17">
        <v>2503</v>
      </c>
      <c r="T45" s="15">
        <v>14.4</v>
      </c>
      <c r="U45" s="15">
        <v>40.700000000000003</v>
      </c>
      <c r="V45" s="17">
        <v>14</v>
      </c>
      <c r="W45" s="15">
        <v>91.6</v>
      </c>
      <c r="X45" s="16">
        <v>0.35599999999999998</v>
      </c>
      <c r="Y45" s="16">
        <v>4.0000000000000001E-3</v>
      </c>
      <c r="Z45" s="16">
        <v>0.193</v>
      </c>
      <c r="AA45" s="15">
        <v>29.3</v>
      </c>
      <c r="AB45" s="17">
        <v>4089</v>
      </c>
      <c r="AC45" s="15">
        <v>56.6</v>
      </c>
      <c r="AD45" s="15">
        <v>87.8</v>
      </c>
      <c r="AE45" s="17">
        <v>5</v>
      </c>
      <c r="AF45" s="15">
        <v>8.4</v>
      </c>
      <c r="AG45" s="16">
        <v>0.752</v>
      </c>
      <c r="AH45" s="16">
        <v>8.8999999999999996E-2</v>
      </c>
      <c r="AI45" s="15">
        <v>0</v>
      </c>
      <c r="AJ45" s="17">
        <v>5</v>
      </c>
      <c r="AK45" s="15">
        <v>351.6</v>
      </c>
      <c r="AL45" s="16">
        <v>4.1790000000000003</v>
      </c>
      <c r="AM45" s="16">
        <v>1.2E-2</v>
      </c>
      <c r="AN45" s="15">
        <v>126.4</v>
      </c>
      <c r="AO45" s="309"/>
      <c r="AP45" s="309"/>
      <c r="AQ45" s="309"/>
      <c r="AR45" s="309"/>
      <c r="AS45" s="18"/>
      <c r="AT45" s="18">
        <f>Table2[[#This Row],[Object_A_._head_time]]+Table2[[#This Row],[Object_B_._head_time]]</f>
        <v>140.89999999999998</v>
      </c>
      <c r="AU45" s="18">
        <f>Table2[[#This Row],[Object_B_._head_time]]-Table2[[#This Row],[Object_A_._head_time]]</f>
        <v>42.3</v>
      </c>
      <c r="AV45" s="19">
        <f>Table2[[#This Row],[D1: Absolute discrimination measure (D1 = B2- A2)]]/Table2[[#This Row],[E2: total exploration time in second trial E2 ( E2 = A2 + B2)]]</f>
        <v>0.30021291696238472</v>
      </c>
      <c r="AW45" s="309">
        <f>(W45/AT45)</f>
        <v>0.65010645848119242</v>
      </c>
      <c r="AX45" s="18"/>
      <c r="AY45" s="14" t="s">
        <v>486</v>
      </c>
      <c r="AZ45" s="14" t="s">
        <v>472</v>
      </c>
      <c r="BA45" s="14" t="s">
        <v>473</v>
      </c>
      <c r="BB45" s="17">
        <v>182</v>
      </c>
      <c r="BC45" s="15">
        <v>6.0666666666666664</v>
      </c>
      <c r="BD45" s="14" t="s">
        <v>474</v>
      </c>
      <c r="BE45" s="28">
        <v>3</v>
      </c>
      <c r="BF45" s="14"/>
      <c r="BG45" s="270"/>
      <c r="BH45" s="270"/>
      <c r="BI45" s="270"/>
      <c r="BJ45" s="270"/>
      <c r="BK45" s="270"/>
      <c r="BL45" s="270"/>
      <c r="BM45" s="270"/>
      <c r="BN45" s="270"/>
      <c r="BO45" s="270"/>
      <c r="BP45" s="270"/>
      <c r="BQ45" s="270"/>
      <c r="BR45" s="270"/>
      <c r="BS45" s="270"/>
      <c r="BT45" s="270"/>
      <c r="BU45" s="270"/>
      <c r="BV45" s="270"/>
      <c r="BW45" s="270"/>
      <c r="BX45" s="270"/>
      <c r="BY45" s="270"/>
      <c r="BZ45" s="270"/>
      <c r="CA45" s="270"/>
      <c r="CB45" s="270"/>
      <c r="CC45" s="270"/>
      <c r="CD45" s="270"/>
      <c r="CE45" s="270"/>
      <c r="CF45" s="270"/>
      <c r="CG45" s="270"/>
      <c r="CH45" s="270"/>
      <c r="CI45" s="270"/>
      <c r="CJ45" s="270"/>
      <c r="CK45" s="270"/>
      <c r="CL45" s="270"/>
      <c r="CM45" s="270"/>
      <c r="CN45" s="270"/>
      <c r="CO45" s="270"/>
      <c r="CP45" s="270"/>
      <c r="CQ45" s="270"/>
      <c r="CR45" s="270"/>
      <c r="CS45" s="270"/>
      <c r="CT45" s="270"/>
      <c r="CU45" s="274"/>
    </row>
    <row r="46" spans="1:99" s="275" customFormat="1" ht="12" customHeight="1" x14ac:dyDescent="0.2">
      <c r="A46" s="14">
        <v>89</v>
      </c>
      <c r="B46" s="14" t="s">
        <v>45</v>
      </c>
      <c r="C46" s="14" t="s">
        <v>150</v>
      </c>
      <c r="D46" s="14" t="s">
        <v>46</v>
      </c>
      <c r="E46" s="14" t="s">
        <v>331</v>
      </c>
      <c r="F46" s="14" t="s">
        <v>334</v>
      </c>
      <c r="G46" s="14" t="s">
        <v>335</v>
      </c>
      <c r="H46" s="15">
        <v>360</v>
      </c>
      <c r="I46" s="16">
        <v>6.7839999999999998</v>
      </c>
      <c r="J46" s="16">
        <v>1.9E-2</v>
      </c>
      <c r="K46" s="16">
        <v>0.23699999999999999</v>
      </c>
      <c r="L46" s="15">
        <v>46.3</v>
      </c>
      <c r="M46" s="17">
        <v>11</v>
      </c>
      <c r="N46" s="15">
        <v>13.9</v>
      </c>
      <c r="O46" s="16">
        <v>0.44900000000000001</v>
      </c>
      <c r="P46" s="16">
        <v>3.2000000000000001E-2</v>
      </c>
      <c r="Q46" s="16">
        <v>0.23499999999999999</v>
      </c>
      <c r="R46" s="15">
        <v>5.9</v>
      </c>
      <c r="S46" s="17">
        <v>804</v>
      </c>
      <c r="T46" s="15">
        <v>1.7</v>
      </c>
      <c r="U46" s="15">
        <v>7.5</v>
      </c>
      <c r="V46" s="17">
        <v>27</v>
      </c>
      <c r="W46" s="15">
        <v>39.700000000000003</v>
      </c>
      <c r="X46" s="16">
        <v>0.58799999999999997</v>
      </c>
      <c r="Y46" s="16">
        <v>1.4999999999999999E-2</v>
      </c>
      <c r="Z46" s="16">
        <v>0.151</v>
      </c>
      <c r="AA46" s="15">
        <v>21</v>
      </c>
      <c r="AB46" s="17">
        <v>2224</v>
      </c>
      <c r="AC46" s="15">
        <v>3.1</v>
      </c>
      <c r="AD46" s="15">
        <v>32.5</v>
      </c>
      <c r="AE46" s="17">
        <v>4</v>
      </c>
      <c r="AF46" s="15">
        <v>67.7</v>
      </c>
      <c r="AG46" s="16">
        <v>0.71</v>
      </c>
      <c r="AH46" s="16">
        <v>0.01</v>
      </c>
      <c r="AI46" s="15">
        <v>6.9</v>
      </c>
      <c r="AJ46" s="17">
        <v>5</v>
      </c>
      <c r="AK46" s="15">
        <v>292.3</v>
      </c>
      <c r="AL46" s="16">
        <v>6.0739999999999998</v>
      </c>
      <c r="AM46" s="16">
        <v>2.1000000000000001E-2</v>
      </c>
      <c r="AN46" s="15">
        <v>39.299999999999997</v>
      </c>
      <c r="AO46" s="309"/>
      <c r="AP46" s="309"/>
      <c r="AQ46" s="309"/>
      <c r="AR46" s="309"/>
      <c r="AS46" s="18"/>
      <c r="AT46" s="18">
        <f>Table2[[#This Row],[Object_A_._head_time]]+Table2[[#This Row],[Object_B_._head_time]]</f>
        <v>53.6</v>
      </c>
      <c r="AU46" s="18">
        <f>Table2[[#This Row],[Object_B_._head_time]]-Table2[[#This Row],[Object_A_._head_time]]</f>
        <v>25.800000000000004</v>
      </c>
      <c r="AV46" s="19">
        <f>Table2[[#This Row],[D1: Absolute discrimination measure (D1 = B2- A2)]]/Table2[[#This Row],[E2: total exploration time in second trial E2 ( E2 = A2 + B2)]]</f>
        <v>0.48134328358208961</v>
      </c>
      <c r="AW46" s="309">
        <f t="shared" ref="AW46:AW87" si="0">(W46/AT46)</f>
        <v>0.74067164179104483</v>
      </c>
      <c r="AX46" s="18"/>
      <c r="AY46" s="14" t="s">
        <v>487</v>
      </c>
      <c r="AZ46" s="14" t="s">
        <v>472</v>
      </c>
      <c r="BA46" s="14" t="s">
        <v>475</v>
      </c>
      <c r="BB46" s="17">
        <v>182</v>
      </c>
      <c r="BC46" s="15">
        <v>6.0666666666666664</v>
      </c>
      <c r="BD46" s="14" t="s">
        <v>474</v>
      </c>
      <c r="BE46" s="28">
        <v>1</v>
      </c>
      <c r="BF46" s="14"/>
      <c r="BG46" s="270"/>
      <c r="BH46" s="270"/>
      <c r="BI46" s="270"/>
      <c r="BJ46" s="270"/>
      <c r="BK46" s="270"/>
      <c r="BL46" s="270"/>
      <c r="BM46" s="270"/>
      <c r="BN46" s="270"/>
      <c r="BO46" s="270"/>
      <c r="BP46" s="270"/>
      <c r="BQ46" s="270"/>
      <c r="BR46" s="270"/>
      <c r="BS46" s="270"/>
      <c r="BT46" s="270"/>
      <c r="BU46" s="270"/>
      <c r="BV46" s="270"/>
      <c r="BW46" s="270"/>
      <c r="BX46" s="270"/>
      <c r="BY46" s="270"/>
      <c r="BZ46" s="270"/>
      <c r="CA46" s="270"/>
      <c r="CB46" s="270"/>
      <c r="CC46" s="270"/>
      <c r="CD46" s="270"/>
      <c r="CE46" s="270"/>
      <c r="CF46" s="270"/>
      <c r="CG46" s="270"/>
      <c r="CH46" s="270"/>
      <c r="CI46" s="270"/>
      <c r="CJ46" s="270"/>
      <c r="CK46" s="270"/>
      <c r="CL46" s="270"/>
      <c r="CM46" s="270"/>
      <c r="CN46" s="270"/>
      <c r="CO46" s="270"/>
      <c r="CP46" s="270"/>
      <c r="CQ46" s="270"/>
      <c r="CR46" s="270"/>
      <c r="CS46" s="270"/>
      <c r="CT46" s="270"/>
      <c r="CU46" s="274"/>
    </row>
    <row r="47" spans="1:99" s="275" customFormat="1" ht="12" customHeight="1" x14ac:dyDescent="0.2">
      <c r="A47" s="14">
        <v>87</v>
      </c>
      <c r="B47" s="14" t="s">
        <v>48</v>
      </c>
      <c r="C47" s="14" t="s">
        <v>150</v>
      </c>
      <c r="D47" s="14" t="s">
        <v>49</v>
      </c>
      <c r="E47" s="14" t="s">
        <v>331</v>
      </c>
      <c r="F47" s="14" t="s">
        <v>334</v>
      </c>
      <c r="G47" s="14" t="s">
        <v>336</v>
      </c>
      <c r="H47" s="15">
        <v>360</v>
      </c>
      <c r="I47" s="16">
        <v>4.2880000000000003</v>
      </c>
      <c r="J47" s="16">
        <v>1.2E-2</v>
      </c>
      <c r="K47" s="16">
        <v>0.216</v>
      </c>
      <c r="L47" s="15">
        <v>118.7</v>
      </c>
      <c r="M47" s="17">
        <v>4</v>
      </c>
      <c r="N47" s="15">
        <v>4.8</v>
      </c>
      <c r="O47" s="16">
        <v>0.39600000000000002</v>
      </c>
      <c r="P47" s="16">
        <v>8.2000000000000003E-2</v>
      </c>
      <c r="Q47" s="16">
        <v>0.16700000000000001</v>
      </c>
      <c r="R47" s="15">
        <v>2.2999999999999998</v>
      </c>
      <c r="S47" s="17">
        <v>267</v>
      </c>
      <c r="T47" s="15">
        <v>0</v>
      </c>
      <c r="U47" s="15">
        <v>2.1</v>
      </c>
      <c r="V47" s="17">
        <v>13</v>
      </c>
      <c r="W47" s="15">
        <v>24.3</v>
      </c>
      <c r="X47" s="16">
        <v>0.66700000000000004</v>
      </c>
      <c r="Y47" s="16">
        <v>2.7E-2</v>
      </c>
      <c r="Z47" s="16">
        <v>0.216</v>
      </c>
      <c r="AA47" s="15">
        <v>4.7</v>
      </c>
      <c r="AB47" s="17">
        <v>1759</v>
      </c>
      <c r="AC47" s="15">
        <v>1.4</v>
      </c>
      <c r="AD47" s="15">
        <v>7.9</v>
      </c>
      <c r="AE47" s="17">
        <v>3</v>
      </c>
      <c r="AF47" s="15">
        <v>4.9000000000000004</v>
      </c>
      <c r="AG47" s="16">
        <v>0.246</v>
      </c>
      <c r="AH47" s="16">
        <v>5.0999999999999997E-2</v>
      </c>
      <c r="AI47" s="15">
        <v>0</v>
      </c>
      <c r="AJ47" s="17">
        <v>3</v>
      </c>
      <c r="AK47" s="15">
        <v>355.1</v>
      </c>
      <c r="AL47" s="16">
        <v>4.0410000000000004</v>
      </c>
      <c r="AM47" s="16">
        <v>1.0999999999999999E-2</v>
      </c>
      <c r="AN47" s="15">
        <v>118.7</v>
      </c>
      <c r="AO47" s="309"/>
      <c r="AP47" s="309"/>
      <c r="AQ47" s="309"/>
      <c r="AR47" s="309"/>
      <c r="AS47" s="18"/>
      <c r="AT47" s="18">
        <f>Table2[[#This Row],[Object_A_._head_time]]+Table2[[#This Row],[Object_B_._head_time]]</f>
        <v>29.1</v>
      </c>
      <c r="AU47" s="18">
        <f>Table2[[#This Row],[Object_B_._head_time]]-Table2[[#This Row],[Object_A_._head_time]]</f>
        <v>19.5</v>
      </c>
      <c r="AV47" s="19">
        <f>Table2[[#This Row],[D1: Absolute discrimination measure (D1 = B2- A2)]]/Table2[[#This Row],[E2: total exploration time in second trial E2 ( E2 = A2 + B2)]]</f>
        <v>0.67010309278350511</v>
      </c>
      <c r="AW47" s="309">
        <f t="shared" si="0"/>
        <v>0.83505154639175261</v>
      </c>
      <c r="AX47" s="18"/>
      <c r="AY47" s="14" t="s">
        <v>486</v>
      </c>
      <c r="AZ47" s="14" t="s">
        <v>476</v>
      </c>
      <c r="BA47" s="14" t="s">
        <v>475</v>
      </c>
      <c r="BB47" s="17">
        <v>177</v>
      </c>
      <c r="BC47" s="15">
        <v>5.9</v>
      </c>
      <c r="BD47" s="15" t="s">
        <v>474</v>
      </c>
      <c r="BE47" s="28">
        <v>5</v>
      </c>
      <c r="BF47" s="14" t="s">
        <v>458</v>
      </c>
      <c r="BG47" s="270"/>
      <c r="BH47" s="270"/>
      <c r="BI47" s="270"/>
      <c r="BJ47" s="270"/>
      <c r="BK47" s="270"/>
      <c r="BL47" s="270"/>
      <c r="BM47" s="270"/>
      <c r="BN47" s="270"/>
      <c r="BO47" s="270"/>
      <c r="BP47" s="270"/>
      <c r="BQ47" s="270"/>
      <c r="BR47" s="270"/>
      <c r="BS47" s="270"/>
      <c r="BT47" s="270"/>
      <c r="BU47" s="270"/>
      <c r="BV47" s="270"/>
      <c r="BW47" s="270"/>
      <c r="BX47" s="270"/>
      <c r="BY47" s="270"/>
      <c r="BZ47" s="270"/>
      <c r="CA47" s="270"/>
      <c r="CB47" s="270"/>
      <c r="CC47" s="270"/>
      <c r="CD47" s="270"/>
      <c r="CE47" s="270"/>
      <c r="CF47" s="270"/>
      <c r="CG47" s="270"/>
      <c r="CH47" s="270"/>
      <c r="CI47" s="270"/>
      <c r="CJ47" s="270"/>
      <c r="CK47" s="270"/>
      <c r="CL47" s="270"/>
      <c r="CM47" s="270"/>
      <c r="CN47" s="270"/>
      <c r="CO47" s="270"/>
      <c r="CP47" s="270"/>
      <c r="CQ47" s="270"/>
      <c r="CR47" s="270"/>
      <c r="CS47" s="270"/>
      <c r="CT47" s="270"/>
      <c r="CU47" s="274"/>
    </row>
    <row r="48" spans="1:99" s="275" customFormat="1" ht="12" customHeight="1" x14ac:dyDescent="0.2">
      <c r="A48" s="14">
        <v>88</v>
      </c>
      <c r="B48" s="14" t="s">
        <v>52</v>
      </c>
      <c r="C48" s="14" t="s">
        <v>150</v>
      </c>
      <c r="D48" s="14" t="s">
        <v>53</v>
      </c>
      <c r="E48" s="14" t="s">
        <v>331</v>
      </c>
      <c r="F48" s="14" t="s">
        <v>334</v>
      </c>
      <c r="G48" s="14" t="s">
        <v>337</v>
      </c>
      <c r="H48" s="15">
        <v>360</v>
      </c>
      <c r="I48" s="16">
        <v>14.268000000000001</v>
      </c>
      <c r="J48" s="16">
        <v>0.04</v>
      </c>
      <c r="K48" s="16">
        <v>0.30399999999999999</v>
      </c>
      <c r="L48" s="15">
        <v>64.3</v>
      </c>
      <c r="M48" s="17">
        <v>14</v>
      </c>
      <c r="N48" s="15">
        <v>18.5</v>
      </c>
      <c r="O48" s="16">
        <v>0.67400000000000004</v>
      </c>
      <c r="P48" s="16">
        <v>3.5999999999999997E-2</v>
      </c>
      <c r="Q48" s="16">
        <v>0.245</v>
      </c>
      <c r="R48" s="15">
        <v>5</v>
      </c>
      <c r="S48" s="17">
        <v>1072</v>
      </c>
      <c r="T48" s="15">
        <v>0</v>
      </c>
      <c r="U48" s="15">
        <v>4.8</v>
      </c>
      <c r="V48" s="17">
        <v>22</v>
      </c>
      <c r="W48" s="15">
        <v>52.5</v>
      </c>
      <c r="X48" s="16">
        <v>1.397</v>
      </c>
      <c r="Y48" s="16">
        <v>2.7E-2</v>
      </c>
      <c r="Z48" s="16">
        <v>0.28000000000000003</v>
      </c>
      <c r="AA48" s="15">
        <v>20.8</v>
      </c>
      <c r="AB48" s="17">
        <v>2641</v>
      </c>
      <c r="AC48" s="15">
        <v>11.5</v>
      </c>
      <c r="AD48" s="15">
        <v>38.1</v>
      </c>
      <c r="AE48" s="17">
        <v>9</v>
      </c>
      <c r="AF48" s="15">
        <v>15.6</v>
      </c>
      <c r="AG48" s="16">
        <v>1.256</v>
      </c>
      <c r="AH48" s="16">
        <v>8.1000000000000003E-2</v>
      </c>
      <c r="AI48" s="15">
        <v>0</v>
      </c>
      <c r="AJ48" s="17">
        <v>9</v>
      </c>
      <c r="AK48" s="15">
        <v>344.4</v>
      </c>
      <c r="AL48" s="16">
        <v>13.012</v>
      </c>
      <c r="AM48" s="16">
        <v>3.7999999999999999E-2</v>
      </c>
      <c r="AN48" s="15">
        <v>64.3</v>
      </c>
      <c r="AO48" s="309"/>
      <c r="AP48" s="309"/>
      <c r="AQ48" s="309"/>
      <c r="AR48" s="309"/>
      <c r="AS48" s="18"/>
      <c r="AT48" s="18">
        <f>Table2[[#This Row],[Object_A_._head_time]]+Table2[[#This Row],[Object_B_._head_time]]</f>
        <v>71</v>
      </c>
      <c r="AU48" s="18">
        <f>Table2[[#This Row],[Object_B_._head_time]]-Table2[[#This Row],[Object_A_._head_time]]</f>
        <v>34</v>
      </c>
      <c r="AV48" s="19">
        <f>Table2[[#This Row],[D1: Absolute discrimination measure (D1 = B2- A2)]]/Table2[[#This Row],[E2: total exploration time in second trial E2 ( E2 = A2 + B2)]]</f>
        <v>0.47887323943661969</v>
      </c>
      <c r="AW48" s="309">
        <f t="shared" si="0"/>
        <v>0.73943661971830987</v>
      </c>
      <c r="AX48" s="18"/>
      <c r="AY48" s="14" t="s">
        <v>486</v>
      </c>
      <c r="AZ48" s="14" t="s">
        <v>476</v>
      </c>
      <c r="BA48" s="14" t="s">
        <v>473</v>
      </c>
      <c r="BB48" s="17">
        <v>177</v>
      </c>
      <c r="BC48" s="15">
        <v>5.9</v>
      </c>
      <c r="BD48" s="15" t="s">
        <v>477</v>
      </c>
      <c r="BE48" s="28">
        <v>8</v>
      </c>
      <c r="BF48" s="14"/>
      <c r="BG48" s="270"/>
      <c r="BH48" s="270"/>
      <c r="BI48" s="270"/>
      <c r="BJ48" s="270"/>
      <c r="BK48" s="270"/>
      <c r="BL48" s="270"/>
      <c r="BM48" s="270"/>
      <c r="BN48" s="270"/>
      <c r="BO48" s="270"/>
      <c r="BP48" s="270"/>
      <c r="BQ48" s="270"/>
      <c r="BR48" s="270"/>
      <c r="BS48" s="270"/>
      <c r="BT48" s="270"/>
      <c r="BU48" s="270"/>
      <c r="BV48" s="270"/>
      <c r="BW48" s="270"/>
      <c r="BX48" s="270"/>
      <c r="BY48" s="270"/>
      <c r="BZ48" s="270"/>
      <c r="CA48" s="270"/>
      <c r="CB48" s="270"/>
      <c r="CC48" s="270"/>
      <c r="CD48" s="270"/>
      <c r="CE48" s="270"/>
      <c r="CF48" s="270"/>
      <c r="CG48" s="270"/>
      <c r="CH48" s="270"/>
      <c r="CI48" s="270"/>
      <c r="CJ48" s="270"/>
      <c r="CK48" s="270"/>
      <c r="CL48" s="270"/>
      <c r="CM48" s="270"/>
      <c r="CN48" s="270"/>
      <c r="CO48" s="270"/>
      <c r="CP48" s="270"/>
      <c r="CQ48" s="270"/>
      <c r="CR48" s="270"/>
      <c r="CS48" s="270"/>
      <c r="CT48" s="270"/>
      <c r="CU48" s="274"/>
    </row>
    <row r="49" spans="1:99" s="275" customFormat="1" ht="12" customHeight="1" x14ac:dyDescent="0.2">
      <c r="A49" s="14">
        <v>94</v>
      </c>
      <c r="B49" s="14" t="s">
        <v>55</v>
      </c>
      <c r="C49" s="14" t="s">
        <v>150</v>
      </c>
      <c r="D49" s="14" t="s">
        <v>41</v>
      </c>
      <c r="E49" s="14" t="s">
        <v>331</v>
      </c>
      <c r="F49" s="14" t="s">
        <v>338</v>
      </c>
      <c r="G49" s="14" t="s">
        <v>339</v>
      </c>
      <c r="H49" s="15">
        <v>360</v>
      </c>
      <c r="I49" s="16">
        <v>9.7129999999999992</v>
      </c>
      <c r="J49" s="16">
        <v>2.7E-2</v>
      </c>
      <c r="K49" s="16">
        <v>0.36099999999999999</v>
      </c>
      <c r="L49" s="15">
        <v>59.6</v>
      </c>
      <c r="M49" s="17">
        <v>31</v>
      </c>
      <c r="N49" s="15">
        <v>20.5</v>
      </c>
      <c r="O49" s="16">
        <v>0.72699999999999998</v>
      </c>
      <c r="P49" s="16">
        <v>3.5999999999999997E-2</v>
      </c>
      <c r="Q49" s="16">
        <v>0.30199999999999999</v>
      </c>
      <c r="R49" s="15">
        <v>5.2</v>
      </c>
      <c r="S49" s="17">
        <v>1734</v>
      </c>
      <c r="T49" s="15">
        <v>1.2</v>
      </c>
      <c r="U49" s="15">
        <v>10</v>
      </c>
      <c r="V49" s="17">
        <v>28</v>
      </c>
      <c r="W49" s="15">
        <v>39.1</v>
      </c>
      <c r="X49" s="16">
        <v>1.1459999999999999</v>
      </c>
      <c r="Y49" s="16">
        <v>2.9000000000000001E-2</v>
      </c>
      <c r="Z49" s="16">
        <v>0.30199999999999999</v>
      </c>
      <c r="AA49" s="15">
        <v>10.4</v>
      </c>
      <c r="AB49" s="17">
        <v>3417</v>
      </c>
      <c r="AC49" s="15">
        <v>9</v>
      </c>
      <c r="AD49" s="15">
        <v>23.7</v>
      </c>
      <c r="AE49" s="17">
        <v>16</v>
      </c>
      <c r="AF49" s="15">
        <v>85.2</v>
      </c>
      <c r="AG49" s="16">
        <v>2.2679999999999998</v>
      </c>
      <c r="AH49" s="16">
        <v>2.7E-2</v>
      </c>
      <c r="AI49" s="15">
        <v>14.7</v>
      </c>
      <c r="AJ49" s="17">
        <v>17</v>
      </c>
      <c r="AK49" s="15">
        <v>274.8</v>
      </c>
      <c r="AL49" s="16">
        <v>7.4459999999999997</v>
      </c>
      <c r="AM49" s="16">
        <v>2.7E-2</v>
      </c>
      <c r="AN49" s="15">
        <v>45</v>
      </c>
      <c r="AO49" s="309"/>
      <c r="AP49" s="309"/>
      <c r="AQ49" s="309"/>
      <c r="AR49" s="309"/>
      <c r="AS49" s="18"/>
      <c r="AT49" s="18">
        <f>Table2[[#This Row],[Object_A_._head_time]]+Table2[[#This Row],[Object_B_._head_time]]</f>
        <v>59.6</v>
      </c>
      <c r="AU49" s="18">
        <f>Table2[[#This Row],[Object_B_._head_time]]-Table2[[#This Row],[Object_A_._head_time]]</f>
        <v>18.600000000000001</v>
      </c>
      <c r="AV49" s="19">
        <f>Table2[[#This Row],[D1: Absolute discrimination measure (D1 = B2- A2)]]/Table2[[#This Row],[E2: total exploration time in second trial E2 ( E2 = A2 + B2)]]</f>
        <v>0.31208053691275167</v>
      </c>
      <c r="AW49" s="309">
        <f t="shared" si="0"/>
        <v>0.65604026845637586</v>
      </c>
      <c r="AX49" s="18"/>
      <c r="AY49" s="14" t="s">
        <v>486</v>
      </c>
      <c r="AZ49" s="14" t="s">
        <v>476</v>
      </c>
      <c r="BA49" s="14" t="s">
        <v>473</v>
      </c>
      <c r="BB49" s="17">
        <v>177</v>
      </c>
      <c r="BC49" s="15">
        <v>5.9</v>
      </c>
      <c r="BD49" s="15" t="s">
        <v>474</v>
      </c>
      <c r="BE49" s="28">
        <v>7</v>
      </c>
      <c r="BF49" s="14" t="s">
        <v>458</v>
      </c>
      <c r="BG49" s="270"/>
      <c r="BH49" s="270"/>
      <c r="BI49" s="270"/>
      <c r="BJ49" s="270"/>
      <c r="BK49" s="270"/>
      <c r="BL49" s="270"/>
      <c r="BM49" s="270"/>
      <c r="BN49" s="270"/>
      <c r="BO49" s="270"/>
      <c r="BP49" s="270"/>
      <c r="BQ49" s="270"/>
      <c r="BR49" s="270"/>
      <c r="BS49" s="270"/>
      <c r="BT49" s="270"/>
      <c r="BU49" s="270"/>
      <c r="BV49" s="270"/>
      <c r="BW49" s="270"/>
      <c r="BX49" s="270"/>
      <c r="BY49" s="270"/>
      <c r="BZ49" s="270"/>
      <c r="CA49" s="270"/>
      <c r="CB49" s="270"/>
      <c r="CC49" s="270"/>
      <c r="CD49" s="270"/>
      <c r="CE49" s="270"/>
      <c r="CF49" s="270"/>
      <c r="CG49" s="270"/>
      <c r="CH49" s="270"/>
      <c r="CI49" s="270"/>
      <c r="CJ49" s="270"/>
      <c r="CK49" s="270"/>
      <c r="CL49" s="270"/>
      <c r="CM49" s="270"/>
      <c r="CN49" s="270"/>
      <c r="CO49" s="270"/>
      <c r="CP49" s="270"/>
      <c r="CQ49" s="270"/>
      <c r="CR49" s="270"/>
      <c r="CS49" s="270"/>
      <c r="CT49" s="270"/>
      <c r="CU49" s="274"/>
    </row>
    <row r="50" spans="1:99" s="275" customFormat="1" ht="12" customHeight="1" x14ac:dyDescent="0.2">
      <c r="A50" s="14">
        <v>93</v>
      </c>
      <c r="B50" s="14" t="s">
        <v>58</v>
      </c>
      <c r="C50" s="14" t="s">
        <v>150</v>
      </c>
      <c r="D50" s="14" t="s">
        <v>46</v>
      </c>
      <c r="E50" s="14" t="s">
        <v>331</v>
      </c>
      <c r="F50" s="14" t="s">
        <v>305</v>
      </c>
      <c r="G50" s="14" t="s">
        <v>340</v>
      </c>
      <c r="H50" s="15">
        <v>360</v>
      </c>
      <c r="I50" s="16">
        <v>10.512</v>
      </c>
      <c r="J50" s="16">
        <v>2.9000000000000001E-2</v>
      </c>
      <c r="K50" s="16">
        <v>0.33</v>
      </c>
      <c r="L50" s="15">
        <v>149.80000000000001</v>
      </c>
      <c r="M50" s="17">
        <v>62</v>
      </c>
      <c r="N50" s="15">
        <v>75.2</v>
      </c>
      <c r="O50" s="16">
        <v>1.5249999999999999</v>
      </c>
      <c r="P50" s="16">
        <v>0.02</v>
      </c>
      <c r="Q50" s="16">
        <v>0.3</v>
      </c>
      <c r="R50" s="15">
        <v>25.2</v>
      </c>
      <c r="S50" s="17">
        <v>6718</v>
      </c>
      <c r="T50" s="15">
        <v>27.5</v>
      </c>
      <c r="U50" s="15">
        <v>35.6</v>
      </c>
      <c r="V50" s="17">
        <v>14</v>
      </c>
      <c r="W50" s="15">
        <v>22.7</v>
      </c>
      <c r="X50" s="16">
        <v>1.2030000000000001</v>
      </c>
      <c r="Y50" s="16">
        <v>5.2999999999999999E-2</v>
      </c>
      <c r="Z50" s="16">
        <v>0.315</v>
      </c>
      <c r="AA50" s="15">
        <v>7</v>
      </c>
      <c r="AB50" s="17">
        <v>1656</v>
      </c>
      <c r="AC50" s="15">
        <v>1.1000000000000001</v>
      </c>
      <c r="AD50" s="15">
        <v>2.8</v>
      </c>
      <c r="AE50" s="17">
        <v>8</v>
      </c>
      <c r="AF50" s="15">
        <v>14.6</v>
      </c>
      <c r="AG50" s="16">
        <v>1.5669999999999999</v>
      </c>
      <c r="AH50" s="16">
        <v>0.108</v>
      </c>
      <c r="AI50" s="15">
        <v>0</v>
      </c>
      <c r="AJ50" s="17">
        <v>9</v>
      </c>
      <c r="AK50" s="15">
        <v>345.4</v>
      </c>
      <c r="AL50" s="16">
        <v>8.9450000000000003</v>
      </c>
      <c r="AM50" s="16">
        <v>2.5999999999999999E-2</v>
      </c>
      <c r="AN50" s="15">
        <v>149.80000000000001</v>
      </c>
      <c r="AO50" s="309"/>
      <c r="AP50" s="309"/>
      <c r="AQ50" s="309"/>
      <c r="AR50" s="309"/>
      <c r="AS50" s="18"/>
      <c r="AT50" s="18">
        <f>Table2[[#This Row],[Object_A_._head_time]]+Table2[[#This Row],[Object_B_._head_time]]</f>
        <v>97.9</v>
      </c>
      <c r="AU50" s="18">
        <f>Table2[[#This Row],[Object_B_._head_time]]-Table2[[#This Row],[Object_A_._head_time]]</f>
        <v>-52.5</v>
      </c>
      <c r="AV50" s="19">
        <f>Table2[[#This Row],[D1: Absolute discrimination measure (D1 = B2- A2)]]/Table2[[#This Row],[E2: total exploration time in second trial E2 ( E2 = A2 + B2)]]</f>
        <v>-0.53626149131767109</v>
      </c>
      <c r="AW50" s="309">
        <f t="shared" si="0"/>
        <v>0.23186925434116443</v>
      </c>
      <c r="AX50" s="18"/>
      <c r="AY50" s="14" t="s">
        <v>487</v>
      </c>
      <c r="AZ50" s="14" t="s">
        <v>476</v>
      </c>
      <c r="BA50" s="14" t="s">
        <v>473</v>
      </c>
      <c r="BB50" s="17">
        <v>177</v>
      </c>
      <c r="BC50" s="15">
        <v>5.9</v>
      </c>
      <c r="BD50" s="15" t="s">
        <v>477</v>
      </c>
      <c r="BE50" s="28">
        <v>8</v>
      </c>
      <c r="BF50" s="14"/>
      <c r="BG50" s="270"/>
      <c r="BH50" s="270"/>
      <c r="BI50" s="270"/>
      <c r="BJ50" s="270"/>
      <c r="BK50" s="270"/>
      <c r="BL50" s="270"/>
      <c r="BM50" s="270"/>
      <c r="BN50" s="270"/>
      <c r="BO50" s="270"/>
      <c r="BP50" s="270"/>
      <c r="BQ50" s="270"/>
      <c r="BR50" s="270"/>
      <c r="BS50" s="270"/>
      <c r="BT50" s="270"/>
      <c r="BU50" s="270"/>
      <c r="BV50" s="270"/>
      <c r="BW50" s="270"/>
      <c r="BX50" s="270"/>
      <c r="BY50" s="270"/>
      <c r="BZ50" s="270"/>
      <c r="CA50" s="270"/>
      <c r="CB50" s="270"/>
      <c r="CC50" s="270"/>
      <c r="CD50" s="270"/>
      <c r="CE50" s="270"/>
      <c r="CF50" s="270"/>
      <c r="CG50" s="270"/>
      <c r="CH50" s="270"/>
      <c r="CI50" s="270"/>
      <c r="CJ50" s="270"/>
      <c r="CK50" s="270"/>
      <c r="CL50" s="270"/>
      <c r="CM50" s="270"/>
      <c r="CN50" s="270"/>
      <c r="CO50" s="270"/>
      <c r="CP50" s="270"/>
      <c r="CQ50" s="270"/>
      <c r="CR50" s="270"/>
      <c r="CS50" s="270"/>
      <c r="CT50" s="270"/>
      <c r="CU50" s="274"/>
    </row>
    <row r="51" spans="1:99" s="275" customFormat="1" ht="12" customHeight="1" x14ac:dyDescent="0.2">
      <c r="A51" s="14">
        <v>91</v>
      </c>
      <c r="B51" s="14" t="s">
        <v>60</v>
      </c>
      <c r="C51" s="14" t="s">
        <v>150</v>
      </c>
      <c r="D51" s="14" t="s">
        <v>49</v>
      </c>
      <c r="E51" s="14" t="s">
        <v>331</v>
      </c>
      <c r="F51" s="14" t="s">
        <v>305</v>
      </c>
      <c r="G51" s="14" t="s">
        <v>341</v>
      </c>
      <c r="H51" s="15">
        <v>360</v>
      </c>
      <c r="I51" s="16">
        <v>14.375</v>
      </c>
      <c r="J51" s="16">
        <v>0.04</v>
      </c>
      <c r="K51" s="16">
        <v>0.28199999999999997</v>
      </c>
      <c r="L51" s="15">
        <v>57.1</v>
      </c>
      <c r="M51" s="17">
        <v>30</v>
      </c>
      <c r="N51" s="15">
        <v>38.9</v>
      </c>
      <c r="O51" s="16">
        <v>1.627</v>
      </c>
      <c r="P51" s="16">
        <v>4.2000000000000003E-2</v>
      </c>
      <c r="Q51" s="16">
        <v>0.27100000000000002</v>
      </c>
      <c r="R51" s="15">
        <v>11.6</v>
      </c>
      <c r="S51" s="17">
        <v>2995</v>
      </c>
      <c r="T51" s="15">
        <v>5.8</v>
      </c>
      <c r="U51" s="15">
        <v>20.5</v>
      </c>
      <c r="V51" s="17">
        <v>39</v>
      </c>
      <c r="W51" s="15">
        <v>29.6</v>
      </c>
      <c r="X51" s="16">
        <v>1.274</v>
      </c>
      <c r="Y51" s="16">
        <v>4.2999999999999997E-2</v>
      </c>
      <c r="Z51" s="16">
        <v>0.26</v>
      </c>
      <c r="AA51" s="15">
        <v>7.7</v>
      </c>
      <c r="AB51" s="17">
        <v>2628</v>
      </c>
      <c r="AC51" s="15">
        <v>5.2</v>
      </c>
      <c r="AD51" s="15">
        <v>18.8</v>
      </c>
      <c r="AE51" s="17">
        <v>25</v>
      </c>
      <c r="AF51" s="15">
        <v>32.5</v>
      </c>
      <c r="AG51" s="16">
        <v>2.3170000000000002</v>
      </c>
      <c r="AH51" s="16">
        <v>7.0999999999999994E-2</v>
      </c>
      <c r="AI51" s="15">
        <v>1.6</v>
      </c>
      <c r="AJ51" s="17">
        <v>25</v>
      </c>
      <c r="AK51" s="15">
        <v>327.5</v>
      </c>
      <c r="AL51" s="16">
        <v>12.058</v>
      </c>
      <c r="AM51" s="16">
        <v>3.6999999999999998E-2</v>
      </c>
      <c r="AN51" s="15">
        <v>55.5</v>
      </c>
      <c r="AO51" s="309"/>
      <c r="AP51" s="309"/>
      <c r="AQ51" s="309"/>
      <c r="AR51" s="309"/>
      <c r="AS51" s="18"/>
      <c r="AT51" s="18">
        <f>Table2[[#This Row],[Object_A_._head_time]]+Table2[[#This Row],[Object_B_._head_time]]</f>
        <v>68.5</v>
      </c>
      <c r="AU51" s="18">
        <f>Table2[[#This Row],[Object_B_._head_time]]-Table2[[#This Row],[Object_A_._head_time]]</f>
        <v>-9.2999999999999972</v>
      </c>
      <c r="AV51" s="19">
        <f>Table2[[#This Row],[D1: Absolute discrimination measure (D1 = B2- A2)]]/Table2[[#This Row],[E2: total exploration time in second trial E2 ( E2 = A2 + B2)]]</f>
        <v>-0.1357664233576642</v>
      </c>
      <c r="AW51" s="309">
        <f t="shared" si="0"/>
        <v>0.4321167883211679</v>
      </c>
      <c r="AX51" s="18"/>
      <c r="AY51" s="14" t="s">
        <v>487</v>
      </c>
      <c r="AZ51" s="14" t="s">
        <v>476</v>
      </c>
      <c r="BA51" s="14" t="s">
        <v>475</v>
      </c>
      <c r="BB51" s="17">
        <v>177</v>
      </c>
      <c r="BC51" s="15">
        <v>5.9</v>
      </c>
      <c r="BD51" s="15" t="s">
        <v>474</v>
      </c>
      <c r="BE51" s="28">
        <v>5</v>
      </c>
      <c r="BF51" s="14"/>
      <c r="BG51" s="270"/>
      <c r="BH51" s="270"/>
      <c r="BI51" s="270"/>
      <c r="BJ51" s="270"/>
      <c r="BK51" s="270"/>
      <c r="BL51" s="270"/>
      <c r="BM51" s="270"/>
      <c r="BN51" s="270"/>
      <c r="BO51" s="270"/>
      <c r="BP51" s="270"/>
      <c r="BQ51" s="270"/>
      <c r="BR51" s="270"/>
      <c r="BS51" s="270"/>
      <c r="BT51" s="270"/>
      <c r="BU51" s="270"/>
      <c r="BV51" s="270"/>
      <c r="BW51" s="270"/>
      <c r="BX51" s="270"/>
      <c r="BY51" s="270"/>
      <c r="BZ51" s="270"/>
      <c r="CA51" s="270"/>
      <c r="CB51" s="270"/>
      <c r="CC51" s="270"/>
      <c r="CD51" s="270"/>
      <c r="CE51" s="270"/>
      <c r="CF51" s="270"/>
      <c r="CG51" s="270"/>
      <c r="CH51" s="270"/>
      <c r="CI51" s="270"/>
      <c r="CJ51" s="270"/>
      <c r="CK51" s="270"/>
      <c r="CL51" s="270"/>
      <c r="CM51" s="270"/>
      <c r="CN51" s="270"/>
      <c r="CO51" s="270"/>
      <c r="CP51" s="270"/>
      <c r="CQ51" s="270"/>
      <c r="CR51" s="270"/>
      <c r="CS51" s="270"/>
      <c r="CT51" s="270"/>
      <c r="CU51" s="274"/>
    </row>
    <row r="52" spans="1:99" s="275" customFormat="1" ht="12" customHeight="1" x14ac:dyDescent="0.2">
      <c r="A52" s="14">
        <v>92</v>
      </c>
      <c r="B52" s="14" t="s">
        <v>62</v>
      </c>
      <c r="C52" s="14" t="s">
        <v>150</v>
      </c>
      <c r="D52" s="14" t="s">
        <v>53</v>
      </c>
      <c r="E52" s="14" t="s">
        <v>331</v>
      </c>
      <c r="F52" s="14" t="s">
        <v>305</v>
      </c>
      <c r="G52" s="14" t="s">
        <v>342</v>
      </c>
      <c r="H52" s="15">
        <v>360</v>
      </c>
      <c r="I52" s="16">
        <v>11.79</v>
      </c>
      <c r="J52" s="16">
        <v>3.3000000000000002E-2</v>
      </c>
      <c r="K52" s="16">
        <v>0.33</v>
      </c>
      <c r="L52" s="15">
        <v>79.599999999999994</v>
      </c>
      <c r="M52" s="17">
        <v>49</v>
      </c>
      <c r="N52" s="15">
        <v>68.2</v>
      </c>
      <c r="O52" s="16">
        <v>1.329</v>
      </c>
      <c r="P52" s="16">
        <v>1.9E-2</v>
      </c>
      <c r="Q52" s="16">
        <v>0.32800000000000001</v>
      </c>
      <c r="R52" s="15">
        <v>14.3</v>
      </c>
      <c r="S52" s="17">
        <v>4680</v>
      </c>
      <c r="T52" s="15">
        <v>26.2</v>
      </c>
      <c r="U52" s="15">
        <v>22.8</v>
      </c>
      <c r="V52" s="17">
        <v>25</v>
      </c>
      <c r="W52" s="15">
        <v>36.700000000000003</v>
      </c>
      <c r="X52" s="16">
        <v>1.6579999999999999</v>
      </c>
      <c r="Y52" s="16">
        <v>4.4999999999999998E-2</v>
      </c>
      <c r="Z52" s="16">
        <v>0.27</v>
      </c>
      <c r="AA52" s="15">
        <v>4.4000000000000004</v>
      </c>
      <c r="AB52" s="17">
        <v>3178</v>
      </c>
      <c r="AC52" s="15">
        <v>1.6</v>
      </c>
      <c r="AD52" s="15">
        <v>12.4</v>
      </c>
      <c r="AE52" s="17">
        <v>12</v>
      </c>
      <c r="AF52" s="15">
        <v>11.5</v>
      </c>
      <c r="AG52" s="16">
        <v>1.31</v>
      </c>
      <c r="AH52" s="16">
        <v>0.114</v>
      </c>
      <c r="AI52" s="15">
        <v>1.1000000000000001</v>
      </c>
      <c r="AJ52" s="17">
        <v>13</v>
      </c>
      <c r="AK52" s="15">
        <v>348.5</v>
      </c>
      <c r="AL52" s="16">
        <v>10.48</v>
      </c>
      <c r="AM52" s="16">
        <v>0.03</v>
      </c>
      <c r="AN52" s="15">
        <v>78.5</v>
      </c>
      <c r="AO52" s="309"/>
      <c r="AP52" s="309"/>
      <c r="AQ52" s="309"/>
      <c r="AR52" s="309"/>
      <c r="AS52" s="18"/>
      <c r="AT52" s="18">
        <f>Table2[[#This Row],[Object_A_._head_time]]+Table2[[#This Row],[Object_B_._head_time]]</f>
        <v>104.9</v>
      </c>
      <c r="AU52" s="18">
        <f>Table2[[#This Row],[Object_B_._head_time]]-Table2[[#This Row],[Object_A_._head_time]]</f>
        <v>-31.5</v>
      </c>
      <c r="AV52" s="19">
        <f>Table2[[#This Row],[D1: Absolute discrimination measure (D1 = B2- A2)]]/Table2[[#This Row],[E2: total exploration time in second trial E2 ( E2 = A2 + B2)]]</f>
        <v>-0.30028598665395612</v>
      </c>
      <c r="AW52" s="309">
        <f t="shared" si="0"/>
        <v>0.34985700667302194</v>
      </c>
      <c r="AX52" s="18"/>
      <c r="AY52" s="14" t="s">
        <v>487</v>
      </c>
      <c r="AZ52" s="14" t="s">
        <v>476</v>
      </c>
      <c r="BA52" s="14" t="s">
        <v>473</v>
      </c>
      <c r="BB52" s="17">
        <v>177</v>
      </c>
      <c r="BC52" s="15">
        <v>5.9</v>
      </c>
      <c r="BD52" s="15" t="s">
        <v>477</v>
      </c>
      <c r="BE52" s="28">
        <v>8</v>
      </c>
      <c r="BF52" s="14" t="s">
        <v>459</v>
      </c>
      <c r="BG52" s="270"/>
      <c r="BH52" s="270"/>
      <c r="BI52" s="270"/>
      <c r="BJ52" s="270"/>
      <c r="BK52" s="270"/>
      <c r="BL52" s="270"/>
      <c r="BM52" s="270"/>
      <c r="BN52" s="270"/>
      <c r="BO52" s="270"/>
      <c r="BP52" s="270"/>
      <c r="BQ52" s="270"/>
      <c r="BR52" s="270"/>
      <c r="BS52" s="270"/>
      <c r="BT52" s="270"/>
      <c r="BU52" s="270"/>
      <c r="BV52" s="270"/>
      <c r="BW52" s="270"/>
      <c r="BX52" s="270"/>
      <c r="BY52" s="270"/>
      <c r="BZ52" s="270"/>
      <c r="CA52" s="270"/>
      <c r="CB52" s="270"/>
      <c r="CC52" s="270"/>
      <c r="CD52" s="270"/>
      <c r="CE52" s="270"/>
      <c r="CF52" s="270"/>
      <c r="CG52" s="270"/>
      <c r="CH52" s="270"/>
      <c r="CI52" s="270"/>
      <c r="CJ52" s="270"/>
      <c r="CK52" s="270"/>
      <c r="CL52" s="270"/>
      <c r="CM52" s="270"/>
      <c r="CN52" s="270"/>
      <c r="CO52" s="270"/>
      <c r="CP52" s="270"/>
      <c r="CQ52" s="270"/>
      <c r="CR52" s="270"/>
      <c r="CS52" s="270"/>
      <c r="CT52" s="270"/>
      <c r="CU52" s="274"/>
    </row>
    <row r="53" spans="1:99" s="275" customFormat="1" ht="12" customHeight="1" x14ac:dyDescent="0.2">
      <c r="A53" s="14">
        <v>96</v>
      </c>
      <c r="B53" s="14" t="s">
        <v>64</v>
      </c>
      <c r="C53" s="14" t="s">
        <v>150</v>
      </c>
      <c r="D53" s="14" t="s">
        <v>41</v>
      </c>
      <c r="E53" s="14" t="s">
        <v>331</v>
      </c>
      <c r="F53" s="14" t="s">
        <v>343</v>
      </c>
      <c r="G53" s="14" t="s">
        <v>344</v>
      </c>
      <c r="H53" s="15">
        <v>360</v>
      </c>
      <c r="I53" s="16">
        <v>11.5</v>
      </c>
      <c r="J53" s="16">
        <v>3.2000000000000001E-2</v>
      </c>
      <c r="K53" s="16">
        <v>0.36399999999999999</v>
      </c>
      <c r="L53" s="15">
        <v>62.5</v>
      </c>
      <c r="M53" s="17">
        <v>69</v>
      </c>
      <c r="N53" s="15">
        <v>71.3</v>
      </c>
      <c r="O53" s="16">
        <v>1.458</v>
      </c>
      <c r="P53" s="16">
        <v>0.02</v>
      </c>
      <c r="Q53" s="16">
        <v>0.27600000000000002</v>
      </c>
      <c r="R53" s="15">
        <v>32.299999999999997</v>
      </c>
      <c r="S53" s="17">
        <v>6368</v>
      </c>
      <c r="T53" s="15">
        <v>19.3</v>
      </c>
      <c r="U53" s="15">
        <v>45.2</v>
      </c>
      <c r="V53" s="17">
        <v>34</v>
      </c>
      <c r="W53" s="15">
        <v>27.9</v>
      </c>
      <c r="X53" s="16">
        <v>1.2070000000000001</v>
      </c>
      <c r="Y53" s="16">
        <v>4.2999999999999997E-2</v>
      </c>
      <c r="Z53" s="16">
        <v>0.28399999999999997</v>
      </c>
      <c r="AA53" s="15">
        <v>6.5</v>
      </c>
      <c r="AB53" s="17">
        <v>2326</v>
      </c>
      <c r="AC53" s="15">
        <v>1.4</v>
      </c>
      <c r="AD53" s="15">
        <v>8.9</v>
      </c>
      <c r="AE53" s="17">
        <v>24</v>
      </c>
      <c r="AF53" s="15">
        <v>82</v>
      </c>
      <c r="AG53" s="16">
        <v>2.95</v>
      </c>
      <c r="AH53" s="16">
        <v>3.5999999999999997E-2</v>
      </c>
      <c r="AI53" s="15">
        <v>17.399999999999999</v>
      </c>
      <c r="AJ53" s="17">
        <v>25</v>
      </c>
      <c r="AK53" s="15">
        <v>278</v>
      </c>
      <c r="AL53" s="16">
        <v>8.5500000000000007</v>
      </c>
      <c r="AM53" s="16">
        <v>3.1E-2</v>
      </c>
      <c r="AN53" s="15">
        <v>45.1</v>
      </c>
      <c r="AO53" s="309"/>
      <c r="AP53" s="309"/>
      <c r="AQ53" s="309"/>
      <c r="AR53" s="309"/>
      <c r="AS53" s="18"/>
      <c r="AT53" s="18">
        <f>Table2[[#This Row],[Object_A_._head_time]]+Table2[[#This Row],[Object_B_._head_time]]</f>
        <v>99.199999999999989</v>
      </c>
      <c r="AU53" s="18">
        <f>Table2[[#This Row],[Object_B_._head_time]]-Table2[[#This Row],[Object_A_._head_time]]</f>
        <v>-43.4</v>
      </c>
      <c r="AV53" s="19">
        <f>Table2[[#This Row],[D1: Absolute discrimination measure (D1 = B2- A2)]]/Table2[[#This Row],[E2: total exploration time in second trial E2 ( E2 = A2 + B2)]]</f>
        <v>-0.43750000000000006</v>
      </c>
      <c r="AW53" s="309">
        <f t="shared" si="0"/>
        <v>0.28125</v>
      </c>
      <c r="AX53" s="18"/>
      <c r="AY53" s="14" t="s">
        <v>487</v>
      </c>
      <c r="AZ53" s="14" t="s">
        <v>476</v>
      </c>
      <c r="BA53" s="14" t="s">
        <v>473</v>
      </c>
      <c r="BB53" s="17">
        <v>177</v>
      </c>
      <c r="BC53" s="15">
        <v>5.9</v>
      </c>
      <c r="BD53" s="15" t="s">
        <v>474</v>
      </c>
      <c r="BE53" s="28">
        <v>7</v>
      </c>
      <c r="BF53" s="14" t="s">
        <v>460</v>
      </c>
      <c r="BG53" s="270"/>
      <c r="BH53" s="270"/>
      <c r="BI53" s="270"/>
      <c r="BJ53" s="270"/>
      <c r="BK53" s="270"/>
      <c r="BL53" s="270"/>
      <c r="BM53" s="270"/>
      <c r="BN53" s="270"/>
      <c r="BO53" s="270"/>
      <c r="BP53" s="270"/>
      <c r="BQ53" s="270"/>
      <c r="BR53" s="270"/>
      <c r="BS53" s="270"/>
      <c r="BT53" s="270"/>
      <c r="BU53" s="270"/>
      <c r="BV53" s="270"/>
      <c r="BW53" s="270"/>
      <c r="BX53" s="270"/>
      <c r="BY53" s="270"/>
      <c r="BZ53" s="270"/>
      <c r="CA53" s="270"/>
      <c r="CB53" s="270"/>
      <c r="CC53" s="270"/>
      <c r="CD53" s="270"/>
      <c r="CE53" s="270"/>
      <c r="CF53" s="270"/>
      <c r="CG53" s="270"/>
      <c r="CH53" s="270"/>
      <c r="CI53" s="270"/>
      <c r="CJ53" s="270"/>
      <c r="CK53" s="270"/>
      <c r="CL53" s="270"/>
      <c r="CM53" s="270"/>
      <c r="CN53" s="270"/>
      <c r="CO53" s="270"/>
      <c r="CP53" s="270"/>
      <c r="CQ53" s="270"/>
      <c r="CR53" s="270"/>
      <c r="CS53" s="270"/>
      <c r="CT53" s="270"/>
      <c r="CU53" s="274"/>
    </row>
    <row r="54" spans="1:99" s="275" customFormat="1" ht="12" customHeight="1" x14ac:dyDescent="0.2">
      <c r="A54" s="14">
        <v>95</v>
      </c>
      <c r="B54" s="14" t="s">
        <v>67</v>
      </c>
      <c r="C54" s="14" t="s">
        <v>150</v>
      </c>
      <c r="D54" s="14" t="s">
        <v>46</v>
      </c>
      <c r="E54" s="14" t="s">
        <v>331</v>
      </c>
      <c r="F54" s="14" t="s">
        <v>343</v>
      </c>
      <c r="G54" s="14" t="s">
        <v>345</v>
      </c>
      <c r="H54" s="15">
        <v>360</v>
      </c>
      <c r="I54" s="16">
        <v>31.84</v>
      </c>
      <c r="J54" s="16">
        <v>8.7999999999999995E-2</v>
      </c>
      <c r="K54" s="16">
        <v>0.33800000000000002</v>
      </c>
      <c r="L54" s="15">
        <v>13</v>
      </c>
      <c r="M54" s="17">
        <v>69</v>
      </c>
      <c r="N54" s="15">
        <v>35.700000000000003</v>
      </c>
      <c r="O54" s="16">
        <v>3.4350000000000001</v>
      </c>
      <c r="P54" s="16">
        <v>9.6000000000000002E-2</v>
      </c>
      <c r="Q54" s="16">
        <v>0.33800000000000002</v>
      </c>
      <c r="R54" s="15">
        <v>8.4</v>
      </c>
      <c r="S54" s="17">
        <v>6600</v>
      </c>
      <c r="T54" s="15">
        <v>1.3</v>
      </c>
      <c r="U54" s="15">
        <v>13.5</v>
      </c>
      <c r="V54" s="17">
        <v>79</v>
      </c>
      <c r="W54" s="15">
        <v>47.7</v>
      </c>
      <c r="X54" s="16">
        <v>3.8010000000000002</v>
      </c>
      <c r="Y54" s="16">
        <v>0.08</v>
      </c>
      <c r="Z54" s="16">
        <v>0.317</v>
      </c>
      <c r="AA54" s="15">
        <v>13.8</v>
      </c>
      <c r="AB54" s="17">
        <v>9155</v>
      </c>
      <c r="AC54" s="15">
        <v>2</v>
      </c>
      <c r="AD54" s="15">
        <v>11.1</v>
      </c>
      <c r="AE54" s="17">
        <v>54</v>
      </c>
      <c r="AF54" s="15">
        <v>46.6</v>
      </c>
      <c r="AG54" s="16">
        <v>6.5990000000000002</v>
      </c>
      <c r="AH54" s="16">
        <v>0.14199999999999999</v>
      </c>
      <c r="AI54" s="15">
        <v>0</v>
      </c>
      <c r="AJ54" s="17">
        <v>54</v>
      </c>
      <c r="AK54" s="15">
        <v>313.39999999999998</v>
      </c>
      <c r="AL54" s="16">
        <v>25.241</v>
      </c>
      <c r="AM54" s="16">
        <v>8.1000000000000003E-2</v>
      </c>
      <c r="AN54" s="15">
        <v>13</v>
      </c>
      <c r="AO54" s="309"/>
      <c r="AP54" s="309"/>
      <c r="AQ54" s="309"/>
      <c r="AR54" s="309"/>
      <c r="AS54" s="18"/>
      <c r="AT54" s="18">
        <f>Table2[[#This Row],[Object_A_._head_time]]+Table2[[#This Row],[Object_B_._head_time]]</f>
        <v>83.4</v>
      </c>
      <c r="AU54" s="18">
        <f>Table2[[#This Row],[Object_B_._head_time]]-Table2[[#This Row],[Object_A_._head_time]]</f>
        <v>12</v>
      </c>
      <c r="AV54" s="19">
        <f>Table2[[#This Row],[D1: Absolute discrimination measure (D1 = B2- A2)]]/Table2[[#This Row],[E2: total exploration time in second trial E2 ( E2 = A2 + B2)]]</f>
        <v>0.14388489208633093</v>
      </c>
      <c r="AW54" s="309">
        <f t="shared" si="0"/>
        <v>0.57194244604316546</v>
      </c>
      <c r="AX54" s="18"/>
      <c r="AY54" s="14" t="s">
        <v>487</v>
      </c>
      <c r="AZ54" s="14" t="s">
        <v>476</v>
      </c>
      <c r="BA54" s="14" t="s">
        <v>475</v>
      </c>
      <c r="BB54" s="17">
        <v>177</v>
      </c>
      <c r="BC54" s="15">
        <v>5.9</v>
      </c>
      <c r="BD54" s="15" t="s">
        <v>477</v>
      </c>
      <c r="BE54" s="28">
        <v>6</v>
      </c>
      <c r="BF54" s="14" t="s">
        <v>461</v>
      </c>
      <c r="BG54" s="270"/>
      <c r="BH54" s="270"/>
      <c r="BI54" s="270"/>
      <c r="BJ54" s="270"/>
      <c r="BK54" s="270"/>
      <c r="BL54" s="270"/>
      <c r="BM54" s="270"/>
      <c r="BN54" s="270"/>
      <c r="BO54" s="270"/>
      <c r="BP54" s="270"/>
      <c r="BQ54" s="270"/>
      <c r="BR54" s="270"/>
      <c r="BS54" s="270"/>
      <c r="BT54" s="270"/>
      <c r="BU54" s="270"/>
      <c r="BV54" s="270"/>
      <c r="BW54" s="270"/>
      <c r="BX54" s="270"/>
      <c r="BY54" s="270"/>
      <c r="BZ54" s="270"/>
      <c r="CA54" s="270"/>
      <c r="CB54" s="270"/>
      <c r="CC54" s="270"/>
      <c r="CD54" s="270"/>
      <c r="CE54" s="270"/>
      <c r="CF54" s="270"/>
      <c r="CG54" s="270"/>
      <c r="CH54" s="270"/>
      <c r="CI54" s="270"/>
      <c r="CJ54" s="270"/>
      <c r="CK54" s="270"/>
      <c r="CL54" s="270"/>
      <c r="CM54" s="270"/>
      <c r="CN54" s="270"/>
      <c r="CO54" s="270"/>
      <c r="CP54" s="270"/>
      <c r="CQ54" s="270"/>
      <c r="CR54" s="270"/>
      <c r="CS54" s="270"/>
      <c r="CT54" s="270"/>
      <c r="CU54" s="274"/>
    </row>
    <row r="55" spans="1:99" s="275" customFormat="1" ht="12" customHeight="1" x14ac:dyDescent="0.2">
      <c r="A55" s="14">
        <v>97</v>
      </c>
      <c r="B55" s="14" t="s">
        <v>69</v>
      </c>
      <c r="C55" s="14" t="s">
        <v>150</v>
      </c>
      <c r="D55" s="14" t="s">
        <v>49</v>
      </c>
      <c r="E55" s="14" t="s">
        <v>331</v>
      </c>
      <c r="F55" s="14" t="s">
        <v>343</v>
      </c>
      <c r="G55" s="14" t="s">
        <v>346</v>
      </c>
      <c r="H55" s="15">
        <v>360</v>
      </c>
      <c r="I55" s="16">
        <v>12.996</v>
      </c>
      <c r="J55" s="16">
        <v>3.5999999999999997E-2</v>
      </c>
      <c r="K55" s="16">
        <v>0.3</v>
      </c>
      <c r="L55" s="15">
        <v>58.5</v>
      </c>
      <c r="M55" s="17">
        <v>82</v>
      </c>
      <c r="N55" s="15">
        <v>61.1</v>
      </c>
      <c r="O55" s="16">
        <v>1.9359999999999999</v>
      </c>
      <c r="P55" s="16">
        <v>3.2000000000000001E-2</v>
      </c>
      <c r="Q55" s="16">
        <v>0.222</v>
      </c>
      <c r="R55" s="15">
        <v>23.5</v>
      </c>
      <c r="S55" s="17">
        <v>5417</v>
      </c>
      <c r="T55" s="15">
        <v>4.7</v>
      </c>
      <c r="U55" s="15">
        <v>22.4</v>
      </c>
      <c r="V55" s="17">
        <v>14</v>
      </c>
      <c r="W55" s="15">
        <v>18.600000000000001</v>
      </c>
      <c r="X55" s="16">
        <v>0.81599999999999995</v>
      </c>
      <c r="Y55" s="16">
        <v>4.3999999999999997E-2</v>
      </c>
      <c r="Z55" s="16">
        <v>0.20599999999999999</v>
      </c>
      <c r="AA55" s="15">
        <v>5.5</v>
      </c>
      <c r="AB55" s="17">
        <v>1739</v>
      </c>
      <c r="AC55" s="15">
        <v>0</v>
      </c>
      <c r="AD55" s="15">
        <v>2.7</v>
      </c>
      <c r="AE55" s="17">
        <v>16</v>
      </c>
      <c r="AF55" s="15">
        <v>35</v>
      </c>
      <c r="AG55" s="16">
        <v>2.577</v>
      </c>
      <c r="AH55" s="16">
        <v>7.3999999999999996E-2</v>
      </c>
      <c r="AI55" s="15">
        <v>1.1000000000000001</v>
      </c>
      <c r="AJ55" s="17">
        <v>17</v>
      </c>
      <c r="AK55" s="15">
        <v>325</v>
      </c>
      <c r="AL55" s="16">
        <v>10.419</v>
      </c>
      <c r="AM55" s="16">
        <v>3.2000000000000001E-2</v>
      </c>
      <c r="AN55" s="15">
        <v>57.4</v>
      </c>
      <c r="AO55" s="309"/>
      <c r="AP55" s="309"/>
      <c r="AQ55" s="309"/>
      <c r="AR55" s="309"/>
      <c r="AS55" s="18"/>
      <c r="AT55" s="18">
        <f>Table2[[#This Row],[Object_A_._head_time]]+Table2[[#This Row],[Object_B_._head_time]]</f>
        <v>79.7</v>
      </c>
      <c r="AU55" s="18">
        <f>Table2[[#This Row],[Object_B_._head_time]]-Table2[[#This Row],[Object_A_._head_time]]</f>
        <v>-42.5</v>
      </c>
      <c r="AV55" s="19">
        <f>Table2[[#This Row],[D1: Absolute discrimination measure (D1 = B2- A2)]]/Table2[[#This Row],[E2: total exploration time in second trial E2 ( E2 = A2 + B2)]]</f>
        <v>-0.53324968632371395</v>
      </c>
      <c r="AW55" s="309">
        <f t="shared" si="0"/>
        <v>0.23337515683814306</v>
      </c>
      <c r="AX55" s="18"/>
      <c r="AY55" s="14" t="s">
        <v>487</v>
      </c>
      <c r="AZ55" s="14" t="s">
        <v>476</v>
      </c>
      <c r="BA55" s="14" t="s">
        <v>475</v>
      </c>
      <c r="BB55" s="17">
        <v>177</v>
      </c>
      <c r="BC55" s="15">
        <v>5.9</v>
      </c>
      <c r="BD55" s="15" t="s">
        <v>474</v>
      </c>
      <c r="BE55" s="28">
        <v>5</v>
      </c>
      <c r="BF55" s="14" t="s">
        <v>462</v>
      </c>
      <c r="BG55" s="270"/>
      <c r="BH55" s="270"/>
      <c r="BI55" s="270"/>
      <c r="BJ55" s="270"/>
      <c r="BK55" s="270"/>
      <c r="BL55" s="270"/>
      <c r="BM55" s="270"/>
      <c r="BN55" s="270"/>
      <c r="BO55" s="270"/>
      <c r="BP55" s="270"/>
      <c r="BQ55" s="270"/>
      <c r="BR55" s="270"/>
      <c r="BS55" s="270"/>
      <c r="BT55" s="270"/>
      <c r="BU55" s="270"/>
      <c r="BV55" s="270"/>
      <c r="BW55" s="270"/>
      <c r="BX55" s="270"/>
      <c r="BY55" s="270"/>
      <c r="BZ55" s="270"/>
      <c r="CA55" s="270"/>
      <c r="CB55" s="270"/>
      <c r="CC55" s="270"/>
      <c r="CD55" s="270"/>
      <c r="CE55" s="270"/>
      <c r="CF55" s="270"/>
      <c r="CG55" s="270"/>
      <c r="CH55" s="270"/>
      <c r="CI55" s="270"/>
      <c r="CJ55" s="270"/>
      <c r="CK55" s="270"/>
      <c r="CL55" s="270"/>
      <c r="CM55" s="270"/>
      <c r="CN55" s="270"/>
      <c r="CO55" s="270"/>
      <c r="CP55" s="270"/>
      <c r="CQ55" s="270"/>
      <c r="CR55" s="270"/>
      <c r="CS55" s="270"/>
      <c r="CT55" s="270"/>
      <c r="CU55" s="274"/>
    </row>
    <row r="56" spans="1:99" s="275" customFormat="1" ht="12" customHeight="1" x14ac:dyDescent="0.2">
      <c r="A56" s="14">
        <v>98</v>
      </c>
      <c r="B56" s="14" t="s">
        <v>71</v>
      </c>
      <c r="C56" s="14" t="s">
        <v>150</v>
      </c>
      <c r="D56" s="14" t="s">
        <v>53</v>
      </c>
      <c r="E56" s="14" t="s">
        <v>331</v>
      </c>
      <c r="F56" s="14" t="s">
        <v>347</v>
      </c>
      <c r="G56" s="14" t="s">
        <v>348</v>
      </c>
      <c r="H56" s="15">
        <v>360</v>
      </c>
      <c r="I56" s="16">
        <v>9.8480000000000008</v>
      </c>
      <c r="J56" s="16">
        <v>2.7E-2</v>
      </c>
      <c r="K56" s="16">
        <v>0.30199999999999999</v>
      </c>
      <c r="L56" s="15">
        <v>175</v>
      </c>
      <c r="M56" s="17">
        <v>24</v>
      </c>
      <c r="N56" s="15">
        <v>31.9</v>
      </c>
      <c r="O56" s="16">
        <v>1.083</v>
      </c>
      <c r="P56" s="16">
        <v>3.4000000000000002E-2</v>
      </c>
      <c r="Q56" s="16">
        <v>0.251</v>
      </c>
      <c r="R56" s="15">
        <v>9.6999999999999993</v>
      </c>
      <c r="S56" s="17">
        <v>2745</v>
      </c>
      <c r="T56" s="15">
        <v>8</v>
      </c>
      <c r="U56" s="15">
        <v>6.7</v>
      </c>
      <c r="V56" s="17">
        <v>17</v>
      </c>
      <c r="W56" s="15">
        <v>24.4</v>
      </c>
      <c r="X56" s="16">
        <v>1.6659999999999999</v>
      </c>
      <c r="Y56" s="16">
        <v>6.8000000000000005E-2</v>
      </c>
      <c r="Z56" s="16">
        <v>0.27800000000000002</v>
      </c>
      <c r="AA56" s="15">
        <v>6.4</v>
      </c>
      <c r="AB56" s="17">
        <v>2361</v>
      </c>
      <c r="AC56" s="15">
        <v>0</v>
      </c>
      <c r="AD56" s="15">
        <v>3.9</v>
      </c>
      <c r="AE56" s="17">
        <v>12</v>
      </c>
      <c r="AF56" s="15">
        <v>19.8</v>
      </c>
      <c r="AG56" s="16">
        <v>1.5069999999999999</v>
      </c>
      <c r="AH56" s="16">
        <v>7.5999999999999998E-2</v>
      </c>
      <c r="AI56" s="15">
        <v>0</v>
      </c>
      <c r="AJ56" s="17">
        <v>12</v>
      </c>
      <c r="AK56" s="15">
        <v>340.2</v>
      </c>
      <c r="AL56" s="16">
        <v>8.3420000000000005</v>
      </c>
      <c r="AM56" s="16">
        <v>2.5000000000000001E-2</v>
      </c>
      <c r="AN56" s="15">
        <v>175</v>
      </c>
      <c r="AO56" s="309"/>
      <c r="AP56" s="309"/>
      <c r="AQ56" s="309"/>
      <c r="AR56" s="309"/>
      <c r="AS56" s="18"/>
      <c r="AT56" s="18">
        <f>Table2[[#This Row],[Object_A_._head_time]]+Table2[[#This Row],[Object_B_._head_time]]</f>
        <v>56.3</v>
      </c>
      <c r="AU56" s="18">
        <f>Table2[[#This Row],[Object_B_._head_time]]-Table2[[#This Row],[Object_A_._head_time]]</f>
        <v>-7.5</v>
      </c>
      <c r="AV56" s="19">
        <f>Table2[[#This Row],[D1: Absolute discrimination measure (D1 = B2- A2)]]/Table2[[#This Row],[E2: total exploration time in second trial E2 ( E2 = A2 + B2)]]</f>
        <v>-0.13321492007104796</v>
      </c>
      <c r="AW56" s="309">
        <f t="shared" si="0"/>
        <v>0.43339253996447602</v>
      </c>
      <c r="AX56" s="18"/>
      <c r="AY56" s="14" t="s">
        <v>487</v>
      </c>
      <c r="AZ56" s="14" t="s">
        <v>476</v>
      </c>
      <c r="BA56" s="14" t="s">
        <v>475</v>
      </c>
      <c r="BB56" s="17">
        <v>177</v>
      </c>
      <c r="BC56" s="15">
        <v>5.9</v>
      </c>
      <c r="BD56" s="15" t="s">
        <v>477</v>
      </c>
      <c r="BE56" s="28">
        <v>6</v>
      </c>
      <c r="BF56" s="14"/>
      <c r="BG56" s="270"/>
      <c r="BH56" s="270"/>
      <c r="BI56" s="270"/>
      <c r="BJ56" s="270"/>
      <c r="BK56" s="270"/>
      <c r="BL56" s="270"/>
      <c r="BM56" s="270"/>
      <c r="BN56" s="270"/>
      <c r="BO56" s="270"/>
      <c r="BP56" s="270"/>
      <c r="BQ56" s="270"/>
      <c r="BR56" s="270"/>
      <c r="BS56" s="270"/>
      <c r="BT56" s="270"/>
      <c r="BU56" s="270"/>
      <c r="BV56" s="270"/>
      <c r="BW56" s="270"/>
      <c r="BX56" s="270"/>
      <c r="BY56" s="270"/>
      <c r="BZ56" s="270"/>
      <c r="CA56" s="270"/>
      <c r="CB56" s="270"/>
      <c r="CC56" s="270"/>
      <c r="CD56" s="270"/>
      <c r="CE56" s="270"/>
      <c r="CF56" s="270"/>
      <c r="CG56" s="270"/>
      <c r="CH56" s="270"/>
      <c r="CI56" s="270"/>
      <c r="CJ56" s="270"/>
      <c r="CK56" s="270"/>
      <c r="CL56" s="270"/>
      <c r="CM56" s="270"/>
      <c r="CN56" s="270"/>
      <c r="CO56" s="270"/>
      <c r="CP56" s="270"/>
      <c r="CQ56" s="270"/>
      <c r="CR56" s="270"/>
      <c r="CS56" s="270"/>
      <c r="CT56" s="270"/>
      <c r="CU56" s="274"/>
    </row>
    <row r="57" spans="1:99" s="275" customFormat="1" ht="12" customHeight="1" x14ac:dyDescent="0.2">
      <c r="A57" s="14">
        <v>102</v>
      </c>
      <c r="B57" s="14" t="s">
        <v>76</v>
      </c>
      <c r="C57" s="14" t="s">
        <v>150</v>
      </c>
      <c r="D57" s="14" t="s">
        <v>41</v>
      </c>
      <c r="E57" s="14" t="s">
        <v>331</v>
      </c>
      <c r="F57" s="14" t="s">
        <v>349</v>
      </c>
      <c r="G57" s="14" t="s">
        <v>350</v>
      </c>
      <c r="H57" s="15">
        <v>360</v>
      </c>
      <c r="I57" s="16">
        <v>8.2829999999999995</v>
      </c>
      <c r="J57" s="16">
        <v>2.3E-2</v>
      </c>
      <c r="K57" s="16">
        <v>0.26</v>
      </c>
      <c r="L57" s="15">
        <v>53.5</v>
      </c>
      <c r="M57" s="17">
        <v>71</v>
      </c>
      <c r="N57" s="15">
        <v>149.80000000000001</v>
      </c>
      <c r="O57" s="16">
        <v>1.3839999999999999</v>
      </c>
      <c r="P57" s="16">
        <v>8.9999999999999993E-3</v>
      </c>
      <c r="Q57" s="16">
        <v>0.254</v>
      </c>
      <c r="R57" s="15">
        <v>62.6</v>
      </c>
      <c r="S57" s="17">
        <v>7601</v>
      </c>
      <c r="T57" s="15">
        <v>28.6</v>
      </c>
      <c r="U57" s="15">
        <v>114</v>
      </c>
      <c r="V57" s="17">
        <v>8</v>
      </c>
      <c r="W57" s="15">
        <v>14.2</v>
      </c>
      <c r="X57" s="16">
        <v>0.48699999999999999</v>
      </c>
      <c r="Y57" s="16">
        <v>3.4000000000000002E-2</v>
      </c>
      <c r="Z57" s="16">
        <v>0.23699999999999999</v>
      </c>
      <c r="AA57" s="15">
        <v>3.1</v>
      </c>
      <c r="AB57" s="17">
        <v>534</v>
      </c>
      <c r="AC57" s="15">
        <v>0</v>
      </c>
      <c r="AD57" s="15">
        <v>3.1</v>
      </c>
      <c r="AE57" s="17">
        <v>9</v>
      </c>
      <c r="AF57" s="15">
        <v>31.5</v>
      </c>
      <c r="AG57" s="16">
        <v>1.5529999999999999</v>
      </c>
      <c r="AH57" s="16">
        <v>4.9000000000000002E-2</v>
      </c>
      <c r="AI57" s="15">
        <v>1.9</v>
      </c>
      <c r="AJ57" s="17">
        <v>9</v>
      </c>
      <c r="AK57" s="15">
        <v>328.5</v>
      </c>
      <c r="AL57" s="16">
        <v>6.7309999999999999</v>
      </c>
      <c r="AM57" s="16">
        <v>0.02</v>
      </c>
      <c r="AN57" s="15">
        <v>51.6</v>
      </c>
      <c r="AO57" s="309"/>
      <c r="AP57" s="309"/>
      <c r="AQ57" s="309"/>
      <c r="AR57" s="309"/>
      <c r="AS57" s="18"/>
      <c r="AT57" s="18">
        <f>Table2[[#This Row],[Object_A_._head_time]]+Table2[[#This Row],[Object_B_._head_time]]</f>
        <v>164</v>
      </c>
      <c r="AU57" s="18">
        <f>Table2[[#This Row],[Object_B_._head_time]]-Table2[[#This Row],[Object_A_._head_time]]</f>
        <v>-135.60000000000002</v>
      </c>
      <c r="AV57" s="19">
        <f>Table2[[#This Row],[D1: Absolute discrimination measure (D1 = B2- A2)]]/Table2[[#This Row],[E2: total exploration time in second trial E2 ( E2 = A2 + B2)]]</f>
        <v>-0.82682926829268311</v>
      </c>
      <c r="AW57" s="309">
        <f t="shared" si="0"/>
        <v>8.658536585365853E-2</v>
      </c>
      <c r="AX57" s="18"/>
      <c r="AY57" s="14" t="s">
        <v>486</v>
      </c>
      <c r="AZ57" s="14" t="s">
        <v>472</v>
      </c>
      <c r="BA57" s="14" t="s">
        <v>473</v>
      </c>
      <c r="BB57" s="17">
        <v>169</v>
      </c>
      <c r="BC57" s="15">
        <v>5.6333333333333337</v>
      </c>
      <c r="BD57" s="14" t="s">
        <v>477</v>
      </c>
      <c r="BE57" s="28">
        <v>4</v>
      </c>
      <c r="BF57" s="14" t="s">
        <v>463</v>
      </c>
      <c r="BG57" s="270"/>
      <c r="BH57" s="270"/>
      <c r="BI57" s="270"/>
      <c r="BJ57" s="270"/>
      <c r="BK57" s="270"/>
      <c r="BL57" s="270"/>
      <c r="BM57" s="270"/>
      <c r="BN57" s="270"/>
      <c r="BO57" s="270"/>
      <c r="BP57" s="270"/>
      <c r="BQ57" s="270"/>
      <c r="BR57" s="270"/>
      <c r="BS57" s="270"/>
      <c r="BT57" s="270"/>
      <c r="BU57" s="270"/>
      <c r="BV57" s="270"/>
      <c r="BW57" s="270"/>
      <c r="BX57" s="270"/>
      <c r="BY57" s="270"/>
      <c r="BZ57" s="270"/>
      <c r="CA57" s="270"/>
      <c r="CB57" s="270"/>
      <c r="CC57" s="270"/>
      <c r="CD57" s="270"/>
      <c r="CE57" s="270"/>
      <c r="CF57" s="270"/>
      <c r="CG57" s="270"/>
      <c r="CH57" s="270"/>
      <c r="CI57" s="270"/>
      <c r="CJ57" s="270"/>
      <c r="CK57" s="270"/>
      <c r="CL57" s="270"/>
      <c r="CM57" s="270"/>
      <c r="CN57" s="270"/>
      <c r="CO57" s="270"/>
      <c r="CP57" s="270"/>
      <c r="CQ57" s="270"/>
      <c r="CR57" s="270"/>
      <c r="CS57" s="270"/>
      <c r="CT57" s="270"/>
      <c r="CU57" s="274"/>
    </row>
    <row r="58" spans="1:99" s="275" customFormat="1" ht="12" customHeight="1" x14ac:dyDescent="0.2">
      <c r="A58" s="14">
        <v>101</v>
      </c>
      <c r="B58" s="14" t="s">
        <v>78</v>
      </c>
      <c r="C58" s="14" t="s">
        <v>150</v>
      </c>
      <c r="D58" s="14" t="s">
        <v>46</v>
      </c>
      <c r="E58" s="14" t="s">
        <v>331</v>
      </c>
      <c r="F58" s="14" t="s">
        <v>351</v>
      </c>
      <c r="G58" s="14" t="s">
        <v>352</v>
      </c>
      <c r="H58" s="15">
        <v>360</v>
      </c>
      <c r="I58" s="16">
        <v>11.711</v>
      </c>
      <c r="J58" s="16">
        <v>3.3000000000000002E-2</v>
      </c>
      <c r="K58" s="16">
        <v>0.23300000000000001</v>
      </c>
      <c r="L58" s="15">
        <v>68.5</v>
      </c>
      <c r="M58" s="17">
        <v>43</v>
      </c>
      <c r="N58" s="15">
        <v>69.900000000000006</v>
      </c>
      <c r="O58" s="16">
        <v>2.0840000000000001</v>
      </c>
      <c r="P58" s="16">
        <v>0.03</v>
      </c>
      <c r="Q58" s="16">
        <v>0.17100000000000001</v>
      </c>
      <c r="R58" s="15">
        <v>34.4</v>
      </c>
      <c r="S58" s="17">
        <v>3762</v>
      </c>
      <c r="T58" s="15">
        <v>14.7</v>
      </c>
      <c r="U58" s="15">
        <v>38.9</v>
      </c>
      <c r="V58" s="17">
        <v>10</v>
      </c>
      <c r="W58" s="15">
        <v>23</v>
      </c>
      <c r="X58" s="16">
        <v>1.046</v>
      </c>
      <c r="Y58" s="16">
        <v>4.4999999999999998E-2</v>
      </c>
      <c r="Z58" s="16">
        <v>0.22700000000000001</v>
      </c>
      <c r="AA58" s="15">
        <v>4.5999999999999996</v>
      </c>
      <c r="AB58" s="17">
        <v>1697</v>
      </c>
      <c r="AC58" s="15">
        <v>0</v>
      </c>
      <c r="AD58" s="15">
        <v>2.1</v>
      </c>
      <c r="AE58" s="17">
        <v>23</v>
      </c>
      <c r="AF58" s="15">
        <v>38.700000000000003</v>
      </c>
      <c r="AG58" s="16">
        <v>2.5339999999999998</v>
      </c>
      <c r="AH58" s="16">
        <v>6.6000000000000003E-2</v>
      </c>
      <c r="AI58" s="15">
        <v>0</v>
      </c>
      <c r="AJ58" s="17">
        <v>24</v>
      </c>
      <c r="AK58" s="15">
        <v>321.3</v>
      </c>
      <c r="AL58" s="16">
        <v>9.1780000000000008</v>
      </c>
      <c r="AM58" s="16">
        <v>2.9000000000000001E-2</v>
      </c>
      <c r="AN58" s="15">
        <v>68.5</v>
      </c>
      <c r="AO58" s="309"/>
      <c r="AP58" s="309"/>
      <c r="AQ58" s="309"/>
      <c r="AR58" s="309"/>
      <c r="AS58" s="18"/>
      <c r="AT58" s="18">
        <f>Table2[[#This Row],[Object_A_._head_time]]+Table2[[#This Row],[Object_B_._head_time]]</f>
        <v>92.9</v>
      </c>
      <c r="AU58" s="18">
        <f>Table2[[#This Row],[Object_B_._head_time]]-Table2[[#This Row],[Object_A_._head_time]]</f>
        <v>-46.900000000000006</v>
      </c>
      <c r="AV58" s="19">
        <f>Table2[[#This Row],[D1: Absolute discrimination measure (D1 = B2- A2)]]/Table2[[#This Row],[E2: total exploration time in second trial E2 ( E2 = A2 + B2)]]</f>
        <v>-0.5048439181916039</v>
      </c>
      <c r="AW58" s="309">
        <f t="shared" si="0"/>
        <v>0.24757804090419805</v>
      </c>
      <c r="AX58" s="18"/>
      <c r="AY58" s="14" t="s">
        <v>487</v>
      </c>
      <c r="AZ58" s="14" t="s">
        <v>472</v>
      </c>
      <c r="BA58" s="14" t="s">
        <v>475</v>
      </c>
      <c r="BB58" s="17">
        <v>169</v>
      </c>
      <c r="BC58" s="15">
        <v>5.6333333333333337</v>
      </c>
      <c r="BD58" s="14" t="s">
        <v>474</v>
      </c>
      <c r="BE58" s="28">
        <v>1</v>
      </c>
      <c r="BF58" s="14"/>
      <c r="BG58" s="270"/>
      <c r="BH58" s="270"/>
      <c r="BI58" s="270"/>
      <c r="BJ58" s="270"/>
      <c r="BK58" s="270"/>
      <c r="BL58" s="270"/>
      <c r="BM58" s="270"/>
      <c r="BN58" s="270"/>
      <c r="BO58" s="270"/>
      <c r="BP58" s="270"/>
      <c r="BQ58" s="270"/>
      <c r="BR58" s="270"/>
      <c r="BS58" s="270"/>
      <c r="BT58" s="270"/>
      <c r="BU58" s="270"/>
      <c r="BV58" s="270"/>
      <c r="BW58" s="270"/>
      <c r="BX58" s="270"/>
      <c r="BY58" s="270"/>
      <c r="BZ58" s="270"/>
      <c r="CA58" s="270"/>
      <c r="CB58" s="270"/>
      <c r="CC58" s="270"/>
      <c r="CD58" s="270"/>
      <c r="CE58" s="270"/>
      <c r="CF58" s="270"/>
      <c r="CG58" s="270"/>
      <c r="CH58" s="270"/>
      <c r="CI58" s="270"/>
      <c r="CJ58" s="270"/>
      <c r="CK58" s="270"/>
      <c r="CL58" s="270"/>
      <c r="CM58" s="270"/>
      <c r="CN58" s="270"/>
      <c r="CO58" s="270"/>
      <c r="CP58" s="270"/>
      <c r="CQ58" s="270"/>
      <c r="CR58" s="270"/>
      <c r="CS58" s="270"/>
      <c r="CT58" s="270"/>
      <c r="CU58" s="274"/>
    </row>
    <row r="59" spans="1:99" s="275" customFormat="1" ht="12" customHeight="1" x14ac:dyDescent="0.2">
      <c r="A59" s="14">
        <v>99</v>
      </c>
      <c r="B59" s="14" t="s">
        <v>80</v>
      </c>
      <c r="C59" s="14" t="s">
        <v>150</v>
      </c>
      <c r="D59" s="14" t="s">
        <v>49</v>
      </c>
      <c r="E59" s="14" t="s">
        <v>331</v>
      </c>
      <c r="F59" s="14" t="s">
        <v>351</v>
      </c>
      <c r="G59" s="14" t="s">
        <v>353</v>
      </c>
      <c r="H59" s="15">
        <v>360</v>
      </c>
      <c r="I59" s="16">
        <v>52.59</v>
      </c>
      <c r="J59" s="16">
        <v>0.14599999999999999</v>
      </c>
      <c r="K59" s="16">
        <v>0.35699999999999998</v>
      </c>
      <c r="L59" s="15">
        <v>2.5</v>
      </c>
      <c r="M59" s="17">
        <v>93</v>
      </c>
      <c r="N59" s="15">
        <v>51.8</v>
      </c>
      <c r="O59" s="16">
        <v>7.7009999999999996</v>
      </c>
      <c r="P59" s="16">
        <v>0.14899999999999999</v>
      </c>
      <c r="Q59" s="16">
        <v>0.34799999999999998</v>
      </c>
      <c r="R59" s="15">
        <v>6.8</v>
      </c>
      <c r="S59" s="17">
        <v>6099</v>
      </c>
      <c r="T59" s="15">
        <v>0</v>
      </c>
      <c r="U59" s="15">
        <v>10.8</v>
      </c>
      <c r="V59" s="17">
        <v>94</v>
      </c>
      <c r="W59" s="15">
        <v>55.3</v>
      </c>
      <c r="X59" s="16">
        <v>8.1630000000000003</v>
      </c>
      <c r="Y59" s="16">
        <v>0.14799999999999999</v>
      </c>
      <c r="Z59" s="16">
        <v>0.34799999999999998</v>
      </c>
      <c r="AA59" s="15">
        <v>8.4</v>
      </c>
      <c r="AB59" s="17">
        <v>6009</v>
      </c>
      <c r="AC59" s="15">
        <v>0</v>
      </c>
      <c r="AD59" s="15">
        <v>13.1</v>
      </c>
      <c r="AE59" s="17">
        <v>68</v>
      </c>
      <c r="AF59" s="15">
        <v>36.1</v>
      </c>
      <c r="AG59" s="16">
        <v>8.3040000000000003</v>
      </c>
      <c r="AH59" s="16">
        <v>0.23</v>
      </c>
      <c r="AI59" s="15">
        <v>0</v>
      </c>
      <c r="AJ59" s="17">
        <v>69</v>
      </c>
      <c r="AK59" s="15">
        <v>323.89999999999998</v>
      </c>
      <c r="AL59" s="16">
        <v>44.286999999999999</v>
      </c>
      <c r="AM59" s="16">
        <v>0.13700000000000001</v>
      </c>
      <c r="AN59" s="15">
        <v>2.5</v>
      </c>
      <c r="AO59" s="309"/>
      <c r="AP59" s="309"/>
      <c r="AQ59" s="309"/>
      <c r="AR59" s="309"/>
      <c r="AS59" s="18"/>
      <c r="AT59" s="18">
        <f>Table2[[#This Row],[Object_A_._head_time]]+Table2[[#This Row],[Object_B_._head_time]]</f>
        <v>107.1</v>
      </c>
      <c r="AU59" s="18">
        <f>Table2[[#This Row],[Object_B_._head_time]]-Table2[[#This Row],[Object_A_._head_time]]</f>
        <v>3.5</v>
      </c>
      <c r="AV59" s="19">
        <f>Table2[[#This Row],[D1: Absolute discrimination measure (D1 = B2- A2)]]/Table2[[#This Row],[E2: total exploration time in second trial E2 ( E2 = A2 + B2)]]</f>
        <v>3.2679738562091505E-2</v>
      </c>
      <c r="AW59" s="309">
        <f t="shared" si="0"/>
        <v>0.5163398692810458</v>
      </c>
      <c r="AX59" s="18"/>
      <c r="AY59" s="14" t="s">
        <v>487</v>
      </c>
      <c r="AZ59" s="14" t="s">
        <v>476</v>
      </c>
      <c r="BA59" s="14" t="s">
        <v>473</v>
      </c>
      <c r="BB59" s="17">
        <v>169</v>
      </c>
      <c r="BC59" s="15">
        <v>5.6333333333333337</v>
      </c>
      <c r="BD59" s="14" t="s">
        <v>474</v>
      </c>
      <c r="BE59" s="28">
        <v>7</v>
      </c>
      <c r="BF59" s="14"/>
      <c r="BG59" s="270"/>
      <c r="BH59" s="270"/>
      <c r="BI59" s="270"/>
      <c r="BJ59" s="270"/>
      <c r="BK59" s="270"/>
      <c r="BL59" s="270"/>
      <c r="BM59" s="270"/>
      <c r="BN59" s="270"/>
      <c r="BO59" s="270"/>
      <c r="BP59" s="270"/>
      <c r="BQ59" s="270"/>
      <c r="BR59" s="270"/>
      <c r="BS59" s="270"/>
      <c r="BT59" s="270"/>
      <c r="BU59" s="270"/>
      <c r="BV59" s="270"/>
      <c r="BW59" s="270"/>
      <c r="BX59" s="270"/>
      <c r="BY59" s="270"/>
      <c r="BZ59" s="270"/>
      <c r="CA59" s="270"/>
      <c r="CB59" s="270"/>
      <c r="CC59" s="270"/>
      <c r="CD59" s="270"/>
      <c r="CE59" s="270"/>
      <c r="CF59" s="270"/>
      <c r="CG59" s="270"/>
      <c r="CH59" s="270"/>
      <c r="CI59" s="270"/>
      <c r="CJ59" s="270"/>
      <c r="CK59" s="270"/>
      <c r="CL59" s="270"/>
      <c r="CM59" s="270"/>
      <c r="CN59" s="270"/>
      <c r="CO59" s="270"/>
      <c r="CP59" s="270"/>
      <c r="CQ59" s="270"/>
      <c r="CR59" s="270"/>
      <c r="CS59" s="270"/>
      <c r="CT59" s="270"/>
      <c r="CU59" s="274"/>
    </row>
    <row r="60" spans="1:99" s="275" customFormat="1" ht="12" customHeight="1" x14ac:dyDescent="0.2">
      <c r="A60" s="14">
        <v>100</v>
      </c>
      <c r="B60" s="14" t="s">
        <v>82</v>
      </c>
      <c r="C60" s="14" t="s">
        <v>150</v>
      </c>
      <c r="D60" s="14" t="s">
        <v>53</v>
      </c>
      <c r="E60" s="14" t="s">
        <v>331</v>
      </c>
      <c r="F60" s="14" t="s">
        <v>351</v>
      </c>
      <c r="G60" s="14" t="s">
        <v>354</v>
      </c>
      <c r="H60" s="15">
        <v>360</v>
      </c>
      <c r="I60" s="16">
        <v>2.4660000000000002</v>
      </c>
      <c r="J60" s="16">
        <v>7.0000000000000001E-3</v>
      </c>
      <c r="K60" s="16">
        <v>0.215</v>
      </c>
      <c r="L60" s="15">
        <v>213.7</v>
      </c>
      <c r="M60" s="17">
        <v>1</v>
      </c>
      <c r="N60" s="15">
        <v>0.5</v>
      </c>
      <c r="O60" s="16">
        <v>0</v>
      </c>
      <c r="P60" s="16">
        <v>0</v>
      </c>
      <c r="Q60" s="16">
        <v>5.1999999999999998E-2</v>
      </c>
      <c r="R60" s="15">
        <v>0.1</v>
      </c>
      <c r="S60" s="17">
        <v>88</v>
      </c>
      <c r="T60" s="15">
        <v>0</v>
      </c>
      <c r="U60" s="15">
        <v>0.5</v>
      </c>
      <c r="V60" s="17">
        <v>8</v>
      </c>
      <c r="W60" s="15">
        <v>7.5</v>
      </c>
      <c r="X60" s="16">
        <v>4.7E-2</v>
      </c>
      <c r="Y60" s="16">
        <v>6.0000000000000001E-3</v>
      </c>
      <c r="Z60" s="16">
        <v>0.04</v>
      </c>
      <c r="AA60" s="15">
        <v>2.2000000000000002</v>
      </c>
      <c r="AB60" s="17">
        <v>535</v>
      </c>
      <c r="AC60" s="15">
        <v>0.1</v>
      </c>
      <c r="AD60" s="15">
        <v>6.1</v>
      </c>
      <c r="AE60" s="17">
        <v>0</v>
      </c>
      <c r="AF60" s="15">
        <v>0</v>
      </c>
      <c r="AG60" s="16">
        <v>0</v>
      </c>
      <c r="AH60" s="16" t="s">
        <v>51</v>
      </c>
      <c r="AI60" s="15">
        <v>0</v>
      </c>
      <c r="AJ60" s="17">
        <v>1</v>
      </c>
      <c r="AK60" s="15">
        <v>360</v>
      </c>
      <c r="AL60" s="16">
        <v>2.4660000000000002</v>
      </c>
      <c r="AM60" s="16">
        <v>7.0000000000000001E-3</v>
      </c>
      <c r="AN60" s="15">
        <v>213.7</v>
      </c>
      <c r="AO60" s="309"/>
      <c r="AP60" s="309"/>
      <c r="AQ60" s="309"/>
      <c r="AR60" s="309"/>
      <c r="AS60" s="18"/>
      <c r="AT60" s="18">
        <f>Table2[[#This Row],[Object_A_._head_time]]+Table2[[#This Row],[Object_B_._head_time]]</f>
        <v>8</v>
      </c>
      <c r="AU60" s="18">
        <f>Table2[[#This Row],[Object_B_._head_time]]-Table2[[#This Row],[Object_A_._head_time]]</f>
        <v>7</v>
      </c>
      <c r="AV60" s="19">
        <f>Table2[[#This Row],[D1: Absolute discrimination measure (D1 = B2- A2)]]/Table2[[#This Row],[E2: total exploration time in second trial E2 ( E2 = A2 + B2)]]</f>
        <v>0.875</v>
      </c>
      <c r="AW60" s="309">
        <f t="shared" si="0"/>
        <v>0.9375</v>
      </c>
      <c r="AX60" s="18"/>
      <c r="AY60" s="14" t="s">
        <v>487</v>
      </c>
      <c r="AZ60" s="14" t="s">
        <v>472</v>
      </c>
      <c r="BA60" s="14" t="s">
        <v>473</v>
      </c>
      <c r="BB60" s="17">
        <v>169</v>
      </c>
      <c r="BC60" s="15">
        <v>5.6333333333333337</v>
      </c>
      <c r="BD60" s="14" t="s">
        <v>474</v>
      </c>
      <c r="BE60" s="28">
        <v>3</v>
      </c>
      <c r="BF60" s="14"/>
      <c r="BG60" s="270"/>
      <c r="BH60" s="270"/>
      <c r="BI60" s="270"/>
      <c r="BJ60" s="270"/>
      <c r="BK60" s="270"/>
      <c r="BL60" s="270"/>
      <c r="BM60" s="270"/>
      <c r="BN60" s="270"/>
      <c r="BO60" s="270"/>
      <c r="BP60" s="270"/>
      <c r="BQ60" s="270"/>
      <c r="BR60" s="270"/>
      <c r="BS60" s="270"/>
      <c r="BT60" s="270"/>
      <c r="BU60" s="270"/>
      <c r="BV60" s="270"/>
      <c r="BW60" s="270"/>
      <c r="BX60" s="270"/>
      <c r="BY60" s="270"/>
      <c r="BZ60" s="270"/>
      <c r="CA60" s="270"/>
      <c r="CB60" s="270"/>
      <c r="CC60" s="270"/>
      <c r="CD60" s="270"/>
      <c r="CE60" s="270"/>
      <c r="CF60" s="270"/>
      <c r="CG60" s="270"/>
      <c r="CH60" s="270"/>
      <c r="CI60" s="270"/>
      <c r="CJ60" s="270"/>
      <c r="CK60" s="270"/>
      <c r="CL60" s="270"/>
      <c r="CM60" s="270"/>
      <c r="CN60" s="270"/>
      <c r="CO60" s="270"/>
      <c r="CP60" s="270"/>
      <c r="CQ60" s="270"/>
      <c r="CR60" s="270"/>
      <c r="CS60" s="270"/>
      <c r="CT60" s="270"/>
      <c r="CU60" s="274"/>
    </row>
    <row r="61" spans="1:99" s="275" customFormat="1" ht="12" customHeight="1" x14ac:dyDescent="0.2">
      <c r="A61" s="14">
        <v>104</v>
      </c>
      <c r="B61" s="14" t="s">
        <v>85</v>
      </c>
      <c r="C61" s="14" t="s">
        <v>150</v>
      </c>
      <c r="D61" s="14" t="s">
        <v>41</v>
      </c>
      <c r="E61" s="14" t="s">
        <v>331</v>
      </c>
      <c r="F61" s="14" t="s">
        <v>355</v>
      </c>
      <c r="G61" s="14" t="s">
        <v>356</v>
      </c>
      <c r="H61" s="15">
        <v>360</v>
      </c>
      <c r="I61" s="16">
        <v>6.1219999999999999</v>
      </c>
      <c r="J61" s="16">
        <v>1.7000000000000001E-2</v>
      </c>
      <c r="K61" s="16">
        <v>0.309</v>
      </c>
      <c r="L61" s="15">
        <v>95</v>
      </c>
      <c r="M61" s="17">
        <v>21</v>
      </c>
      <c r="N61" s="15">
        <v>31</v>
      </c>
      <c r="O61" s="16">
        <v>0.39600000000000002</v>
      </c>
      <c r="P61" s="16">
        <v>1.2999999999999999E-2</v>
      </c>
      <c r="Q61" s="16">
        <v>0.29599999999999999</v>
      </c>
      <c r="R61" s="15">
        <v>7.6</v>
      </c>
      <c r="S61" s="17">
        <v>1787</v>
      </c>
      <c r="T61" s="15">
        <v>10.1</v>
      </c>
      <c r="U61" s="15">
        <v>9.3000000000000007</v>
      </c>
      <c r="V61" s="17">
        <v>26</v>
      </c>
      <c r="W61" s="15">
        <v>117.3</v>
      </c>
      <c r="X61" s="16">
        <v>1.343</v>
      </c>
      <c r="Y61" s="16">
        <v>1.0999999999999999E-2</v>
      </c>
      <c r="Z61" s="16">
        <v>0.29099999999999998</v>
      </c>
      <c r="AA61" s="15">
        <v>66.5</v>
      </c>
      <c r="AB61" s="17">
        <v>6027</v>
      </c>
      <c r="AC61" s="15">
        <v>51.7</v>
      </c>
      <c r="AD61" s="15">
        <v>78.400000000000006</v>
      </c>
      <c r="AE61" s="17">
        <v>10</v>
      </c>
      <c r="AF61" s="15">
        <v>30.9</v>
      </c>
      <c r="AG61" s="16">
        <v>1.5209999999999999</v>
      </c>
      <c r="AH61" s="16">
        <v>4.9000000000000002E-2</v>
      </c>
      <c r="AI61" s="15">
        <v>10</v>
      </c>
      <c r="AJ61" s="17">
        <v>11</v>
      </c>
      <c r="AK61" s="15">
        <v>329.1</v>
      </c>
      <c r="AL61" s="16">
        <v>4.601</v>
      </c>
      <c r="AM61" s="16">
        <v>1.4E-2</v>
      </c>
      <c r="AN61" s="15">
        <v>85</v>
      </c>
      <c r="AO61" s="309"/>
      <c r="AP61" s="309"/>
      <c r="AQ61" s="309"/>
      <c r="AR61" s="309"/>
      <c r="AS61" s="18"/>
      <c r="AT61" s="18">
        <f>Table2[[#This Row],[Object_A_._head_time]]+Table2[[#This Row],[Object_B_._head_time]]</f>
        <v>148.30000000000001</v>
      </c>
      <c r="AU61" s="18">
        <f>Table2[[#This Row],[Object_B_._head_time]]-Table2[[#This Row],[Object_A_._head_time]]</f>
        <v>86.3</v>
      </c>
      <c r="AV61" s="19">
        <f>Table2[[#This Row],[D1: Absolute discrimination measure (D1 = B2- A2)]]/Table2[[#This Row],[E2: total exploration time in second trial E2 ( E2 = A2 + B2)]]</f>
        <v>0.58192852326365474</v>
      </c>
      <c r="AW61" s="309">
        <f t="shared" si="0"/>
        <v>0.79096426163182731</v>
      </c>
      <c r="AX61" s="18"/>
      <c r="AY61" s="14" t="s">
        <v>486</v>
      </c>
      <c r="AZ61" s="14" t="s">
        <v>472</v>
      </c>
      <c r="BA61" s="14" t="s">
        <v>473</v>
      </c>
      <c r="BB61" s="17">
        <v>159</v>
      </c>
      <c r="BC61" s="15">
        <v>5.3</v>
      </c>
      <c r="BD61" s="14" t="s">
        <v>474</v>
      </c>
      <c r="BE61" s="28">
        <v>3</v>
      </c>
      <c r="BF61" s="14"/>
      <c r="BG61" s="270"/>
      <c r="BH61" s="270"/>
      <c r="BI61" s="270"/>
      <c r="BJ61" s="270"/>
      <c r="BK61" s="270"/>
      <c r="BL61" s="270"/>
      <c r="BM61" s="270"/>
      <c r="BN61" s="270"/>
      <c r="BO61" s="270"/>
      <c r="BP61" s="270"/>
      <c r="BQ61" s="270"/>
      <c r="BR61" s="270"/>
      <c r="BS61" s="270"/>
      <c r="BT61" s="270"/>
      <c r="BU61" s="270"/>
      <c r="BV61" s="270"/>
      <c r="BW61" s="270"/>
      <c r="BX61" s="270"/>
      <c r="BY61" s="270"/>
      <c r="BZ61" s="270"/>
      <c r="CA61" s="270"/>
      <c r="CB61" s="270"/>
      <c r="CC61" s="270"/>
      <c r="CD61" s="270"/>
      <c r="CE61" s="270"/>
      <c r="CF61" s="270"/>
      <c r="CG61" s="270"/>
      <c r="CH61" s="270"/>
      <c r="CI61" s="270"/>
      <c r="CJ61" s="270"/>
      <c r="CK61" s="270"/>
      <c r="CL61" s="270"/>
      <c r="CM61" s="270"/>
      <c r="CN61" s="270"/>
      <c r="CO61" s="270"/>
      <c r="CP61" s="270"/>
      <c r="CQ61" s="270"/>
      <c r="CR61" s="270"/>
      <c r="CS61" s="270"/>
      <c r="CT61" s="270"/>
      <c r="CU61" s="274"/>
    </row>
    <row r="62" spans="1:99" s="275" customFormat="1" ht="12" customHeight="1" x14ac:dyDescent="0.2">
      <c r="A62" s="14">
        <v>103</v>
      </c>
      <c r="B62" s="14" t="s">
        <v>87</v>
      </c>
      <c r="C62" s="14" t="s">
        <v>150</v>
      </c>
      <c r="D62" s="14" t="s">
        <v>46</v>
      </c>
      <c r="E62" s="14" t="s">
        <v>331</v>
      </c>
      <c r="F62" s="14" t="s">
        <v>355</v>
      </c>
      <c r="G62" s="14" t="s">
        <v>357</v>
      </c>
      <c r="H62" s="15">
        <v>360</v>
      </c>
      <c r="I62" s="16">
        <v>7.92</v>
      </c>
      <c r="J62" s="16">
        <v>2.1999999999999999E-2</v>
      </c>
      <c r="K62" s="16">
        <v>0.20799999999999999</v>
      </c>
      <c r="L62" s="15">
        <v>65.400000000000006</v>
      </c>
      <c r="M62" s="17">
        <v>27</v>
      </c>
      <c r="N62" s="15">
        <v>65.900000000000006</v>
      </c>
      <c r="O62" s="16">
        <v>1.077</v>
      </c>
      <c r="P62" s="16">
        <v>1.6E-2</v>
      </c>
      <c r="Q62" s="16">
        <v>0.20599999999999999</v>
      </c>
      <c r="R62" s="15">
        <v>11.1</v>
      </c>
      <c r="S62" s="17">
        <v>3190</v>
      </c>
      <c r="T62" s="15">
        <v>10.1</v>
      </c>
      <c r="U62" s="15">
        <v>14.9</v>
      </c>
      <c r="V62" s="17">
        <v>16</v>
      </c>
      <c r="W62" s="15">
        <v>22</v>
      </c>
      <c r="X62" s="16">
        <v>1.0429999999999999</v>
      </c>
      <c r="Y62" s="16">
        <v>4.7E-2</v>
      </c>
      <c r="Z62" s="16">
        <v>0.189</v>
      </c>
      <c r="AA62" s="15">
        <v>7</v>
      </c>
      <c r="AB62" s="17">
        <v>1444</v>
      </c>
      <c r="AC62" s="15">
        <v>1.1000000000000001</v>
      </c>
      <c r="AD62" s="15">
        <v>3.1</v>
      </c>
      <c r="AE62" s="17">
        <v>8</v>
      </c>
      <c r="AF62" s="15">
        <v>56.9</v>
      </c>
      <c r="AG62" s="16">
        <v>1.9850000000000001</v>
      </c>
      <c r="AH62" s="16">
        <v>3.5000000000000003E-2</v>
      </c>
      <c r="AI62" s="15">
        <v>5.0999999999999996</v>
      </c>
      <c r="AJ62" s="17">
        <v>8</v>
      </c>
      <c r="AK62" s="15">
        <v>303.10000000000002</v>
      </c>
      <c r="AL62" s="16">
        <v>5.9349999999999996</v>
      </c>
      <c r="AM62" s="16">
        <v>0.02</v>
      </c>
      <c r="AN62" s="15">
        <v>60.4</v>
      </c>
      <c r="AO62" s="309"/>
      <c r="AP62" s="309"/>
      <c r="AQ62" s="309"/>
      <c r="AR62" s="309"/>
      <c r="AS62" s="18"/>
      <c r="AT62" s="18">
        <f>Table2[[#This Row],[Object_A_._head_time]]+Table2[[#This Row],[Object_B_._head_time]]</f>
        <v>87.9</v>
      </c>
      <c r="AU62" s="18">
        <f>Table2[[#This Row],[Object_B_._head_time]]-Table2[[#This Row],[Object_A_._head_time]]</f>
        <v>-43.900000000000006</v>
      </c>
      <c r="AV62" s="19">
        <f>Table2[[#This Row],[D1: Absolute discrimination measure (D1 = B2- A2)]]/Table2[[#This Row],[E2: total exploration time in second trial E2 ( E2 = A2 + B2)]]</f>
        <v>-0.49943117178612062</v>
      </c>
      <c r="AW62" s="309">
        <f t="shared" si="0"/>
        <v>0.25028441410693969</v>
      </c>
      <c r="AX62" s="18"/>
      <c r="AY62" s="14" t="s">
        <v>486</v>
      </c>
      <c r="AZ62" s="14" t="s">
        <v>476</v>
      </c>
      <c r="BA62" s="14" t="s">
        <v>473</v>
      </c>
      <c r="BB62" s="17">
        <v>159</v>
      </c>
      <c r="BC62" s="15">
        <v>5.3</v>
      </c>
      <c r="BD62" s="14" t="s">
        <v>477</v>
      </c>
      <c r="BE62" s="28">
        <v>8</v>
      </c>
      <c r="BF62" s="14"/>
      <c r="BG62" s="270"/>
      <c r="BH62" s="270"/>
      <c r="BI62" s="270"/>
      <c r="BJ62" s="270"/>
      <c r="BK62" s="270"/>
      <c r="BL62" s="270"/>
      <c r="BM62" s="270"/>
      <c r="BN62" s="270"/>
      <c r="BO62" s="270"/>
      <c r="BP62" s="270"/>
      <c r="BQ62" s="270"/>
      <c r="BR62" s="270"/>
      <c r="BS62" s="270"/>
      <c r="BT62" s="270"/>
      <c r="BU62" s="270"/>
      <c r="BV62" s="270"/>
      <c r="BW62" s="270"/>
      <c r="BX62" s="270"/>
      <c r="BY62" s="270"/>
      <c r="BZ62" s="270"/>
      <c r="CA62" s="270"/>
      <c r="CB62" s="270"/>
      <c r="CC62" s="270"/>
      <c r="CD62" s="270"/>
      <c r="CE62" s="270"/>
      <c r="CF62" s="270"/>
      <c r="CG62" s="270"/>
      <c r="CH62" s="270"/>
      <c r="CI62" s="270"/>
      <c r="CJ62" s="270"/>
      <c r="CK62" s="270"/>
      <c r="CL62" s="270"/>
      <c r="CM62" s="270"/>
      <c r="CN62" s="270"/>
      <c r="CO62" s="270"/>
      <c r="CP62" s="270"/>
      <c r="CQ62" s="270"/>
      <c r="CR62" s="270"/>
      <c r="CS62" s="270"/>
      <c r="CT62" s="270"/>
      <c r="CU62" s="274"/>
    </row>
    <row r="63" spans="1:99" s="275" customFormat="1" ht="12" customHeight="1" x14ac:dyDescent="0.2">
      <c r="A63" s="14">
        <v>105</v>
      </c>
      <c r="B63" s="14" t="s">
        <v>89</v>
      </c>
      <c r="C63" s="14" t="s">
        <v>150</v>
      </c>
      <c r="D63" s="14" t="s">
        <v>49</v>
      </c>
      <c r="E63" s="14" t="s">
        <v>331</v>
      </c>
      <c r="F63" s="14" t="s">
        <v>358</v>
      </c>
      <c r="G63" s="14" t="s">
        <v>359</v>
      </c>
      <c r="H63" s="15">
        <v>360</v>
      </c>
      <c r="I63" s="16">
        <v>4.367</v>
      </c>
      <c r="J63" s="16">
        <v>1.2E-2</v>
      </c>
      <c r="K63" s="16">
        <v>0.253</v>
      </c>
      <c r="L63" s="15">
        <v>201.7</v>
      </c>
      <c r="M63" s="17">
        <v>10</v>
      </c>
      <c r="N63" s="15">
        <v>7.7</v>
      </c>
      <c r="O63" s="16">
        <v>9.4E-2</v>
      </c>
      <c r="P63" s="16">
        <v>1.2E-2</v>
      </c>
      <c r="Q63" s="16">
        <v>0.17</v>
      </c>
      <c r="R63" s="15">
        <v>4.4000000000000004</v>
      </c>
      <c r="S63" s="17">
        <v>437</v>
      </c>
      <c r="T63" s="15">
        <v>0</v>
      </c>
      <c r="U63" s="15">
        <v>7.6</v>
      </c>
      <c r="V63" s="17">
        <v>2</v>
      </c>
      <c r="W63" s="15">
        <v>1.8</v>
      </c>
      <c r="X63" s="16">
        <v>0</v>
      </c>
      <c r="Y63" s="16">
        <v>0</v>
      </c>
      <c r="Z63" s="16">
        <v>9.6000000000000002E-2</v>
      </c>
      <c r="AA63" s="15">
        <v>0.3</v>
      </c>
      <c r="AB63" s="17">
        <v>83</v>
      </c>
      <c r="AC63" s="15">
        <v>0</v>
      </c>
      <c r="AD63" s="15">
        <v>0.6</v>
      </c>
      <c r="AE63" s="17">
        <v>1</v>
      </c>
      <c r="AF63" s="15">
        <v>2</v>
      </c>
      <c r="AG63" s="16">
        <v>5.7000000000000002E-2</v>
      </c>
      <c r="AH63" s="16">
        <v>2.8000000000000001E-2</v>
      </c>
      <c r="AI63" s="15">
        <v>0</v>
      </c>
      <c r="AJ63" s="17">
        <v>1</v>
      </c>
      <c r="AK63" s="15">
        <v>358</v>
      </c>
      <c r="AL63" s="16">
        <v>4.3099999999999996</v>
      </c>
      <c r="AM63" s="16">
        <v>1.2E-2</v>
      </c>
      <c r="AN63" s="15">
        <v>201.7</v>
      </c>
      <c r="AO63" s="309"/>
      <c r="AP63" s="309"/>
      <c r="AQ63" s="309"/>
      <c r="AR63" s="309"/>
      <c r="AS63" s="18"/>
      <c r="AT63" s="18">
        <f>Table2[[#This Row],[Object_A_._head_time]]+Table2[[#This Row],[Object_B_._head_time]]</f>
        <v>9.5</v>
      </c>
      <c r="AU63" s="18">
        <f>Table2[[#This Row],[Object_B_._head_time]]-Table2[[#This Row],[Object_A_._head_time]]</f>
        <v>-5.9</v>
      </c>
      <c r="AV63" s="19">
        <f>Table2[[#This Row],[D1: Absolute discrimination measure (D1 = B2- A2)]]/Table2[[#This Row],[E2: total exploration time in second trial E2 ( E2 = A2 + B2)]]</f>
        <v>-0.62105263157894741</v>
      </c>
      <c r="AW63" s="309">
        <f t="shared" si="0"/>
        <v>0.18947368421052632</v>
      </c>
      <c r="AX63" s="18"/>
      <c r="AY63" s="14" t="s">
        <v>487</v>
      </c>
      <c r="AZ63" s="14" t="s">
        <v>472</v>
      </c>
      <c r="BA63" s="14" t="s">
        <v>473</v>
      </c>
      <c r="BB63" s="17">
        <v>159</v>
      </c>
      <c r="BC63" s="15">
        <v>5.3</v>
      </c>
      <c r="BD63" s="14" t="s">
        <v>474</v>
      </c>
      <c r="BE63" s="28">
        <v>3</v>
      </c>
      <c r="BF63" s="14"/>
      <c r="BG63" s="270"/>
      <c r="BH63" s="270"/>
      <c r="BI63" s="270"/>
      <c r="BJ63" s="270"/>
      <c r="BK63" s="270"/>
      <c r="BL63" s="270"/>
      <c r="BM63" s="270"/>
      <c r="BN63" s="270"/>
      <c r="BO63" s="270"/>
      <c r="BP63" s="270"/>
      <c r="BQ63" s="270"/>
      <c r="BR63" s="270"/>
      <c r="BS63" s="270"/>
      <c r="BT63" s="270"/>
      <c r="BU63" s="270"/>
      <c r="BV63" s="270"/>
      <c r="BW63" s="270"/>
      <c r="BX63" s="270"/>
      <c r="BY63" s="270"/>
      <c r="BZ63" s="270"/>
      <c r="CA63" s="270"/>
      <c r="CB63" s="270"/>
      <c r="CC63" s="270"/>
      <c r="CD63" s="270"/>
      <c r="CE63" s="270"/>
      <c r="CF63" s="270"/>
      <c r="CG63" s="270"/>
      <c r="CH63" s="270"/>
      <c r="CI63" s="270"/>
      <c r="CJ63" s="270"/>
      <c r="CK63" s="270"/>
      <c r="CL63" s="270"/>
      <c r="CM63" s="270"/>
      <c r="CN63" s="270"/>
      <c r="CO63" s="270"/>
      <c r="CP63" s="270"/>
      <c r="CQ63" s="270"/>
      <c r="CR63" s="270"/>
      <c r="CS63" s="270"/>
      <c r="CT63" s="270"/>
      <c r="CU63" s="274"/>
    </row>
    <row r="64" spans="1:99" s="275" customFormat="1" ht="12" customHeight="1" x14ac:dyDescent="0.2">
      <c r="A64" s="14">
        <v>106</v>
      </c>
      <c r="B64" s="14" t="s">
        <v>91</v>
      </c>
      <c r="C64" s="14" t="s">
        <v>150</v>
      </c>
      <c r="D64" s="14" t="s">
        <v>53</v>
      </c>
      <c r="E64" s="14" t="s">
        <v>331</v>
      </c>
      <c r="F64" s="14" t="s">
        <v>358</v>
      </c>
      <c r="G64" s="14" t="s">
        <v>360</v>
      </c>
      <c r="H64" s="15">
        <v>360</v>
      </c>
      <c r="I64" s="16">
        <v>6.827</v>
      </c>
      <c r="J64" s="16">
        <v>1.9E-2</v>
      </c>
      <c r="K64" s="16">
        <v>0.27600000000000002</v>
      </c>
      <c r="L64" s="15">
        <v>121.2</v>
      </c>
      <c r="M64" s="17">
        <v>8</v>
      </c>
      <c r="N64" s="15">
        <v>6.5</v>
      </c>
      <c r="O64" s="16">
        <v>0.23</v>
      </c>
      <c r="P64" s="16">
        <v>3.5999999999999997E-2</v>
      </c>
      <c r="Q64" s="16">
        <v>0.161</v>
      </c>
      <c r="R64" s="15">
        <v>4.3</v>
      </c>
      <c r="S64" s="17">
        <v>431</v>
      </c>
      <c r="T64" s="15">
        <v>0</v>
      </c>
      <c r="U64" s="15">
        <v>5.4</v>
      </c>
      <c r="V64" s="17">
        <v>85</v>
      </c>
      <c r="W64" s="15">
        <v>82.8</v>
      </c>
      <c r="X64" s="16">
        <v>0.28100000000000003</v>
      </c>
      <c r="Y64" s="16">
        <v>3.0000000000000001E-3</v>
      </c>
      <c r="Z64" s="16">
        <v>0.22800000000000001</v>
      </c>
      <c r="AA64" s="15">
        <v>79.8</v>
      </c>
      <c r="AB64" s="17">
        <v>4556</v>
      </c>
      <c r="AC64" s="15">
        <v>29.5</v>
      </c>
      <c r="AD64" s="15">
        <v>79.2</v>
      </c>
      <c r="AE64" s="17">
        <v>6</v>
      </c>
      <c r="AF64" s="15">
        <v>13.1</v>
      </c>
      <c r="AG64" s="16">
        <v>0.76</v>
      </c>
      <c r="AH64" s="16">
        <v>5.8000000000000003E-2</v>
      </c>
      <c r="AI64" s="15">
        <v>0</v>
      </c>
      <c r="AJ64" s="17">
        <v>6</v>
      </c>
      <c r="AK64" s="15">
        <v>346.9</v>
      </c>
      <c r="AL64" s="16">
        <v>6.0670000000000002</v>
      </c>
      <c r="AM64" s="16">
        <v>1.7000000000000001E-2</v>
      </c>
      <c r="AN64" s="15">
        <v>121.2</v>
      </c>
      <c r="AO64" s="309"/>
      <c r="AP64" s="309"/>
      <c r="AQ64" s="309"/>
      <c r="AR64" s="309"/>
      <c r="AS64" s="18"/>
      <c r="AT64" s="18">
        <f>Table2[[#This Row],[Object_A_._head_time]]+Table2[[#This Row],[Object_B_._head_time]]</f>
        <v>89.3</v>
      </c>
      <c r="AU64" s="18">
        <f>Table2[[#This Row],[Object_B_._head_time]]-Table2[[#This Row],[Object_A_._head_time]]</f>
        <v>76.3</v>
      </c>
      <c r="AV64" s="19">
        <f>Table2[[#This Row],[D1: Absolute discrimination measure (D1 = B2- A2)]]/Table2[[#This Row],[E2: total exploration time in second trial E2 ( E2 = A2 + B2)]]</f>
        <v>0.85442329227323632</v>
      </c>
      <c r="AW64" s="309">
        <f t="shared" si="0"/>
        <v>0.92721164613661811</v>
      </c>
      <c r="AX64" s="18"/>
      <c r="AY64" s="14" t="s">
        <v>487</v>
      </c>
      <c r="AZ64" s="14" t="s">
        <v>476</v>
      </c>
      <c r="BA64" s="14" t="s">
        <v>475</v>
      </c>
      <c r="BB64" s="17">
        <v>159</v>
      </c>
      <c r="BC64" s="15">
        <v>5.3</v>
      </c>
      <c r="BD64" s="14" t="s">
        <v>474</v>
      </c>
      <c r="BE64" s="28">
        <v>5</v>
      </c>
      <c r="BF64" s="14"/>
      <c r="BG64" s="270"/>
      <c r="BH64" s="270"/>
      <c r="BI64" s="270"/>
      <c r="BJ64" s="270"/>
      <c r="BK64" s="270"/>
      <c r="BL64" s="270"/>
      <c r="BM64" s="270"/>
      <c r="BN64" s="270"/>
      <c r="BO64" s="270"/>
      <c r="BP64" s="270"/>
      <c r="BQ64" s="270"/>
      <c r="BR64" s="270"/>
      <c r="BS64" s="270"/>
      <c r="BT64" s="270"/>
      <c r="BU64" s="270"/>
      <c r="BV64" s="270"/>
      <c r="BW64" s="270"/>
      <c r="BX64" s="270"/>
      <c r="BY64" s="270"/>
      <c r="BZ64" s="270"/>
      <c r="CA64" s="270"/>
      <c r="CB64" s="270"/>
      <c r="CC64" s="270"/>
      <c r="CD64" s="270"/>
      <c r="CE64" s="270"/>
      <c r="CF64" s="270"/>
      <c r="CG64" s="270"/>
      <c r="CH64" s="270"/>
      <c r="CI64" s="270"/>
      <c r="CJ64" s="270"/>
      <c r="CK64" s="270"/>
      <c r="CL64" s="270"/>
      <c r="CM64" s="270"/>
      <c r="CN64" s="270"/>
      <c r="CO64" s="270"/>
      <c r="CP64" s="270"/>
      <c r="CQ64" s="270"/>
      <c r="CR64" s="270"/>
      <c r="CS64" s="270"/>
      <c r="CT64" s="270"/>
      <c r="CU64" s="274"/>
    </row>
    <row r="65" spans="1:99" s="275" customFormat="1" ht="12" customHeight="1" x14ac:dyDescent="0.2">
      <c r="A65" s="14">
        <v>108</v>
      </c>
      <c r="B65" s="14" t="s">
        <v>96</v>
      </c>
      <c r="C65" s="14" t="s">
        <v>150</v>
      </c>
      <c r="D65" s="14" t="s">
        <v>41</v>
      </c>
      <c r="E65" s="14" t="s">
        <v>331</v>
      </c>
      <c r="F65" s="14" t="s">
        <v>361</v>
      </c>
      <c r="G65" s="14" t="s">
        <v>362</v>
      </c>
      <c r="H65" s="15">
        <v>360</v>
      </c>
      <c r="I65" s="16">
        <v>5.0129999999999999</v>
      </c>
      <c r="J65" s="16">
        <v>1.4E-2</v>
      </c>
      <c r="K65" s="16">
        <v>0.22900000000000001</v>
      </c>
      <c r="L65" s="15">
        <v>185.1</v>
      </c>
      <c r="M65" s="17">
        <v>24</v>
      </c>
      <c r="N65" s="15">
        <v>22.2</v>
      </c>
      <c r="O65" s="16">
        <v>0.498</v>
      </c>
      <c r="P65" s="16">
        <v>2.1999999999999999E-2</v>
      </c>
      <c r="Q65" s="16">
        <v>0.216</v>
      </c>
      <c r="R65" s="15">
        <v>6.2</v>
      </c>
      <c r="S65" s="17">
        <v>1793</v>
      </c>
      <c r="T65" s="15">
        <v>2.1</v>
      </c>
      <c r="U65" s="15">
        <v>11</v>
      </c>
      <c r="V65" s="17">
        <v>41</v>
      </c>
      <c r="W65" s="15">
        <v>91</v>
      </c>
      <c r="X65" s="16">
        <v>0.503</v>
      </c>
      <c r="Y65" s="16">
        <v>6.0000000000000001E-3</v>
      </c>
      <c r="Z65" s="16">
        <v>0.20300000000000001</v>
      </c>
      <c r="AA65" s="15">
        <v>48.7</v>
      </c>
      <c r="AB65" s="17">
        <v>3463</v>
      </c>
      <c r="AC65" s="15">
        <v>60.7</v>
      </c>
      <c r="AD65" s="15">
        <v>51.6</v>
      </c>
      <c r="AE65" s="17">
        <v>14</v>
      </c>
      <c r="AF65" s="15">
        <v>23.2</v>
      </c>
      <c r="AG65" s="16">
        <v>1.52</v>
      </c>
      <c r="AH65" s="16">
        <v>6.5000000000000002E-2</v>
      </c>
      <c r="AI65" s="15">
        <v>3.5</v>
      </c>
      <c r="AJ65" s="17">
        <v>14</v>
      </c>
      <c r="AK65" s="15">
        <v>336.8</v>
      </c>
      <c r="AL65" s="16">
        <v>3.4929999999999999</v>
      </c>
      <c r="AM65" s="16">
        <v>0.01</v>
      </c>
      <c r="AN65" s="15">
        <v>181.6</v>
      </c>
      <c r="AO65" s="309"/>
      <c r="AP65" s="309"/>
      <c r="AQ65" s="309"/>
      <c r="AR65" s="309"/>
      <c r="AS65" s="18"/>
      <c r="AT65" s="18">
        <f>Table2[[#This Row],[Object_A_._head_time]]+Table2[[#This Row],[Object_B_._head_time]]</f>
        <v>113.2</v>
      </c>
      <c r="AU65" s="18">
        <f>Table2[[#This Row],[Object_B_._head_time]]-Table2[[#This Row],[Object_A_._head_time]]</f>
        <v>68.8</v>
      </c>
      <c r="AV65" s="19">
        <f>Table2[[#This Row],[D1: Absolute discrimination measure (D1 = B2- A2)]]/Table2[[#This Row],[E2: total exploration time in second trial E2 ( E2 = A2 + B2)]]</f>
        <v>0.607773851590106</v>
      </c>
      <c r="AW65" s="309">
        <f t="shared" si="0"/>
        <v>0.80388692579505294</v>
      </c>
      <c r="AX65" s="18"/>
      <c r="AY65" s="14" t="s">
        <v>486</v>
      </c>
      <c r="AZ65" s="14" t="s">
        <v>476</v>
      </c>
      <c r="BA65" s="14" t="s">
        <v>475</v>
      </c>
      <c r="BB65" s="17">
        <v>151</v>
      </c>
      <c r="BC65" s="15">
        <v>5.0333333333333332</v>
      </c>
      <c r="BD65" s="14" t="s">
        <v>477</v>
      </c>
      <c r="BE65" s="28">
        <v>6</v>
      </c>
      <c r="BF65" s="14"/>
      <c r="BG65" s="270"/>
      <c r="BH65" s="270"/>
      <c r="BI65" s="270"/>
      <c r="BJ65" s="270"/>
      <c r="BK65" s="270"/>
      <c r="BL65" s="270"/>
      <c r="BM65" s="270"/>
      <c r="BN65" s="270"/>
      <c r="BO65" s="270"/>
      <c r="BP65" s="270"/>
      <c r="BQ65" s="270"/>
      <c r="BR65" s="270"/>
      <c r="BS65" s="270"/>
      <c r="BT65" s="270"/>
      <c r="BU65" s="270"/>
      <c r="BV65" s="270"/>
      <c r="BW65" s="270"/>
      <c r="BX65" s="270"/>
      <c r="BY65" s="270"/>
      <c r="BZ65" s="270"/>
      <c r="CA65" s="270"/>
      <c r="CB65" s="270"/>
      <c r="CC65" s="270"/>
      <c r="CD65" s="270"/>
      <c r="CE65" s="270"/>
      <c r="CF65" s="270"/>
      <c r="CG65" s="270"/>
      <c r="CH65" s="270"/>
      <c r="CI65" s="270"/>
      <c r="CJ65" s="270"/>
      <c r="CK65" s="270"/>
      <c r="CL65" s="270"/>
      <c r="CM65" s="270"/>
      <c r="CN65" s="270"/>
      <c r="CO65" s="270"/>
      <c r="CP65" s="270"/>
      <c r="CQ65" s="270"/>
      <c r="CR65" s="270"/>
      <c r="CS65" s="270"/>
      <c r="CT65" s="270"/>
      <c r="CU65" s="274"/>
    </row>
    <row r="66" spans="1:99" s="275" customFormat="1" ht="12" customHeight="1" x14ac:dyDescent="0.2">
      <c r="A66" s="14">
        <v>107</v>
      </c>
      <c r="B66" s="14" t="s">
        <v>98</v>
      </c>
      <c r="C66" s="14" t="s">
        <v>150</v>
      </c>
      <c r="D66" s="14" t="s">
        <v>46</v>
      </c>
      <c r="E66" s="14" t="s">
        <v>331</v>
      </c>
      <c r="F66" s="14" t="s">
        <v>361</v>
      </c>
      <c r="G66" s="14" t="s">
        <v>363</v>
      </c>
      <c r="H66" s="15">
        <v>360</v>
      </c>
      <c r="I66" s="16">
        <v>9.343</v>
      </c>
      <c r="J66" s="16">
        <v>2.5999999999999999E-2</v>
      </c>
      <c r="K66" s="16">
        <v>0.28199999999999997</v>
      </c>
      <c r="L66" s="15">
        <v>124.1</v>
      </c>
      <c r="M66" s="17">
        <v>30</v>
      </c>
      <c r="N66" s="15">
        <v>43.6</v>
      </c>
      <c r="O66" s="16">
        <v>1.623</v>
      </c>
      <c r="P66" s="16">
        <v>3.6999999999999998E-2</v>
      </c>
      <c r="Q66" s="16">
        <v>0.26400000000000001</v>
      </c>
      <c r="R66" s="15">
        <v>12.2</v>
      </c>
      <c r="S66" s="17">
        <v>4577</v>
      </c>
      <c r="T66" s="15">
        <v>2.8</v>
      </c>
      <c r="U66" s="15">
        <v>12.1</v>
      </c>
      <c r="V66" s="17">
        <v>14</v>
      </c>
      <c r="W66" s="15">
        <v>14.2</v>
      </c>
      <c r="X66" s="16">
        <v>0.93</v>
      </c>
      <c r="Y66" s="16">
        <v>6.6000000000000003E-2</v>
      </c>
      <c r="Z66" s="16">
        <v>0.26400000000000001</v>
      </c>
      <c r="AA66" s="15">
        <v>1.9</v>
      </c>
      <c r="AB66" s="17">
        <v>1188</v>
      </c>
      <c r="AC66" s="15">
        <v>1.1000000000000001</v>
      </c>
      <c r="AD66" s="15">
        <v>3.6</v>
      </c>
      <c r="AE66" s="17">
        <v>22</v>
      </c>
      <c r="AF66" s="15">
        <v>29.2</v>
      </c>
      <c r="AG66" s="16">
        <v>1.992</v>
      </c>
      <c r="AH66" s="16">
        <v>6.8000000000000005E-2</v>
      </c>
      <c r="AI66" s="15">
        <v>0</v>
      </c>
      <c r="AJ66" s="17">
        <v>23</v>
      </c>
      <c r="AK66" s="15">
        <v>330.8</v>
      </c>
      <c r="AL66" s="16">
        <v>7.351</v>
      </c>
      <c r="AM66" s="16">
        <v>2.1999999999999999E-2</v>
      </c>
      <c r="AN66" s="15">
        <v>124.1</v>
      </c>
      <c r="AO66" s="309"/>
      <c r="AP66" s="309"/>
      <c r="AQ66" s="309"/>
      <c r="AR66" s="309"/>
      <c r="AS66" s="18"/>
      <c r="AT66" s="18">
        <f>Table2[[#This Row],[Object_A_._head_time]]+Table2[[#This Row],[Object_B_._head_time]]</f>
        <v>57.8</v>
      </c>
      <c r="AU66" s="18">
        <f>Table2[[#This Row],[Object_B_._head_time]]-Table2[[#This Row],[Object_A_._head_time]]</f>
        <v>-29.400000000000002</v>
      </c>
      <c r="AV66" s="19">
        <f>Table2[[#This Row],[D1: Absolute discrimination measure (D1 = B2- A2)]]/Table2[[#This Row],[E2: total exploration time in second trial E2 ( E2 = A2 + B2)]]</f>
        <v>-0.50865051903114189</v>
      </c>
      <c r="AW66" s="309">
        <f t="shared" si="0"/>
        <v>0.24567474048442905</v>
      </c>
      <c r="AX66" s="18"/>
      <c r="AY66" s="14" t="s">
        <v>486</v>
      </c>
      <c r="AZ66" s="14" t="s">
        <v>476</v>
      </c>
      <c r="BA66" s="14" t="s">
        <v>475</v>
      </c>
      <c r="BB66" s="17">
        <v>151</v>
      </c>
      <c r="BC66" s="15">
        <v>5.0333333333333332</v>
      </c>
      <c r="BD66" s="14" t="s">
        <v>474</v>
      </c>
      <c r="BE66" s="28">
        <v>5</v>
      </c>
      <c r="BF66" s="14"/>
      <c r="BG66" s="270"/>
      <c r="BH66" s="270"/>
      <c r="BI66" s="270"/>
      <c r="BJ66" s="270"/>
      <c r="BK66" s="270"/>
      <c r="BL66" s="270"/>
      <c r="BM66" s="270"/>
      <c r="BN66" s="270"/>
      <c r="BO66" s="270"/>
      <c r="BP66" s="270"/>
      <c r="BQ66" s="270"/>
      <c r="BR66" s="270"/>
      <c r="BS66" s="270"/>
      <c r="BT66" s="270"/>
      <c r="BU66" s="270"/>
      <c r="BV66" s="270"/>
      <c r="BW66" s="270"/>
      <c r="BX66" s="270"/>
      <c r="BY66" s="270"/>
      <c r="BZ66" s="270"/>
      <c r="CA66" s="270"/>
      <c r="CB66" s="270"/>
      <c r="CC66" s="270"/>
      <c r="CD66" s="270"/>
      <c r="CE66" s="270"/>
      <c r="CF66" s="270"/>
      <c r="CG66" s="270"/>
      <c r="CH66" s="270"/>
      <c r="CI66" s="270"/>
      <c r="CJ66" s="270"/>
      <c r="CK66" s="270"/>
      <c r="CL66" s="270"/>
      <c r="CM66" s="270"/>
      <c r="CN66" s="270"/>
      <c r="CO66" s="270"/>
      <c r="CP66" s="270"/>
      <c r="CQ66" s="270"/>
      <c r="CR66" s="270"/>
      <c r="CS66" s="270"/>
      <c r="CT66" s="270"/>
      <c r="CU66" s="274"/>
    </row>
    <row r="67" spans="1:99" s="275" customFormat="1" ht="12" customHeight="1" x14ac:dyDescent="0.2">
      <c r="A67" s="14">
        <v>109</v>
      </c>
      <c r="B67" s="14" t="s">
        <v>103</v>
      </c>
      <c r="C67" s="14" t="s">
        <v>150</v>
      </c>
      <c r="D67" s="14" t="s">
        <v>49</v>
      </c>
      <c r="E67" s="14" t="s">
        <v>331</v>
      </c>
      <c r="F67" s="14" t="s">
        <v>361</v>
      </c>
      <c r="G67" s="14" t="s">
        <v>364</v>
      </c>
      <c r="H67" s="15">
        <v>360</v>
      </c>
      <c r="I67" s="16">
        <v>6.4550000000000001</v>
      </c>
      <c r="J67" s="16">
        <v>1.7999999999999999E-2</v>
      </c>
      <c r="K67" s="16">
        <v>0.28000000000000003</v>
      </c>
      <c r="L67" s="15">
        <v>132.1</v>
      </c>
      <c r="M67" s="17">
        <v>37</v>
      </c>
      <c r="N67" s="15">
        <v>68.599999999999994</v>
      </c>
      <c r="O67" s="16">
        <v>0.754</v>
      </c>
      <c r="P67" s="16">
        <v>1.0999999999999999E-2</v>
      </c>
      <c r="Q67" s="16">
        <v>0.27600000000000002</v>
      </c>
      <c r="R67" s="15">
        <v>28</v>
      </c>
      <c r="S67" s="17">
        <v>4560</v>
      </c>
      <c r="T67" s="15">
        <v>33.5</v>
      </c>
      <c r="U67" s="15">
        <v>54</v>
      </c>
      <c r="V67" s="17">
        <v>19</v>
      </c>
      <c r="W67" s="15">
        <v>19.8</v>
      </c>
      <c r="X67" s="16">
        <v>0.58799999999999997</v>
      </c>
      <c r="Y67" s="16">
        <v>0.03</v>
      </c>
      <c r="Z67" s="16">
        <v>0.26400000000000001</v>
      </c>
      <c r="AA67" s="15">
        <v>14.2</v>
      </c>
      <c r="AB67" s="17">
        <v>1875</v>
      </c>
      <c r="AC67" s="15">
        <v>2.6</v>
      </c>
      <c r="AD67" s="15">
        <v>13.1</v>
      </c>
      <c r="AE67" s="17">
        <v>11</v>
      </c>
      <c r="AF67" s="15">
        <v>67.2</v>
      </c>
      <c r="AG67" s="16">
        <v>1.47</v>
      </c>
      <c r="AH67" s="16">
        <v>2.1999999999999999E-2</v>
      </c>
      <c r="AI67" s="15">
        <v>16.7</v>
      </c>
      <c r="AJ67" s="17">
        <v>12</v>
      </c>
      <c r="AK67" s="15">
        <v>292.8</v>
      </c>
      <c r="AL67" s="16">
        <v>4.9850000000000003</v>
      </c>
      <c r="AM67" s="16">
        <v>1.7000000000000001E-2</v>
      </c>
      <c r="AN67" s="15">
        <v>115.4</v>
      </c>
      <c r="AO67" s="309"/>
      <c r="AP67" s="309"/>
      <c r="AQ67" s="309"/>
      <c r="AR67" s="309"/>
      <c r="AS67" s="18"/>
      <c r="AT67" s="18">
        <f>Table2[[#This Row],[Object_A_._head_time]]+Table2[[#This Row],[Object_B_._head_time]]</f>
        <v>88.399999999999991</v>
      </c>
      <c r="AU67" s="18">
        <f>Table2[[#This Row],[Object_B_._head_time]]-Table2[[#This Row],[Object_A_._head_time]]</f>
        <v>-48.8</v>
      </c>
      <c r="AV67" s="19">
        <f>Table2[[#This Row],[D1: Absolute discrimination measure (D1 = B2- A2)]]/Table2[[#This Row],[E2: total exploration time in second trial E2 ( E2 = A2 + B2)]]</f>
        <v>-0.55203619909502266</v>
      </c>
      <c r="AW67" s="309">
        <f t="shared" si="0"/>
        <v>0.22398190045248872</v>
      </c>
      <c r="AX67" s="18"/>
      <c r="AY67" s="14" t="s">
        <v>486</v>
      </c>
      <c r="AZ67" s="14" t="s">
        <v>476</v>
      </c>
      <c r="BA67" s="14" t="s">
        <v>475</v>
      </c>
      <c r="BB67" s="17">
        <v>151</v>
      </c>
      <c r="BC67" s="15">
        <v>5.0333333333333332</v>
      </c>
      <c r="BD67" s="14" t="s">
        <v>477</v>
      </c>
      <c r="BE67" s="28">
        <v>6</v>
      </c>
      <c r="BF67" s="14"/>
      <c r="BG67" s="270"/>
      <c r="BH67" s="270"/>
      <c r="BI67" s="270"/>
      <c r="BJ67" s="270"/>
      <c r="BK67" s="270"/>
      <c r="BL67" s="270"/>
      <c r="BM67" s="270"/>
      <c r="BN67" s="270"/>
      <c r="BO67" s="270"/>
      <c r="BP67" s="270"/>
      <c r="BQ67" s="270"/>
      <c r="BR67" s="270"/>
      <c r="BS67" s="270"/>
      <c r="BT67" s="270"/>
      <c r="BU67" s="270"/>
      <c r="BV67" s="270"/>
      <c r="BW67" s="270"/>
      <c r="BX67" s="270"/>
      <c r="BY67" s="270"/>
      <c r="BZ67" s="270"/>
      <c r="CA67" s="270"/>
      <c r="CB67" s="270"/>
      <c r="CC67" s="270"/>
      <c r="CD67" s="270"/>
      <c r="CE67" s="270"/>
      <c r="CF67" s="270"/>
      <c r="CG67" s="270"/>
      <c r="CH67" s="270"/>
      <c r="CI67" s="270"/>
      <c r="CJ67" s="270"/>
      <c r="CK67" s="270"/>
      <c r="CL67" s="270"/>
      <c r="CM67" s="270"/>
      <c r="CN67" s="270"/>
      <c r="CO67" s="270"/>
      <c r="CP67" s="270"/>
      <c r="CQ67" s="270"/>
      <c r="CR67" s="270"/>
      <c r="CS67" s="270"/>
      <c r="CT67" s="270"/>
      <c r="CU67" s="274"/>
    </row>
    <row r="68" spans="1:99" s="275" customFormat="1" ht="12" customHeight="1" x14ac:dyDescent="0.2">
      <c r="A68" s="14">
        <v>110</v>
      </c>
      <c r="B68" s="14" t="s">
        <v>105</v>
      </c>
      <c r="C68" s="14" t="s">
        <v>150</v>
      </c>
      <c r="D68" s="14" t="s">
        <v>53</v>
      </c>
      <c r="E68" s="14" t="s">
        <v>331</v>
      </c>
      <c r="F68" s="14" t="s">
        <v>361</v>
      </c>
      <c r="G68" s="14" t="s">
        <v>365</v>
      </c>
      <c r="H68" s="15">
        <v>360</v>
      </c>
      <c r="I68" s="16">
        <v>6.1479999999999997</v>
      </c>
      <c r="J68" s="16">
        <v>1.7000000000000001E-2</v>
      </c>
      <c r="K68" s="16">
        <v>0.27900000000000003</v>
      </c>
      <c r="L68" s="15">
        <v>164.3</v>
      </c>
      <c r="M68" s="17">
        <v>34</v>
      </c>
      <c r="N68" s="15">
        <v>52.3</v>
      </c>
      <c r="O68" s="16">
        <v>0.505</v>
      </c>
      <c r="P68" s="16">
        <v>0.01</v>
      </c>
      <c r="Q68" s="16">
        <v>0.23799999999999999</v>
      </c>
      <c r="R68" s="15">
        <v>31.6</v>
      </c>
      <c r="S68" s="17">
        <v>3728</v>
      </c>
      <c r="T68" s="15">
        <v>28.3</v>
      </c>
      <c r="U68" s="15">
        <v>27.5</v>
      </c>
      <c r="V68" s="17">
        <v>14</v>
      </c>
      <c r="W68" s="15">
        <v>19.600000000000001</v>
      </c>
      <c r="X68" s="16">
        <v>0.55800000000000005</v>
      </c>
      <c r="Y68" s="16">
        <v>2.8000000000000001E-2</v>
      </c>
      <c r="Z68" s="16">
        <v>0.23200000000000001</v>
      </c>
      <c r="AA68" s="15">
        <v>5.2</v>
      </c>
      <c r="AB68" s="17">
        <v>1627</v>
      </c>
      <c r="AC68" s="15">
        <v>1.1000000000000001</v>
      </c>
      <c r="AD68" s="15">
        <v>7.7</v>
      </c>
      <c r="AE68" s="17">
        <v>5</v>
      </c>
      <c r="AF68" s="15">
        <v>11.9</v>
      </c>
      <c r="AG68" s="16">
        <v>0.72499999999999998</v>
      </c>
      <c r="AH68" s="16">
        <v>6.0999999999999999E-2</v>
      </c>
      <c r="AI68" s="15">
        <v>0</v>
      </c>
      <c r="AJ68" s="17">
        <v>5</v>
      </c>
      <c r="AK68" s="15">
        <v>348.1</v>
      </c>
      <c r="AL68" s="16">
        <v>5.423</v>
      </c>
      <c r="AM68" s="16">
        <v>1.6E-2</v>
      </c>
      <c r="AN68" s="15">
        <v>164.3</v>
      </c>
      <c r="AO68" s="309"/>
      <c r="AP68" s="309"/>
      <c r="AQ68" s="309"/>
      <c r="AR68" s="309"/>
      <c r="AS68" s="18"/>
      <c r="AT68" s="18">
        <f>Table2[[#This Row],[Object_A_._head_time]]+Table2[[#This Row],[Object_B_._head_time]]</f>
        <v>71.900000000000006</v>
      </c>
      <c r="AU68" s="18">
        <f>Table2[[#This Row],[Object_B_._head_time]]-Table2[[#This Row],[Object_A_._head_time]]</f>
        <v>-32.699999999999996</v>
      </c>
      <c r="AV68" s="19">
        <f>Table2[[#This Row],[D1: Absolute discrimination measure (D1 = B2- A2)]]/Table2[[#This Row],[E2: total exploration time in second trial E2 ( E2 = A2 + B2)]]</f>
        <v>-0.45479833101529893</v>
      </c>
      <c r="AW68" s="309">
        <f t="shared" si="0"/>
        <v>0.27260083449235051</v>
      </c>
      <c r="AX68" s="18"/>
      <c r="AY68" s="14" t="s">
        <v>486</v>
      </c>
      <c r="AZ68" s="14" t="s">
        <v>476</v>
      </c>
      <c r="BA68" s="14" t="s">
        <v>473</v>
      </c>
      <c r="BB68" s="17">
        <v>151</v>
      </c>
      <c r="BC68" s="15">
        <v>5.0333333333333332</v>
      </c>
      <c r="BD68" s="14" t="s">
        <v>477</v>
      </c>
      <c r="BE68" s="28">
        <v>8</v>
      </c>
      <c r="BF68" s="14"/>
      <c r="BG68" s="270"/>
      <c r="BH68" s="270"/>
      <c r="BI68" s="270"/>
      <c r="BJ68" s="270"/>
      <c r="BK68" s="270"/>
      <c r="BL68" s="270"/>
      <c r="BM68" s="270"/>
      <c r="BN68" s="270"/>
      <c r="BO68" s="270"/>
      <c r="BP68" s="270"/>
      <c r="BQ68" s="270"/>
      <c r="BR68" s="270"/>
      <c r="BS68" s="270"/>
      <c r="BT68" s="270"/>
      <c r="BU68" s="270"/>
      <c r="BV68" s="270"/>
      <c r="BW68" s="270"/>
      <c r="BX68" s="270"/>
      <c r="BY68" s="270"/>
      <c r="BZ68" s="270"/>
      <c r="CA68" s="270"/>
      <c r="CB68" s="270"/>
      <c r="CC68" s="270"/>
      <c r="CD68" s="270"/>
      <c r="CE68" s="270"/>
      <c r="CF68" s="270"/>
      <c r="CG68" s="270"/>
      <c r="CH68" s="270"/>
      <c r="CI68" s="270"/>
      <c r="CJ68" s="270"/>
      <c r="CK68" s="270"/>
      <c r="CL68" s="270"/>
      <c r="CM68" s="270"/>
      <c r="CN68" s="270"/>
      <c r="CO68" s="270"/>
      <c r="CP68" s="270"/>
      <c r="CQ68" s="270"/>
      <c r="CR68" s="270"/>
      <c r="CS68" s="270"/>
      <c r="CT68" s="270"/>
      <c r="CU68" s="274"/>
    </row>
    <row r="69" spans="1:99" s="275" customFormat="1" ht="12" customHeight="1" x14ac:dyDescent="0.2">
      <c r="A69" s="14">
        <v>112</v>
      </c>
      <c r="B69" s="14" t="s">
        <v>107</v>
      </c>
      <c r="C69" s="14" t="s">
        <v>150</v>
      </c>
      <c r="D69" s="14" t="s">
        <v>41</v>
      </c>
      <c r="E69" s="14" t="s">
        <v>331</v>
      </c>
      <c r="F69" s="14" t="s">
        <v>366</v>
      </c>
      <c r="G69" s="14" t="s">
        <v>367</v>
      </c>
      <c r="H69" s="15">
        <v>360</v>
      </c>
      <c r="I69" s="16">
        <v>5.1550000000000002</v>
      </c>
      <c r="J69" s="16">
        <v>1.4E-2</v>
      </c>
      <c r="K69" s="16">
        <v>0.215</v>
      </c>
      <c r="L69" s="15">
        <v>129.30000000000001</v>
      </c>
      <c r="M69" s="17">
        <v>8</v>
      </c>
      <c r="N69" s="15">
        <v>12.6</v>
      </c>
      <c r="O69" s="16">
        <v>0.57499999999999996</v>
      </c>
      <c r="P69" s="16">
        <v>4.5999999999999999E-2</v>
      </c>
      <c r="Q69" s="16">
        <v>0.188</v>
      </c>
      <c r="R69" s="15">
        <v>5.3</v>
      </c>
      <c r="S69" s="17">
        <v>1048</v>
      </c>
      <c r="T69" s="15">
        <v>0</v>
      </c>
      <c r="U69" s="15">
        <v>3.2</v>
      </c>
      <c r="V69" s="17">
        <v>6</v>
      </c>
      <c r="W69" s="15">
        <v>13.9</v>
      </c>
      <c r="X69" s="16">
        <v>0.42499999999999999</v>
      </c>
      <c r="Y69" s="16">
        <v>0.03</v>
      </c>
      <c r="Z69" s="16">
        <v>0.16200000000000001</v>
      </c>
      <c r="AA69" s="15">
        <v>4.5999999999999996</v>
      </c>
      <c r="AB69" s="17">
        <v>853</v>
      </c>
      <c r="AC69" s="15">
        <v>0</v>
      </c>
      <c r="AD69" s="15">
        <v>2.9</v>
      </c>
      <c r="AE69" s="17">
        <v>7</v>
      </c>
      <c r="AF69" s="15">
        <v>34.9</v>
      </c>
      <c r="AG69" s="16">
        <v>0.78400000000000003</v>
      </c>
      <c r="AH69" s="16">
        <v>2.1999999999999999E-2</v>
      </c>
      <c r="AI69" s="15">
        <v>7</v>
      </c>
      <c r="AJ69" s="17">
        <v>7</v>
      </c>
      <c r="AK69" s="15">
        <v>325.10000000000002</v>
      </c>
      <c r="AL69" s="16">
        <v>4.3719999999999999</v>
      </c>
      <c r="AM69" s="16">
        <v>1.2999999999999999E-2</v>
      </c>
      <c r="AN69" s="15">
        <v>122.3</v>
      </c>
      <c r="AO69" s="309"/>
      <c r="AP69" s="309"/>
      <c r="AQ69" s="309"/>
      <c r="AR69" s="309"/>
      <c r="AS69" s="18"/>
      <c r="AT69" s="18">
        <f>Table2[[#This Row],[Object_A_._head_time]]+Table2[[#This Row],[Object_B_._head_time]]</f>
        <v>26.5</v>
      </c>
      <c r="AU69" s="18">
        <f>Table2[[#This Row],[Object_B_._head_time]]-Table2[[#This Row],[Object_A_._head_time]]</f>
        <v>1.3000000000000007</v>
      </c>
      <c r="AV69" s="19">
        <f>Table2[[#This Row],[D1: Absolute discrimination measure (D1 = B2- A2)]]/Table2[[#This Row],[E2: total exploration time in second trial E2 ( E2 = A2 + B2)]]</f>
        <v>4.9056603773584929E-2</v>
      </c>
      <c r="AW69" s="309">
        <f t="shared" si="0"/>
        <v>0.52452830188679245</v>
      </c>
      <c r="AX69" s="18"/>
      <c r="AY69" s="14" t="s">
        <v>486</v>
      </c>
      <c r="AZ69" s="14" t="s">
        <v>476</v>
      </c>
      <c r="BA69" s="14" t="s">
        <v>475</v>
      </c>
      <c r="BB69" s="17">
        <v>151</v>
      </c>
      <c r="BC69" s="15">
        <v>5.0333333333333332</v>
      </c>
      <c r="BD69" s="14" t="s">
        <v>474</v>
      </c>
      <c r="BE69" s="28">
        <v>5</v>
      </c>
      <c r="BF69" s="14" t="s">
        <v>464</v>
      </c>
      <c r="BG69" s="270"/>
      <c r="BH69" s="270"/>
      <c r="BI69" s="270"/>
      <c r="BJ69" s="270"/>
      <c r="BK69" s="270"/>
      <c r="BL69" s="270"/>
      <c r="BM69" s="270"/>
      <c r="BN69" s="270"/>
      <c r="BO69" s="270"/>
      <c r="BP69" s="270"/>
      <c r="BQ69" s="270"/>
      <c r="BR69" s="270"/>
      <c r="BS69" s="270"/>
      <c r="BT69" s="270"/>
      <c r="BU69" s="270"/>
      <c r="BV69" s="270"/>
      <c r="BW69" s="270"/>
      <c r="BX69" s="270"/>
      <c r="BY69" s="270"/>
      <c r="BZ69" s="270"/>
      <c r="CA69" s="270"/>
      <c r="CB69" s="270"/>
      <c r="CC69" s="270"/>
      <c r="CD69" s="270"/>
      <c r="CE69" s="270"/>
      <c r="CF69" s="270"/>
      <c r="CG69" s="270"/>
      <c r="CH69" s="270"/>
      <c r="CI69" s="270"/>
      <c r="CJ69" s="270"/>
      <c r="CK69" s="270"/>
      <c r="CL69" s="270"/>
      <c r="CM69" s="270"/>
      <c r="CN69" s="270"/>
      <c r="CO69" s="270"/>
      <c r="CP69" s="270"/>
      <c r="CQ69" s="270"/>
      <c r="CR69" s="270"/>
      <c r="CS69" s="270"/>
      <c r="CT69" s="270"/>
      <c r="CU69" s="274"/>
    </row>
    <row r="70" spans="1:99" s="275" customFormat="1" ht="12" customHeight="1" x14ac:dyDescent="0.2">
      <c r="A70" s="14">
        <v>111</v>
      </c>
      <c r="B70" s="14" t="s">
        <v>109</v>
      </c>
      <c r="C70" s="14" t="s">
        <v>150</v>
      </c>
      <c r="D70" s="14" t="s">
        <v>46</v>
      </c>
      <c r="E70" s="14" t="s">
        <v>331</v>
      </c>
      <c r="F70" s="14" t="s">
        <v>168</v>
      </c>
      <c r="G70" s="14" t="s">
        <v>368</v>
      </c>
      <c r="H70" s="15">
        <v>360</v>
      </c>
      <c r="I70" s="16">
        <v>9.7070000000000007</v>
      </c>
      <c r="J70" s="16">
        <v>2.7E-2</v>
      </c>
      <c r="K70" s="16">
        <v>0.22700000000000001</v>
      </c>
      <c r="L70" s="15">
        <v>105</v>
      </c>
      <c r="M70" s="17">
        <v>26</v>
      </c>
      <c r="N70" s="15">
        <v>48.2</v>
      </c>
      <c r="O70" s="16">
        <v>1.875</v>
      </c>
      <c r="P70" s="16">
        <v>3.9E-2</v>
      </c>
      <c r="Q70" s="16">
        <v>0.22600000000000001</v>
      </c>
      <c r="R70" s="15">
        <v>6.9</v>
      </c>
      <c r="S70" s="17">
        <v>3780</v>
      </c>
      <c r="T70" s="15">
        <v>1.1000000000000001</v>
      </c>
      <c r="U70" s="15">
        <v>5.7</v>
      </c>
      <c r="V70" s="17">
        <v>19</v>
      </c>
      <c r="W70" s="15">
        <v>23</v>
      </c>
      <c r="X70" s="16">
        <v>1.4830000000000001</v>
      </c>
      <c r="Y70" s="16">
        <v>6.4000000000000001E-2</v>
      </c>
      <c r="Z70" s="16">
        <v>0.19600000000000001</v>
      </c>
      <c r="AA70" s="15">
        <v>7.4</v>
      </c>
      <c r="AB70" s="17">
        <v>1850</v>
      </c>
      <c r="AC70" s="15">
        <v>0</v>
      </c>
      <c r="AD70" s="15">
        <v>5.4</v>
      </c>
      <c r="AE70" s="17">
        <v>27</v>
      </c>
      <c r="AF70" s="15">
        <v>51.2</v>
      </c>
      <c r="AG70" s="16">
        <v>3.2280000000000002</v>
      </c>
      <c r="AH70" s="16">
        <v>6.3E-2</v>
      </c>
      <c r="AI70" s="15">
        <v>0</v>
      </c>
      <c r="AJ70" s="17">
        <v>28</v>
      </c>
      <c r="AK70" s="15">
        <v>308.8</v>
      </c>
      <c r="AL70" s="16">
        <v>6.4779999999999998</v>
      </c>
      <c r="AM70" s="16">
        <v>2.1000000000000001E-2</v>
      </c>
      <c r="AN70" s="15">
        <v>105</v>
      </c>
      <c r="AO70" s="309"/>
      <c r="AP70" s="309"/>
      <c r="AQ70" s="309"/>
      <c r="AR70" s="309"/>
      <c r="AS70" s="18"/>
      <c r="AT70" s="18">
        <f>Table2[[#This Row],[Object_A_._head_time]]+Table2[[#This Row],[Object_B_._head_time]]</f>
        <v>71.2</v>
      </c>
      <c r="AU70" s="18">
        <f>Table2[[#This Row],[Object_B_._head_time]]-Table2[[#This Row],[Object_A_._head_time]]</f>
        <v>-25.200000000000003</v>
      </c>
      <c r="AV70" s="19">
        <f>Table2[[#This Row],[D1: Absolute discrimination measure (D1 = B2- A2)]]/Table2[[#This Row],[E2: total exploration time in second trial E2 ( E2 = A2 + B2)]]</f>
        <v>-0.35393258426966295</v>
      </c>
      <c r="AW70" s="309">
        <f t="shared" si="0"/>
        <v>0.32303370786516855</v>
      </c>
      <c r="AX70" s="18"/>
      <c r="AY70" s="14" t="s">
        <v>486</v>
      </c>
      <c r="AZ70" s="14" t="s">
        <v>476</v>
      </c>
      <c r="BA70" s="14" t="s">
        <v>473</v>
      </c>
      <c r="BB70" s="17">
        <v>151</v>
      </c>
      <c r="BC70" s="15">
        <v>5.0333333333333332</v>
      </c>
      <c r="BD70" s="14" t="s">
        <v>474</v>
      </c>
      <c r="BE70" s="28">
        <v>7</v>
      </c>
      <c r="BF70" s="14"/>
      <c r="BG70" s="270"/>
      <c r="BH70" s="270"/>
      <c r="BI70" s="270"/>
      <c r="BJ70" s="270"/>
      <c r="BK70" s="270"/>
      <c r="BL70" s="270"/>
      <c r="BM70" s="270"/>
      <c r="BN70" s="270"/>
      <c r="BO70" s="270"/>
      <c r="BP70" s="270"/>
      <c r="BQ70" s="270"/>
      <c r="BR70" s="270"/>
      <c r="BS70" s="270"/>
      <c r="BT70" s="270"/>
      <c r="BU70" s="270"/>
      <c r="BV70" s="270"/>
      <c r="BW70" s="270"/>
      <c r="BX70" s="270"/>
      <c r="BY70" s="270"/>
      <c r="BZ70" s="270"/>
      <c r="CA70" s="270"/>
      <c r="CB70" s="270"/>
      <c r="CC70" s="270"/>
      <c r="CD70" s="270"/>
      <c r="CE70" s="270"/>
      <c r="CF70" s="270"/>
      <c r="CG70" s="270"/>
      <c r="CH70" s="270"/>
      <c r="CI70" s="270"/>
      <c r="CJ70" s="270"/>
      <c r="CK70" s="270"/>
      <c r="CL70" s="270"/>
      <c r="CM70" s="270"/>
      <c r="CN70" s="270"/>
      <c r="CO70" s="270"/>
      <c r="CP70" s="270"/>
      <c r="CQ70" s="270"/>
      <c r="CR70" s="270"/>
      <c r="CS70" s="270"/>
      <c r="CT70" s="270"/>
      <c r="CU70" s="274"/>
    </row>
    <row r="71" spans="1:99" s="275" customFormat="1" ht="12" customHeight="1" x14ac:dyDescent="0.2">
      <c r="A71" s="14">
        <v>113</v>
      </c>
      <c r="B71" s="14" t="s">
        <v>112</v>
      </c>
      <c r="C71" s="14" t="s">
        <v>150</v>
      </c>
      <c r="D71" s="14" t="s">
        <v>49</v>
      </c>
      <c r="E71" s="14" t="s">
        <v>331</v>
      </c>
      <c r="F71" s="14" t="s">
        <v>366</v>
      </c>
      <c r="G71" s="14" t="s">
        <v>369</v>
      </c>
      <c r="H71" s="15">
        <v>360</v>
      </c>
      <c r="I71" s="16">
        <v>4.3310000000000004</v>
      </c>
      <c r="J71" s="16">
        <v>1.2E-2</v>
      </c>
      <c r="K71" s="16">
        <v>0.223</v>
      </c>
      <c r="L71" s="15">
        <v>101.7</v>
      </c>
      <c r="M71" s="17">
        <v>43</v>
      </c>
      <c r="N71" s="15">
        <v>128</v>
      </c>
      <c r="O71" s="16">
        <v>0.70899999999999996</v>
      </c>
      <c r="P71" s="16">
        <v>6.0000000000000001E-3</v>
      </c>
      <c r="Q71" s="16">
        <v>0.191</v>
      </c>
      <c r="R71" s="15">
        <v>21.1</v>
      </c>
      <c r="S71" s="17">
        <v>5115</v>
      </c>
      <c r="T71" s="15">
        <v>31.7</v>
      </c>
      <c r="U71" s="15">
        <v>96</v>
      </c>
      <c r="V71" s="17">
        <v>8</v>
      </c>
      <c r="W71" s="15">
        <v>9.4</v>
      </c>
      <c r="X71" s="16">
        <v>0.51600000000000001</v>
      </c>
      <c r="Y71" s="16">
        <v>5.5E-2</v>
      </c>
      <c r="Z71" s="16">
        <v>0.20300000000000001</v>
      </c>
      <c r="AA71" s="15">
        <v>2.9</v>
      </c>
      <c r="AB71" s="17">
        <v>705</v>
      </c>
      <c r="AC71" s="15">
        <v>0</v>
      </c>
      <c r="AD71" s="15">
        <v>2.1</v>
      </c>
      <c r="AE71" s="17">
        <v>5</v>
      </c>
      <c r="AF71" s="15">
        <v>17.899999999999999</v>
      </c>
      <c r="AG71" s="16">
        <v>1.21</v>
      </c>
      <c r="AH71" s="16">
        <v>6.8000000000000005E-2</v>
      </c>
      <c r="AI71" s="15">
        <v>0</v>
      </c>
      <c r="AJ71" s="17">
        <v>6</v>
      </c>
      <c r="AK71" s="15">
        <v>342.1</v>
      </c>
      <c r="AL71" s="16">
        <v>3.121</v>
      </c>
      <c r="AM71" s="16">
        <v>8.9999999999999993E-3</v>
      </c>
      <c r="AN71" s="15">
        <v>101.7</v>
      </c>
      <c r="AO71" s="309"/>
      <c r="AP71" s="309"/>
      <c r="AQ71" s="309"/>
      <c r="AR71" s="309"/>
      <c r="AS71" s="18"/>
      <c r="AT71" s="18">
        <f>Table2[[#This Row],[Object_A_._head_time]]+Table2[[#This Row],[Object_B_._head_time]]</f>
        <v>137.4</v>
      </c>
      <c r="AU71" s="18">
        <f>Table2[[#This Row],[Object_B_._head_time]]-Table2[[#This Row],[Object_A_._head_time]]</f>
        <v>-118.6</v>
      </c>
      <c r="AV71" s="19">
        <f>Table2[[#This Row],[D1: Absolute discrimination measure (D1 = B2- A2)]]/Table2[[#This Row],[E2: total exploration time in second trial E2 ( E2 = A2 + B2)]]</f>
        <v>-0.86317321688500726</v>
      </c>
      <c r="AW71" s="309">
        <f t="shared" si="0"/>
        <v>6.8413391557496359E-2</v>
      </c>
      <c r="AX71" s="18"/>
      <c r="AY71" s="14" t="s">
        <v>487</v>
      </c>
      <c r="AZ71" s="14" t="s">
        <v>476</v>
      </c>
      <c r="BA71" s="14" t="s">
        <v>475</v>
      </c>
      <c r="BB71" s="17">
        <v>151</v>
      </c>
      <c r="BC71" s="15">
        <v>5.0333333333333332</v>
      </c>
      <c r="BD71" s="14" t="s">
        <v>477</v>
      </c>
      <c r="BE71" s="28">
        <v>6</v>
      </c>
      <c r="BF71" s="14"/>
      <c r="BG71" s="270"/>
      <c r="BH71" s="270"/>
      <c r="BI71" s="270"/>
      <c r="BJ71" s="270"/>
      <c r="BK71" s="270"/>
      <c r="BL71" s="270"/>
      <c r="BM71" s="270"/>
      <c r="BN71" s="270"/>
      <c r="BO71" s="270"/>
      <c r="BP71" s="270"/>
      <c r="BQ71" s="270"/>
      <c r="BR71" s="270"/>
      <c r="BS71" s="270"/>
      <c r="BT71" s="270"/>
      <c r="BU71" s="270"/>
      <c r="BV71" s="270"/>
      <c r="BW71" s="270"/>
      <c r="BX71" s="270"/>
      <c r="BY71" s="270"/>
      <c r="BZ71" s="270"/>
      <c r="CA71" s="270"/>
      <c r="CB71" s="270"/>
      <c r="CC71" s="270"/>
      <c r="CD71" s="270"/>
      <c r="CE71" s="270"/>
      <c r="CF71" s="270"/>
      <c r="CG71" s="270"/>
      <c r="CH71" s="270"/>
      <c r="CI71" s="270"/>
      <c r="CJ71" s="270"/>
      <c r="CK71" s="270"/>
      <c r="CL71" s="270"/>
      <c r="CM71" s="270"/>
      <c r="CN71" s="270"/>
      <c r="CO71" s="270"/>
      <c r="CP71" s="270"/>
      <c r="CQ71" s="270"/>
      <c r="CR71" s="270"/>
      <c r="CS71" s="270"/>
      <c r="CT71" s="270"/>
      <c r="CU71" s="274"/>
    </row>
    <row r="72" spans="1:99" s="275" customFormat="1" ht="12" customHeight="1" x14ac:dyDescent="0.2">
      <c r="A72" s="14">
        <v>114</v>
      </c>
      <c r="B72" s="14" t="s">
        <v>114</v>
      </c>
      <c r="C72" s="14" t="s">
        <v>150</v>
      </c>
      <c r="D72" s="14" t="s">
        <v>53</v>
      </c>
      <c r="E72" s="14" t="s">
        <v>331</v>
      </c>
      <c r="F72" s="14" t="s">
        <v>366</v>
      </c>
      <c r="G72" s="14" t="s">
        <v>370</v>
      </c>
      <c r="H72" s="15">
        <v>360</v>
      </c>
      <c r="I72" s="16">
        <v>11.701000000000001</v>
      </c>
      <c r="J72" s="16">
        <v>3.3000000000000002E-2</v>
      </c>
      <c r="K72" s="16">
        <v>0.33600000000000002</v>
      </c>
      <c r="L72" s="15">
        <v>21.9</v>
      </c>
      <c r="M72" s="17">
        <v>28</v>
      </c>
      <c r="N72" s="15">
        <v>17.399999999999999</v>
      </c>
      <c r="O72" s="16">
        <v>1.232</v>
      </c>
      <c r="P72" s="16">
        <v>7.0999999999999994E-2</v>
      </c>
      <c r="Q72" s="16">
        <v>0.33600000000000002</v>
      </c>
      <c r="R72" s="15">
        <v>4.2</v>
      </c>
      <c r="S72" s="17">
        <v>1568</v>
      </c>
      <c r="T72" s="15">
        <v>0</v>
      </c>
      <c r="U72" s="15">
        <v>8.6999999999999993</v>
      </c>
      <c r="V72" s="17">
        <v>29</v>
      </c>
      <c r="W72" s="15">
        <v>27.1</v>
      </c>
      <c r="X72" s="16">
        <v>1.87</v>
      </c>
      <c r="Y72" s="16">
        <v>6.9000000000000006E-2</v>
      </c>
      <c r="Z72" s="16">
        <v>0.308</v>
      </c>
      <c r="AA72" s="15">
        <v>6.8</v>
      </c>
      <c r="AB72" s="17">
        <v>2276</v>
      </c>
      <c r="AC72" s="15">
        <v>0</v>
      </c>
      <c r="AD72" s="15">
        <v>5.6</v>
      </c>
      <c r="AE72" s="17">
        <v>20</v>
      </c>
      <c r="AF72" s="15">
        <v>29.2</v>
      </c>
      <c r="AG72" s="16">
        <v>2.76</v>
      </c>
      <c r="AH72" s="16">
        <v>9.4E-2</v>
      </c>
      <c r="AI72" s="15">
        <v>0</v>
      </c>
      <c r="AJ72" s="17">
        <v>21</v>
      </c>
      <c r="AK72" s="15">
        <v>330.8</v>
      </c>
      <c r="AL72" s="16">
        <v>8.9410000000000007</v>
      </c>
      <c r="AM72" s="16">
        <v>2.7E-2</v>
      </c>
      <c r="AN72" s="15">
        <v>21.9</v>
      </c>
      <c r="AO72" s="309"/>
      <c r="AP72" s="309"/>
      <c r="AQ72" s="309"/>
      <c r="AR72" s="309"/>
      <c r="AS72" s="18"/>
      <c r="AT72" s="18">
        <f>Table2[[#This Row],[Object_A_._head_time]]+Table2[[#This Row],[Object_B_._head_time]]</f>
        <v>44.5</v>
      </c>
      <c r="AU72" s="18">
        <f>Table2[[#This Row],[Object_B_._head_time]]-Table2[[#This Row],[Object_A_._head_time]]</f>
        <v>9.7000000000000028</v>
      </c>
      <c r="AV72" s="19">
        <f>Table2[[#This Row],[D1: Absolute discrimination measure (D1 = B2- A2)]]/Table2[[#This Row],[E2: total exploration time in second trial E2 ( E2 = A2 + B2)]]</f>
        <v>0.21797752808988771</v>
      </c>
      <c r="AW72" s="309">
        <f t="shared" si="0"/>
        <v>0.60898876404494384</v>
      </c>
      <c r="AX72" s="18"/>
      <c r="AY72" s="14" t="s">
        <v>487</v>
      </c>
      <c r="AZ72" s="14" t="s">
        <v>476</v>
      </c>
      <c r="BA72" s="14" t="s">
        <v>473</v>
      </c>
      <c r="BB72" s="17">
        <v>151</v>
      </c>
      <c r="BC72" s="15">
        <v>5.0333333333333332</v>
      </c>
      <c r="BD72" s="14" t="s">
        <v>477</v>
      </c>
      <c r="BE72" s="28">
        <v>8</v>
      </c>
      <c r="BF72" s="14"/>
      <c r="BG72" s="270"/>
      <c r="BH72" s="270"/>
      <c r="BI72" s="270"/>
      <c r="BJ72" s="270"/>
      <c r="BK72" s="270"/>
      <c r="BL72" s="270"/>
      <c r="BM72" s="270"/>
      <c r="BN72" s="270"/>
      <c r="BO72" s="270"/>
      <c r="BP72" s="270"/>
      <c r="BQ72" s="270"/>
      <c r="BR72" s="270"/>
      <c r="BS72" s="270"/>
      <c r="BT72" s="270"/>
      <c r="BU72" s="270"/>
      <c r="BV72" s="270"/>
      <c r="BW72" s="270"/>
      <c r="BX72" s="270"/>
      <c r="BY72" s="270"/>
      <c r="BZ72" s="270"/>
      <c r="CA72" s="270"/>
      <c r="CB72" s="270"/>
      <c r="CC72" s="270"/>
      <c r="CD72" s="270"/>
      <c r="CE72" s="270"/>
      <c r="CF72" s="270"/>
      <c r="CG72" s="270"/>
      <c r="CH72" s="270"/>
      <c r="CI72" s="270"/>
      <c r="CJ72" s="270"/>
      <c r="CK72" s="270"/>
      <c r="CL72" s="270"/>
      <c r="CM72" s="270"/>
      <c r="CN72" s="270"/>
      <c r="CO72" s="270"/>
      <c r="CP72" s="270"/>
      <c r="CQ72" s="270"/>
      <c r="CR72" s="270"/>
      <c r="CS72" s="270"/>
      <c r="CT72" s="270"/>
      <c r="CU72" s="274"/>
    </row>
    <row r="73" spans="1:99" s="275" customFormat="1" ht="12" customHeight="1" x14ac:dyDescent="0.2">
      <c r="A73" s="14">
        <v>116</v>
      </c>
      <c r="B73" s="14" t="s">
        <v>116</v>
      </c>
      <c r="C73" s="14" t="s">
        <v>150</v>
      </c>
      <c r="D73" s="14" t="s">
        <v>41</v>
      </c>
      <c r="E73" s="14" t="s">
        <v>331</v>
      </c>
      <c r="F73" s="14" t="s">
        <v>371</v>
      </c>
      <c r="G73" s="14" t="s">
        <v>372</v>
      </c>
      <c r="H73" s="15">
        <v>360</v>
      </c>
      <c r="I73" s="16">
        <v>7.1390000000000002</v>
      </c>
      <c r="J73" s="16">
        <v>0.02</v>
      </c>
      <c r="K73" s="16">
        <v>0.29299999999999998</v>
      </c>
      <c r="L73" s="15">
        <v>122.2</v>
      </c>
      <c r="M73" s="17">
        <v>11</v>
      </c>
      <c r="N73" s="15">
        <v>8.8000000000000007</v>
      </c>
      <c r="O73" s="16">
        <v>0.379</v>
      </c>
      <c r="P73" s="16">
        <v>4.2999999999999997E-2</v>
      </c>
      <c r="Q73" s="16">
        <v>0.21099999999999999</v>
      </c>
      <c r="R73" s="15">
        <v>0.9</v>
      </c>
      <c r="S73" s="17">
        <v>815</v>
      </c>
      <c r="T73" s="15">
        <v>0</v>
      </c>
      <c r="U73" s="15">
        <v>5.0999999999999996</v>
      </c>
      <c r="V73" s="17">
        <v>142</v>
      </c>
      <c r="W73" s="15">
        <v>104.3</v>
      </c>
      <c r="X73" s="16">
        <v>1.397</v>
      </c>
      <c r="Y73" s="16">
        <v>1.2999999999999999E-2</v>
      </c>
      <c r="Z73" s="16">
        <v>0.21299999999999999</v>
      </c>
      <c r="AA73" s="15">
        <v>49.7</v>
      </c>
      <c r="AB73" s="17">
        <v>9079</v>
      </c>
      <c r="AC73" s="15">
        <v>49.3</v>
      </c>
      <c r="AD73" s="15">
        <v>66.3</v>
      </c>
      <c r="AE73" s="17">
        <v>10</v>
      </c>
      <c r="AF73" s="15">
        <v>25.7</v>
      </c>
      <c r="AG73" s="16">
        <v>1.506</v>
      </c>
      <c r="AH73" s="16">
        <v>5.8999999999999997E-2</v>
      </c>
      <c r="AI73" s="15">
        <v>0</v>
      </c>
      <c r="AJ73" s="17">
        <v>11</v>
      </c>
      <c r="AK73" s="15">
        <v>334.3</v>
      </c>
      <c r="AL73" s="16">
        <v>5.633</v>
      </c>
      <c r="AM73" s="16">
        <v>1.7000000000000001E-2</v>
      </c>
      <c r="AN73" s="15">
        <v>122.2</v>
      </c>
      <c r="AO73" s="309"/>
      <c r="AP73" s="309"/>
      <c r="AQ73" s="309"/>
      <c r="AR73" s="309"/>
      <c r="AS73" s="18"/>
      <c r="AT73" s="18">
        <f>Table2[[#This Row],[Object_A_._head_time]]+Table2[[#This Row],[Object_B_._head_time]]</f>
        <v>113.1</v>
      </c>
      <c r="AU73" s="18">
        <f>Table2[[#This Row],[Object_B_._head_time]]-Table2[[#This Row],[Object_A_._head_time]]</f>
        <v>95.5</v>
      </c>
      <c r="AV73" s="19">
        <f>Table2[[#This Row],[D1: Absolute discrimination measure (D1 = B2- A2)]]/Table2[[#This Row],[E2: total exploration time in second trial E2 ( E2 = A2 + B2)]]</f>
        <v>0.84438549955791342</v>
      </c>
      <c r="AW73" s="309">
        <f t="shared" si="0"/>
        <v>0.92219274977895671</v>
      </c>
      <c r="AX73" s="18"/>
      <c r="AY73" s="14" t="s">
        <v>487</v>
      </c>
      <c r="AZ73" s="14" t="s">
        <v>476</v>
      </c>
      <c r="BA73" s="14" t="s">
        <v>473</v>
      </c>
      <c r="BB73" s="17">
        <v>151</v>
      </c>
      <c r="BC73" s="15">
        <v>5.0333333333333332</v>
      </c>
      <c r="BD73" s="14" t="s">
        <v>474</v>
      </c>
      <c r="BE73" s="28">
        <v>7</v>
      </c>
      <c r="BF73" s="14"/>
      <c r="BG73" s="270"/>
      <c r="BH73" s="270"/>
      <c r="BI73" s="270"/>
      <c r="BJ73" s="270"/>
      <c r="BK73" s="270"/>
      <c r="BL73" s="270"/>
      <c r="BM73" s="270"/>
      <c r="BN73" s="270"/>
      <c r="BO73" s="270"/>
      <c r="BP73" s="270"/>
      <c r="BQ73" s="270"/>
      <c r="BR73" s="270"/>
      <c r="BS73" s="270"/>
      <c r="BT73" s="270"/>
      <c r="BU73" s="270"/>
      <c r="BV73" s="270"/>
      <c r="BW73" s="270"/>
      <c r="BX73" s="270"/>
      <c r="BY73" s="270"/>
      <c r="BZ73" s="270"/>
      <c r="CA73" s="270"/>
      <c r="CB73" s="270"/>
      <c r="CC73" s="270"/>
      <c r="CD73" s="270"/>
      <c r="CE73" s="270"/>
      <c r="CF73" s="270"/>
      <c r="CG73" s="270"/>
      <c r="CH73" s="270"/>
      <c r="CI73" s="270"/>
      <c r="CJ73" s="270"/>
      <c r="CK73" s="270"/>
      <c r="CL73" s="270"/>
      <c r="CM73" s="270"/>
      <c r="CN73" s="270"/>
      <c r="CO73" s="270"/>
      <c r="CP73" s="270"/>
      <c r="CQ73" s="270"/>
      <c r="CR73" s="270"/>
      <c r="CS73" s="270"/>
      <c r="CT73" s="270"/>
      <c r="CU73" s="274"/>
    </row>
    <row r="74" spans="1:99" s="275" customFormat="1" ht="12" customHeight="1" x14ac:dyDescent="0.2">
      <c r="A74" s="14">
        <v>115</v>
      </c>
      <c r="B74" s="14" t="s">
        <v>118</v>
      </c>
      <c r="C74" s="14" t="s">
        <v>150</v>
      </c>
      <c r="D74" s="14" t="s">
        <v>46</v>
      </c>
      <c r="E74" s="14" t="s">
        <v>331</v>
      </c>
      <c r="F74" s="14" t="s">
        <v>371</v>
      </c>
      <c r="G74" s="14" t="s">
        <v>373</v>
      </c>
      <c r="H74" s="15">
        <v>360</v>
      </c>
      <c r="I74" s="16">
        <v>10.476000000000001</v>
      </c>
      <c r="J74" s="16">
        <v>2.9000000000000001E-2</v>
      </c>
      <c r="K74" s="16">
        <v>0.252</v>
      </c>
      <c r="L74" s="15">
        <v>61.1</v>
      </c>
      <c r="M74" s="17">
        <v>63</v>
      </c>
      <c r="N74" s="15">
        <v>64.099999999999994</v>
      </c>
      <c r="O74" s="16">
        <v>1.2310000000000001</v>
      </c>
      <c r="P74" s="16">
        <v>1.9E-2</v>
      </c>
      <c r="Q74" s="16">
        <v>0.222</v>
      </c>
      <c r="R74" s="15">
        <v>6.7</v>
      </c>
      <c r="S74" s="17">
        <v>6221</v>
      </c>
      <c r="T74" s="15">
        <v>10.1</v>
      </c>
      <c r="U74" s="15">
        <v>7</v>
      </c>
      <c r="V74" s="17">
        <v>21</v>
      </c>
      <c r="W74" s="15">
        <v>25.8</v>
      </c>
      <c r="X74" s="16">
        <v>1.137</v>
      </c>
      <c r="Y74" s="16">
        <v>4.3999999999999997E-2</v>
      </c>
      <c r="Z74" s="16">
        <v>0.20899999999999999</v>
      </c>
      <c r="AA74" s="15">
        <v>3.7</v>
      </c>
      <c r="AB74" s="17">
        <v>2571</v>
      </c>
      <c r="AC74" s="15">
        <v>0</v>
      </c>
      <c r="AD74" s="15">
        <v>3.6</v>
      </c>
      <c r="AE74" s="17">
        <v>19</v>
      </c>
      <c r="AF74" s="15">
        <v>61.2</v>
      </c>
      <c r="AG74" s="16">
        <v>1.6559999999999999</v>
      </c>
      <c r="AH74" s="16">
        <v>2.7E-2</v>
      </c>
      <c r="AI74" s="15">
        <v>12.6</v>
      </c>
      <c r="AJ74" s="17">
        <v>20</v>
      </c>
      <c r="AK74" s="15">
        <v>298.8</v>
      </c>
      <c r="AL74" s="16">
        <v>8.82</v>
      </c>
      <c r="AM74" s="16">
        <v>0.03</v>
      </c>
      <c r="AN74" s="15">
        <v>48.5</v>
      </c>
      <c r="AO74" s="309"/>
      <c r="AP74" s="309"/>
      <c r="AQ74" s="309"/>
      <c r="AR74" s="309"/>
      <c r="AS74" s="18"/>
      <c r="AT74" s="18">
        <f>Table2[[#This Row],[Object_A_._head_time]]+Table2[[#This Row],[Object_B_._head_time]]</f>
        <v>89.899999999999991</v>
      </c>
      <c r="AU74" s="18">
        <f>Table2[[#This Row],[Object_B_._head_time]]-Table2[[#This Row],[Object_A_._head_time]]</f>
        <v>-38.299999999999997</v>
      </c>
      <c r="AV74" s="19">
        <f>Table2[[#This Row],[D1: Absolute discrimination measure (D1 = B2- A2)]]/Table2[[#This Row],[E2: total exploration time in second trial E2 ( E2 = A2 + B2)]]</f>
        <v>-0.42602892102335932</v>
      </c>
      <c r="AW74" s="309">
        <f t="shared" si="0"/>
        <v>0.2869855394883204</v>
      </c>
      <c r="AX74" s="18"/>
      <c r="AY74" s="14" t="s">
        <v>487</v>
      </c>
      <c r="AZ74" s="14" t="s">
        <v>476</v>
      </c>
      <c r="BA74" s="14" t="s">
        <v>475</v>
      </c>
      <c r="BB74" s="17">
        <v>151</v>
      </c>
      <c r="BC74" s="15">
        <v>5.0333333333333332</v>
      </c>
      <c r="BD74" s="14" t="s">
        <v>474</v>
      </c>
      <c r="BE74" s="28">
        <v>5</v>
      </c>
      <c r="BF74" s="14" t="s">
        <v>465</v>
      </c>
      <c r="BG74" s="270"/>
      <c r="BH74" s="270"/>
      <c r="BI74" s="270"/>
      <c r="BJ74" s="270"/>
      <c r="BK74" s="270"/>
      <c r="BL74" s="270"/>
      <c r="BM74" s="270"/>
      <c r="BN74" s="270"/>
      <c r="BO74" s="270"/>
      <c r="BP74" s="270"/>
      <c r="BQ74" s="270"/>
      <c r="BR74" s="270"/>
      <c r="BS74" s="270"/>
      <c r="BT74" s="270"/>
      <c r="BU74" s="270"/>
      <c r="BV74" s="270"/>
      <c r="BW74" s="270"/>
      <c r="BX74" s="270"/>
      <c r="BY74" s="270"/>
      <c r="BZ74" s="270"/>
      <c r="CA74" s="270"/>
      <c r="CB74" s="270"/>
      <c r="CC74" s="270"/>
      <c r="CD74" s="270"/>
      <c r="CE74" s="270"/>
      <c r="CF74" s="270"/>
      <c r="CG74" s="270"/>
      <c r="CH74" s="270"/>
      <c r="CI74" s="270"/>
      <c r="CJ74" s="270"/>
      <c r="CK74" s="270"/>
      <c r="CL74" s="270"/>
      <c r="CM74" s="270"/>
      <c r="CN74" s="270"/>
      <c r="CO74" s="270"/>
      <c r="CP74" s="270"/>
      <c r="CQ74" s="270"/>
      <c r="CR74" s="270"/>
      <c r="CS74" s="270"/>
      <c r="CT74" s="270"/>
      <c r="CU74" s="274"/>
    </row>
    <row r="75" spans="1:99" s="275" customFormat="1" ht="12" customHeight="1" x14ac:dyDescent="0.2">
      <c r="A75" s="14">
        <v>118</v>
      </c>
      <c r="B75" s="14" t="s">
        <v>121</v>
      </c>
      <c r="C75" s="14" t="s">
        <v>150</v>
      </c>
      <c r="D75" s="14" t="s">
        <v>49</v>
      </c>
      <c r="E75" s="14" t="s">
        <v>331</v>
      </c>
      <c r="F75" s="14" t="s">
        <v>371</v>
      </c>
      <c r="G75" s="14" t="s">
        <v>374</v>
      </c>
      <c r="H75" s="15">
        <v>360</v>
      </c>
      <c r="I75" s="16">
        <v>11.92</v>
      </c>
      <c r="J75" s="16">
        <v>3.3000000000000002E-2</v>
      </c>
      <c r="K75" s="16">
        <v>0.375</v>
      </c>
      <c r="L75" s="15">
        <v>47.7</v>
      </c>
      <c r="M75" s="17">
        <v>35</v>
      </c>
      <c r="N75" s="15">
        <v>30.9</v>
      </c>
      <c r="O75" s="16">
        <v>1.4650000000000001</v>
      </c>
      <c r="P75" s="16">
        <v>4.7E-2</v>
      </c>
      <c r="Q75" s="16">
        <v>0.373</v>
      </c>
      <c r="R75" s="15">
        <v>6.2</v>
      </c>
      <c r="S75" s="17">
        <v>3176</v>
      </c>
      <c r="T75" s="15">
        <v>2.2000000000000002</v>
      </c>
      <c r="U75" s="15">
        <v>13.4</v>
      </c>
      <c r="V75" s="17">
        <v>44</v>
      </c>
      <c r="W75" s="15">
        <v>56.6</v>
      </c>
      <c r="X75" s="16">
        <v>1.0089999999999999</v>
      </c>
      <c r="Y75" s="16">
        <v>1.7999999999999999E-2</v>
      </c>
      <c r="Z75" s="16">
        <v>0.35</v>
      </c>
      <c r="AA75" s="15">
        <v>14.7</v>
      </c>
      <c r="AB75" s="17">
        <v>4607</v>
      </c>
      <c r="AC75" s="15">
        <v>12.2</v>
      </c>
      <c r="AD75" s="15">
        <v>32.9</v>
      </c>
      <c r="AE75" s="17">
        <v>17</v>
      </c>
      <c r="AF75" s="15">
        <v>61.6</v>
      </c>
      <c r="AG75" s="16">
        <v>2.056</v>
      </c>
      <c r="AH75" s="16">
        <v>3.3000000000000002E-2</v>
      </c>
      <c r="AI75" s="15">
        <v>8.3000000000000007</v>
      </c>
      <c r="AJ75" s="17">
        <v>17</v>
      </c>
      <c r="AK75" s="15">
        <v>298.39999999999998</v>
      </c>
      <c r="AL75" s="16">
        <v>9.8629999999999995</v>
      </c>
      <c r="AM75" s="16">
        <v>3.3000000000000002E-2</v>
      </c>
      <c r="AN75" s="15">
        <v>39.4</v>
      </c>
      <c r="AO75" s="309"/>
      <c r="AP75" s="309"/>
      <c r="AQ75" s="309"/>
      <c r="AR75" s="309"/>
      <c r="AS75" s="18"/>
      <c r="AT75" s="18">
        <f>Table2[[#This Row],[Object_A_._head_time]]+Table2[[#This Row],[Object_B_._head_time]]</f>
        <v>87.5</v>
      </c>
      <c r="AU75" s="18">
        <f>Table2[[#This Row],[Object_B_._head_time]]-Table2[[#This Row],[Object_A_._head_time]]</f>
        <v>25.700000000000003</v>
      </c>
      <c r="AV75" s="19">
        <f>Table2[[#This Row],[D1: Absolute discrimination measure (D1 = B2- A2)]]/Table2[[#This Row],[E2: total exploration time in second trial E2 ( E2 = A2 + B2)]]</f>
        <v>0.29371428571428576</v>
      </c>
      <c r="AW75" s="309">
        <f t="shared" si="0"/>
        <v>0.64685714285714291</v>
      </c>
      <c r="AX75" s="18"/>
      <c r="AY75" s="14" t="s">
        <v>486</v>
      </c>
      <c r="AZ75" s="14" t="s">
        <v>472</v>
      </c>
      <c r="BA75" s="14" t="s">
        <v>475</v>
      </c>
      <c r="BB75" s="17">
        <v>144</v>
      </c>
      <c r="BC75" s="15">
        <v>4.8</v>
      </c>
      <c r="BD75" s="14" t="s">
        <v>474</v>
      </c>
      <c r="BE75" s="28">
        <v>1</v>
      </c>
      <c r="BF75" s="14" t="s">
        <v>466</v>
      </c>
      <c r="BG75" s="270"/>
      <c r="BH75" s="270"/>
      <c r="BI75" s="270"/>
      <c r="BJ75" s="270"/>
      <c r="BK75" s="270"/>
      <c r="BL75" s="270"/>
      <c r="BM75" s="270"/>
      <c r="BN75" s="270"/>
      <c r="BO75" s="270"/>
      <c r="BP75" s="270"/>
      <c r="BQ75" s="270"/>
      <c r="BR75" s="270"/>
      <c r="BS75" s="270"/>
      <c r="BT75" s="270"/>
      <c r="BU75" s="270"/>
      <c r="BV75" s="270"/>
      <c r="BW75" s="270"/>
      <c r="BX75" s="270"/>
      <c r="BY75" s="270"/>
      <c r="BZ75" s="270"/>
      <c r="CA75" s="270"/>
      <c r="CB75" s="270"/>
      <c r="CC75" s="270"/>
      <c r="CD75" s="270"/>
      <c r="CE75" s="270"/>
      <c r="CF75" s="270"/>
      <c r="CG75" s="270"/>
      <c r="CH75" s="270"/>
      <c r="CI75" s="270"/>
      <c r="CJ75" s="270"/>
      <c r="CK75" s="270"/>
      <c r="CL75" s="270"/>
      <c r="CM75" s="270"/>
      <c r="CN75" s="270"/>
      <c r="CO75" s="270"/>
      <c r="CP75" s="270"/>
      <c r="CQ75" s="270"/>
      <c r="CR75" s="270"/>
      <c r="CS75" s="270"/>
      <c r="CT75" s="270"/>
      <c r="CU75" s="274"/>
    </row>
    <row r="76" spans="1:99" s="275" customFormat="1" ht="12" customHeight="1" x14ac:dyDescent="0.2">
      <c r="A76" s="14">
        <v>117</v>
      </c>
      <c r="B76" s="14" t="s">
        <v>123</v>
      </c>
      <c r="C76" s="14" t="s">
        <v>150</v>
      </c>
      <c r="D76" s="14" t="s">
        <v>53</v>
      </c>
      <c r="E76" s="14" t="s">
        <v>331</v>
      </c>
      <c r="F76" s="14" t="s">
        <v>371</v>
      </c>
      <c r="G76" s="14" t="s">
        <v>375</v>
      </c>
      <c r="H76" s="15">
        <v>360</v>
      </c>
      <c r="I76" s="16">
        <v>83.534999999999997</v>
      </c>
      <c r="J76" s="16">
        <v>0.23200000000000001</v>
      </c>
      <c r="K76" s="16">
        <v>0.45400000000000001</v>
      </c>
      <c r="L76" s="15">
        <v>10.8</v>
      </c>
      <c r="M76" s="17">
        <v>114</v>
      </c>
      <c r="N76" s="15">
        <v>53.8</v>
      </c>
      <c r="O76" s="16">
        <v>11.885999999999999</v>
      </c>
      <c r="P76" s="16">
        <v>0.221</v>
      </c>
      <c r="Q76" s="16">
        <v>0.442</v>
      </c>
      <c r="R76" s="15">
        <v>10.1</v>
      </c>
      <c r="S76" s="17">
        <v>11341</v>
      </c>
      <c r="T76" s="15">
        <v>1.3</v>
      </c>
      <c r="U76" s="15">
        <v>17.899999999999999</v>
      </c>
      <c r="V76" s="17">
        <v>152</v>
      </c>
      <c r="W76" s="15">
        <v>74.7</v>
      </c>
      <c r="X76" s="16">
        <v>19.622</v>
      </c>
      <c r="Y76" s="16">
        <v>0.26300000000000001</v>
      </c>
      <c r="Z76" s="16">
        <v>0.42799999999999999</v>
      </c>
      <c r="AA76" s="15">
        <v>5.5</v>
      </c>
      <c r="AB76" s="17">
        <v>16390</v>
      </c>
      <c r="AC76" s="15">
        <v>0</v>
      </c>
      <c r="AD76" s="15">
        <v>20</v>
      </c>
      <c r="AE76" s="17">
        <v>181</v>
      </c>
      <c r="AF76" s="15">
        <v>128.9</v>
      </c>
      <c r="AG76" s="16">
        <v>30.204000000000001</v>
      </c>
      <c r="AH76" s="16">
        <v>0.23400000000000001</v>
      </c>
      <c r="AI76" s="15">
        <v>2.2000000000000002</v>
      </c>
      <c r="AJ76" s="17">
        <v>182</v>
      </c>
      <c r="AK76" s="15">
        <v>231.1</v>
      </c>
      <c r="AL76" s="16">
        <v>53.331000000000003</v>
      </c>
      <c r="AM76" s="16">
        <v>0.23100000000000001</v>
      </c>
      <c r="AN76" s="15">
        <v>8.6</v>
      </c>
      <c r="AO76" s="309"/>
      <c r="AP76" s="309"/>
      <c r="AQ76" s="309"/>
      <c r="AR76" s="309"/>
      <c r="AS76" s="18"/>
      <c r="AT76" s="18">
        <f>Table2[[#This Row],[Object_A_._head_time]]+Table2[[#This Row],[Object_B_._head_time]]</f>
        <v>128.5</v>
      </c>
      <c r="AU76" s="18">
        <f>Table2[[#This Row],[Object_B_._head_time]]-Table2[[#This Row],[Object_A_._head_time]]</f>
        <v>20.900000000000006</v>
      </c>
      <c r="AV76" s="19">
        <f>Table2[[#This Row],[D1: Absolute discrimination measure (D1 = B2- A2)]]/Table2[[#This Row],[E2: total exploration time in second trial E2 ( E2 = A2 + B2)]]</f>
        <v>0.16264591439688719</v>
      </c>
      <c r="AW76" s="309">
        <f t="shared" si="0"/>
        <v>0.58132295719844362</v>
      </c>
      <c r="AX76" s="18"/>
      <c r="AY76" s="14" t="s">
        <v>486</v>
      </c>
      <c r="AZ76" s="14" t="s">
        <v>472</v>
      </c>
      <c r="BA76" s="14" t="s">
        <v>473</v>
      </c>
      <c r="BB76" s="17">
        <v>144</v>
      </c>
      <c r="BC76" s="15">
        <v>4.8</v>
      </c>
      <c r="BD76" s="14" t="s">
        <v>477</v>
      </c>
      <c r="BE76" s="28">
        <v>4</v>
      </c>
      <c r="BF76" s="14" t="s">
        <v>467</v>
      </c>
      <c r="BG76" s="270"/>
      <c r="BH76" s="270"/>
      <c r="BI76" s="270"/>
      <c r="BJ76" s="270"/>
      <c r="BK76" s="270"/>
      <c r="BL76" s="270"/>
      <c r="BM76" s="270"/>
      <c r="BN76" s="270"/>
      <c r="BO76" s="270"/>
      <c r="BP76" s="270"/>
      <c r="BQ76" s="270"/>
      <c r="BR76" s="270"/>
      <c r="BS76" s="270"/>
      <c r="BT76" s="270"/>
      <c r="BU76" s="270"/>
      <c r="BV76" s="270"/>
      <c r="BW76" s="270"/>
      <c r="BX76" s="270"/>
      <c r="BY76" s="270"/>
      <c r="BZ76" s="270"/>
      <c r="CA76" s="270"/>
      <c r="CB76" s="270"/>
      <c r="CC76" s="270"/>
      <c r="CD76" s="270"/>
      <c r="CE76" s="270"/>
      <c r="CF76" s="270"/>
      <c r="CG76" s="270"/>
      <c r="CH76" s="270"/>
      <c r="CI76" s="270"/>
      <c r="CJ76" s="270"/>
      <c r="CK76" s="270"/>
      <c r="CL76" s="270"/>
      <c r="CM76" s="270"/>
      <c r="CN76" s="270"/>
      <c r="CO76" s="270"/>
      <c r="CP76" s="270"/>
      <c r="CQ76" s="270"/>
      <c r="CR76" s="270"/>
      <c r="CS76" s="270"/>
      <c r="CT76" s="270"/>
      <c r="CU76" s="274"/>
    </row>
    <row r="77" spans="1:99" s="275" customFormat="1" ht="12" customHeight="1" x14ac:dyDescent="0.2">
      <c r="A77" s="14">
        <v>120</v>
      </c>
      <c r="B77" s="14" t="s">
        <v>125</v>
      </c>
      <c r="C77" s="14" t="s">
        <v>150</v>
      </c>
      <c r="D77" s="14" t="s">
        <v>41</v>
      </c>
      <c r="E77" s="14" t="s">
        <v>331</v>
      </c>
      <c r="F77" s="14" t="s">
        <v>376</v>
      </c>
      <c r="G77" s="14" t="s">
        <v>377</v>
      </c>
      <c r="H77" s="15">
        <v>360</v>
      </c>
      <c r="I77" s="16">
        <v>18.803999999999998</v>
      </c>
      <c r="J77" s="16">
        <v>5.1999999999999998E-2</v>
      </c>
      <c r="K77" s="16">
        <v>0.308</v>
      </c>
      <c r="L77" s="15">
        <v>1.1000000000000001</v>
      </c>
      <c r="M77" s="17">
        <v>42</v>
      </c>
      <c r="N77" s="15">
        <v>48.8</v>
      </c>
      <c r="O77" s="16">
        <v>2.0790000000000002</v>
      </c>
      <c r="P77" s="16">
        <v>4.2999999999999997E-2</v>
      </c>
      <c r="Q77" s="16">
        <v>0.308</v>
      </c>
      <c r="R77" s="15">
        <v>10</v>
      </c>
      <c r="S77" s="17">
        <v>4354</v>
      </c>
      <c r="T77" s="15">
        <v>0</v>
      </c>
      <c r="U77" s="15">
        <v>17.2</v>
      </c>
      <c r="V77" s="17">
        <v>39</v>
      </c>
      <c r="W77" s="15">
        <v>54.4</v>
      </c>
      <c r="X77" s="16">
        <v>1.978</v>
      </c>
      <c r="Y77" s="16">
        <v>3.5999999999999997E-2</v>
      </c>
      <c r="Z77" s="16">
        <v>0.26400000000000001</v>
      </c>
      <c r="AA77" s="15">
        <v>14</v>
      </c>
      <c r="AB77" s="17">
        <v>4823</v>
      </c>
      <c r="AC77" s="15">
        <v>0</v>
      </c>
      <c r="AD77" s="15">
        <v>16.5</v>
      </c>
      <c r="AE77" s="17">
        <v>38</v>
      </c>
      <c r="AF77" s="15">
        <v>92.2</v>
      </c>
      <c r="AG77" s="16">
        <v>4.54</v>
      </c>
      <c r="AH77" s="16">
        <v>4.9000000000000002E-2</v>
      </c>
      <c r="AI77" s="15">
        <v>0</v>
      </c>
      <c r="AJ77" s="17">
        <v>39</v>
      </c>
      <c r="AK77" s="15">
        <v>267.8</v>
      </c>
      <c r="AL77" s="16">
        <v>14.263999999999999</v>
      </c>
      <c r="AM77" s="16">
        <v>5.2999999999999999E-2</v>
      </c>
      <c r="AN77" s="15">
        <v>1.1000000000000001</v>
      </c>
      <c r="AO77" s="309"/>
      <c r="AP77" s="309"/>
      <c r="AQ77" s="309"/>
      <c r="AR77" s="309"/>
      <c r="AS77" s="18"/>
      <c r="AT77" s="18">
        <f>Table2[[#This Row],[Object_A_._head_time]]+Table2[[#This Row],[Object_B_._head_time]]</f>
        <v>103.19999999999999</v>
      </c>
      <c r="AU77" s="18">
        <f>Table2[[#This Row],[Object_B_._head_time]]-Table2[[#This Row],[Object_A_._head_time]]</f>
        <v>5.6000000000000014</v>
      </c>
      <c r="AV77" s="19">
        <f>Table2[[#This Row],[D1: Absolute discrimination measure (D1 = B2- A2)]]/Table2[[#This Row],[E2: total exploration time in second trial E2 ( E2 = A2 + B2)]]</f>
        <v>5.4263565891472888E-2</v>
      </c>
      <c r="AW77" s="309">
        <f t="shared" si="0"/>
        <v>0.52713178294573648</v>
      </c>
      <c r="AX77" s="18"/>
      <c r="AY77" s="14" t="s">
        <v>486</v>
      </c>
      <c r="AZ77" s="14" t="s">
        <v>472</v>
      </c>
      <c r="BA77" s="14" t="s">
        <v>475</v>
      </c>
      <c r="BB77" s="17">
        <v>144</v>
      </c>
      <c r="BC77" s="15">
        <v>4.8</v>
      </c>
      <c r="BD77" s="14" t="s">
        <v>477</v>
      </c>
      <c r="BE77" s="28">
        <v>2</v>
      </c>
      <c r="BF77" s="14" t="s">
        <v>466</v>
      </c>
      <c r="BG77" s="270"/>
      <c r="BH77" s="270"/>
      <c r="BI77" s="270"/>
      <c r="BJ77" s="270"/>
      <c r="BK77" s="270"/>
      <c r="BL77" s="270"/>
      <c r="BM77" s="270"/>
      <c r="BN77" s="270"/>
      <c r="BO77" s="270"/>
      <c r="BP77" s="270"/>
      <c r="BQ77" s="270"/>
      <c r="BR77" s="270"/>
      <c r="BS77" s="270"/>
      <c r="BT77" s="270"/>
      <c r="BU77" s="270"/>
      <c r="BV77" s="270"/>
      <c r="BW77" s="270"/>
      <c r="BX77" s="270"/>
      <c r="BY77" s="270"/>
      <c r="BZ77" s="270"/>
      <c r="CA77" s="270"/>
      <c r="CB77" s="270"/>
      <c r="CC77" s="270"/>
      <c r="CD77" s="270"/>
      <c r="CE77" s="270"/>
      <c r="CF77" s="270"/>
      <c r="CG77" s="270"/>
      <c r="CH77" s="270"/>
      <c r="CI77" s="270"/>
      <c r="CJ77" s="270"/>
      <c r="CK77" s="270"/>
      <c r="CL77" s="270"/>
      <c r="CM77" s="270"/>
      <c r="CN77" s="270"/>
      <c r="CO77" s="270"/>
      <c r="CP77" s="270"/>
      <c r="CQ77" s="270"/>
      <c r="CR77" s="270"/>
      <c r="CS77" s="270"/>
      <c r="CT77" s="270"/>
      <c r="CU77" s="274"/>
    </row>
    <row r="78" spans="1:99" s="275" customFormat="1" ht="12" customHeight="1" x14ac:dyDescent="0.2">
      <c r="A78" s="14">
        <v>119</v>
      </c>
      <c r="B78" s="14" t="s">
        <v>127</v>
      </c>
      <c r="C78" s="14" t="s">
        <v>150</v>
      </c>
      <c r="D78" s="14" t="s">
        <v>46</v>
      </c>
      <c r="E78" s="14" t="s">
        <v>331</v>
      </c>
      <c r="F78" s="14" t="s">
        <v>376</v>
      </c>
      <c r="G78" s="14" t="s">
        <v>378</v>
      </c>
      <c r="H78" s="15">
        <v>360</v>
      </c>
      <c r="I78" s="16">
        <v>11.05</v>
      </c>
      <c r="J78" s="16">
        <v>3.1E-2</v>
      </c>
      <c r="K78" s="16">
        <v>0.28499999999999998</v>
      </c>
      <c r="L78" s="15">
        <v>144.6</v>
      </c>
      <c r="M78" s="17">
        <v>9</v>
      </c>
      <c r="N78" s="15">
        <v>10.7</v>
      </c>
      <c r="O78" s="16">
        <v>0.625</v>
      </c>
      <c r="P78" s="16">
        <v>5.8000000000000003E-2</v>
      </c>
      <c r="Q78" s="16">
        <v>0.251</v>
      </c>
      <c r="R78" s="15">
        <v>5</v>
      </c>
      <c r="S78" s="17">
        <v>1013</v>
      </c>
      <c r="T78" s="15">
        <v>1.5</v>
      </c>
      <c r="U78" s="15">
        <v>5.6</v>
      </c>
      <c r="V78" s="17">
        <v>77</v>
      </c>
      <c r="W78" s="15">
        <v>80.599999999999994</v>
      </c>
      <c r="X78" s="16">
        <v>0.86</v>
      </c>
      <c r="Y78" s="16">
        <v>1.0999999999999999E-2</v>
      </c>
      <c r="Z78" s="16">
        <v>0.219</v>
      </c>
      <c r="AA78" s="15">
        <v>19.2</v>
      </c>
      <c r="AB78" s="17">
        <v>3389</v>
      </c>
      <c r="AC78" s="15">
        <v>51.4</v>
      </c>
      <c r="AD78" s="15">
        <v>71.900000000000006</v>
      </c>
      <c r="AE78" s="17">
        <v>10</v>
      </c>
      <c r="AF78" s="15">
        <v>14.7</v>
      </c>
      <c r="AG78" s="16">
        <v>1.645</v>
      </c>
      <c r="AH78" s="16">
        <v>0.112</v>
      </c>
      <c r="AI78" s="15">
        <v>0</v>
      </c>
      <c r="AJ78" s="17">
        <v>11</v>
      </c>
      <c r="AK78" s="15">
        <v>345.3</v>
      </c>
      <c r="AL78" s="16">
        <v>9.4049999999999994</v>
      </c>
      <c r="AM78" s="16">
        <v>2.7E-2</v>
      </c>
      <c r="AN78" s="15">
        <v>144.6</v>
      </c>
      <c r="AO78" s="309"/>
      <c r="AP78" s="309"/>
      <c r="AQ78" s="309"/>
      <c r="AR78" s="309"/>
      <c r="AS78" s="18"/>
      <c r="AT78" s="18">
        <f>Table2[[#This Row],[Object_A_._head_time]]+Table2[[#This Row],[Object_B_._head_time]]</f>
        <v>91.3</v>
      </c>
      <c r="AU78" s="18">
        <f>Table2[[#This Row],[Object_B_._head_time]]-Table2[[#This Row],[Object_A_._head_time]]</f>
        <v>69.899999999999991</v>
      </c>
      <c r="AV78" s="19">
        <f>Table2[[#This Row],[D1: Absolute discrimination measure (D1 = B2- A2)]]/Table2[[#This Row],[E2: total exploration time in second trial E2 ( E2 = A2 + B2)]]</f>
        <v>0.76560788608981378</v>
      </c>
      <c r="AW78" s="309">
        <f t="shared" si="0"/>
        <v>0.88280394304490684</v>
      </c>
      <c r="AX78" s="18"/>
      <c r="AY78" s="14" t="s">
        <v>486</v>
      </c>
      <c r="AZ78" s="14" t="s">
        <v>472</v>
      </c>
      <c r="BA78" s="14" t="s">
        <v>473</v>
      </c>
      <c r="BB78" s="17">
        <v>144</v>
      </c>
      <c r="BC78" s="15">
        <v>4.8</v>
      </c>
      <c r="BD78" s="14" t="s">
        <v>477</v>
      </c>
      <c r="BE78" s="28">
        <v>4</v>
      </c>
      <c r="BF78" s="14"/>
      <c r="BG78" s="270"/>
      <c r="BH78" s="270"/>
      <c r="BI78" s="270"/>
      <c r="BJ78" s="270"/>
      <c r="BK78" s="270"/>
      <c r="BL78" s="270"/>
      <c r="BM78" s="270"/>
      <c r="BN78" s="270"/>
      <c r="BO78" s="270"/>
      <c r="BP78" s="270"/>
      <c r="BQ78" s="270"/>
      <c r="BR78" s="270"/>
      <c r="BS78" s="270"/>
      <c r="BT78" s="270"/>
      <c r="BU78" s="270"/>
      <c r="BV78" s="270"/>
      <c r="BW78" s="270"/>
      <c r="BX78" s="270"/>
      <c r="BY78" s="270"/>
      <c r="BZ78" s="270"/>
      <c r="CA78" s="270"/>
      <c r="CB78" s="270"/>
      <c r="CC78" s="270"/>
      <c r="CD78" s="270"/>
      <c r="CE78" s="270"/>
      <c r="CF78" s="270"/>
      <c r="CG78" s="270"/>
      <c r="CH78" s="270"/>
      <c r="CI78" s="270"/>
      <c r="CJ78" s="270"/>
      <c r="CK78" s="270"/>
      <c r="CL78" s="270"/>
      <c r="CM78" s="270"/>
      <c r="CN78" s="270"/>
      <c r="CO78" s="270"/>
      <c r="CP78" s="270"/>
      <c r="CQ78" s="270"/>
      <c r="CR78" s="270"/>
      <c r="CS78" s="270"/>
      <c r="CT78" s="270"/>
      <c r="CU78" s="274"/>
    </row>
    <row r="79" spans="1:99" s="275" customFormat="1" ht="12" customHeight="1" x14ac:dyDescent="0.2">
      <c r="A79" s="14">
        <v>121</v>
      </c>
      <c r="B79" s="14" t="s">
        <v>130</v>
      </c>
      <c r="C79" s="14" t="s">
        <v>150</v>
      </c>
      <c r="D79" s="14" t="s">
        <v>49</v>
      </c>
      <c r="E79" s="14" t="s">
        <v>331</v>
      </c>
      <c r="F79" s="14" t="s">
        <v>379</v>
      </c>
      <c r="G79" s="14" t="s">
        <v>380</v>
      </c>
      <c r="H79" s="15">
        <v>360</v>
      </c>
      <c r="I79" s="16">
        <v>10.829000000000001</v>
      </c>
      <c r="J79" s="16">
        <v>0.03</v>
      </c>
      <c r="K79" s="16">
        <v>0.29699999999999999</v>
      </c>
      <c r="L79" s="15">
        <v>147</v>
      </c>
      <c r="M79" s="17">
        <v>14</v>
      </c>
      <c r="N79" s="15">
        <v>10.7</v>
      </c>
      <c r="O79" s="16">
        <v>0.56299999999999994</v>
      </c>
      <c r="P79" s="16">
        <v>5.1999999999999998E-2</v>
      </c>
      <c r="Q79" s="16">
        <v>0.23499999999999999</v>
      </c>
      <c r="R79" s="15">
        <v>3.4</v>
      </c>
      <c r="S79" s="17">
        <v>1085</v>
      </c>
      <c r="T79" s="15">
        <v>0</v>
      </c>
      <c r="U79" s="15">
        <v>3.7</v>
      </c>
      <c r="V79" s="17">
        <v>40</v>
      </c>
      <c r="W79" s="15">
        <v>30.6</v>
      </c>
      <c r="X79" s="16">
        <v>0.749</v>
      </c>
      <c r="Y79" s="16">
        <v>2.4E-2</v>
      </c>
      <c r="Z79" s="16">
        <v>0.29599999999999999</v>
      </c>
      <c r="AA79" s="15">
        <v>16.600000000000001</v>
      </c>
      <c r="AB79" s="17">
        <v>2495</v>
      </c>
      <c r="AC79" s="15">
        <v>4.5999999999999996</v>
      </c>
      <c r="AD79" s="15">
        <v>21.2</v>
      </c>
      <c r="AE79" s="17">
        <v>9</v>
      </c>
      <c r="AF79" s="15">
        <v>13</v>
      </c>
      <c r="AG79" s="16">
        <v>1.5549999999999999</v>
      </c>
      <c r="AH79" s="16">
        <v>0.11899999999999999</v>
      </c>
      <c r="AI79" s="15">
        <v>0</v>
      </c>
      <c r="AJ79" s="17">
        <v>10</v>
      </c>
      <c r="AK79" s="15">
        <v>347</v>
      </c>
      <c r="AL79" s="16">
        <v>9.2750000000000004</v>
      </c>
      <c r="AM79" s="16">
        <v>2.7E-2</v>
      </c>
      <c r="AN79" s="15">
        <v>147</v>
      </c>
      <c r="AO79" s="309"/>
      <c r="AP79" s="309"/>
      <c r="AQ79" s="309"/>
      <c r="AR79" s="309"/>
      <c r="AS79" s="18"/>
      <c r="AT79" s="18">
        <f>Table2[[#This Row],[Object_A_._head_time]]+Table2[[#This Row],[Object_B_._head_time]]</f>
        <v>41.3</v>
      </c>
      <c r="AU79" s="18">
        <f>Table2[[#This Row],[Object_B_._head_time]]-Table2[[#This Row],[Object_A_._head_time]]</f>
        <v>19.900000000000002</v>
      </c>
      <c r="AV79" s="19">
        <f>Table2[[#This Row],[D1: Absolute discrimination measure (D1 = B2- A2)]]/Table2[[#This Row],[E2: total exploration time in second trial E2 ( E2 = A2 + B2)]]</f>
        <v>0.48184019370460057</v>
      </c>
      <c r="AW79" s="309">
        <f t="shared" si="0"/>
        <v>0.74092009685230031</v>
      </c>
      <c r="AX79" s="18"/>
      <c r="AY79" s="14" t="s">
        <v>486</v>
      </c>
      <c r="AZ79" s="14" t="s">
        <v>472</v>
      </c>
      <c r="BA79" s="14" t="s">
        <v>473</v>
      </c>
      <c r="BB79" s="17">
        <v>144</v>
      </c>
      <c r="BC79" s="15">
        <v>4.8</v>
      </c>
      <c r="BD79" s="14" t="s">
        <v>474</v>
      </c>
      <c r="BE79" s="28">
        <v>3</v>
      </c>
      <c r="BF79" s="14" t="s">
        <v>468</v>
      </c>
      <c r="BG79" s="270"/>
      <c r="BH79" s="270"/>
      <c r="BI79" s="270"/>
      <c r="BJ79" s="270"/>
      <c r="BK79" s="270"/>
      <c r="BL79" s="270"/>
      <c r="BM79" s="270"/>
      <c r="BN79" s="270"/>
      <c r="BO79" s="270"/>
      <c r="BP79" s="270"/>
      <c r="BQ79" s="270"/>
      <c r="BR79" s="270"/>
      <c r="BS79" s="270"/>
      <c r="BT79" s="270"/>
      <c r="BU79" s="270"/>
      <c r="BV79" s="270"/>
      <c r="BW79" s="270"/>
      <c r="BX79" s="270"/>
      <c r="BY79" s="270"/>
      <c r="BZ79" s="270"/>
      <c r="CA79" s="270"/>
      <c r="CB79" s="270"/>
      <c r="CC79" s="270"/>
      <c r="CD79" s="270"/>
      <c r="CE79" s="270"/>
      <c r="CF79" s="270"/>
      <c r="CG79" s="270"/>
      <c r="CH79" s="270"/>
      <c r="CI79" s="270"/>
      <c r="CJ79" s="270"/>
      <c r="CK79" s="270"/>
      <c r="CL79" s="270"/>
      <c r="CM79" s="270"/>
      <c r="CN79" s="270"/>
      <c r="CO79" s="270"/>
      <c r="CP79" s="270"/>
      <c r="CQ79" s="270"/>
      <c r="CR79" s="270"/>
      <c r="CS79" s="270"/>
      <c r="CT79" s="270"/>
      <c r="CU79" s="274"/>
    </row>
    <row r="80" spans="1:99" s="275" customFormat="1" ht="12" customHeight="1" x14ac:dyDescent="0.2">
      <c r="A80" s="14">
        <v>122</v>
      </c>
      <c r="B80" s="14" t="s">
        <v>132</v>
      </c>
      <c r="C80" s="14" t="s">
        <v>150</v>
      </c>
      <c r="D80" s="14" t="s">
        <v>53</v>
      </c>
      <c r="E80" s="14" t="s">
        <v>331</v>
      </c>
      <c r="F80" s="14" t="s">
        <v>379</v>
      </c>
      <c r="G80" s="14" t="s">
        <v>381</v>
      </c>
      <c r="H80" s="15">
        <v>360</v>
      </c>
      <c r="I80" s="16">
        <v>4.2389999999999999</v>
      </c>
      <c r="J80" s="16">
        <v>1.2E-2</v>
      </c>
      <c r="K80" s="16">
        <v>0.253</v>
      </c>
      <c r="L80" s="15">
        <v>242.1</v>
      </c>
      <c r="M80" s="17">
        <v>82</v>
      </c>
      <c r="N80" s="15">
        <v>53.4</v>
      </c>
      <c r="O80" s="16">
        <v>0.41599999999999998</v>
      </c>
      <c r="P80" s="16">
        <v>8.0000000000000002E-3</v>
      </c>
      <c r="Q80" s="16">
        <v>0.24299999999999999</v>
      </c>
      <c r="R80" s="15">
        <v>21.6</v>
      </c>
      <c r="S80" s="17">
        <v>2446</v>
      </c>
      <c r="T80" s="15">
        <v>28.6</v>
      </c>
      <c r="U80" s="15">
        <v>45.9</v>
      </c>
      <c r="V80" s="17">
        <v>26</v>
      </c>
      <c r="W80" s="15">
        <v>22</v>
      </c>
      <c r="X80" s="16">
        <v>0.51700000000000002</v>
      </c>
      <c r="Y80" s="16">
        <v>2.4E-2</v>
      </c>
      <c r="Z80" s="16">
        <v>0.23200000000000001</v>
      </c>
      <c r="AA80" s="15">
        <v>12.2</v>
      </c>
      <c r="AB80" s="17">
        <v>1265</v>
      </c>
      <c r="AC80" s="15">
        <v>5</v>
      </c>
      <c r="AD80" s="15">
        <v>15.4</v>
      </c>
      <c r="AE80" s="17">
        <v>4</v>
      </c>
      <c r="AF80" s="15">
        <v>3.3</v>
      </c>
      <c r="AG80" s="16">
        <v>0.25600000000000001</v>
      </c>
      <c r="AH80" s="16">
        <v>7.5999999999999998E-2</v>
      </c>
      <c r="AI80" s="15">
        <v>0</v>
      </c>
      <c r="AJ80" s="17">
        <v>5</v>
      </c>
      <c r="AK80" s="15">
        <v>356.7</v>
      </c>
      <c r="AL80" s="16">
        <v>3.9830000000000001</v>
      </c>
      <c r="AM80" s="16">
        <v>1.0999999999999999E-2</v>
      </c>
      <c r="AN80" s="15">
        <v>242.1</v>
      </c>
      <c r="AO80" s="309"/>
      <c r="AP80" s="309"/>
      <c r="AQ80" s="309"/>
      <c r="AR80" s="309"/>
      <c r="AS80" s="18"/>
      <c r="AT80" s="18">
        <f>Table2[[#This Row],[Object_A_._head_time]]+Table2[[#This Row],[Object_B_._head_time]]</f>
        <v>75.400000000000006</v>
      </c>
      <c r="AU80" s="18">
        <f>Table2[[#This Row],[Object_B_._head_time]]-Table2[[#This Row],[Object_A_._head_time]]</f>
        <v>-31.4</v>
      </c>
      <c r="AV80" s="19">
        <f>Table2[[#This Row],[D1: Absolute discrimination measure (D1 = B2- A2)]]/Table2[[#This Row],[E2: total exploration time in second trial E2 ( E2 = A2 + B2)]]</f>
        <v>-0.416445623342175</v>
      </c>
      <c r="AW80" s="309">
        <f t="shared" si="0"/>
        <v>0.29177718832891242</v>
      </c>
      <c r="AX80" s="18"/>
      <c r="AY80" s="14" t="s">
        <v>487</v>
      </c>
      <c r="AZ80" s="14" t="s">
        <v>472</v>
      </c>
      <c r="BA80" s="14" t="s">
        <v>475</v>
      </c>
      <c r="BB80" s="17">
        <v>144</v>
      </c>
      <c r="BC80" s="15">
        <v>4.8</v>
      </c>
      <c r="BD80" s="14" t="s">
        <v>474</v>
      </c>
      <c r="BE80" s="28">
        <v>1</v>
      </c>
      <c r="BF80" s="14" t="s">
        <v>469</v>
      </c>
      <c r="BG80" s="270"/>
      <c r="BH80" s="270"/>
      <c r="BI80" s="270"/>
      <c r="BJ80" s="270"/>
      <c r="BK80" s="270"/>
      <c r="BL80" s="270"/>
      <c r="BM80" s="270"/>
      <c r="BN80" s="270"/>
      <c r="BO80" s="270"/>
      <c r="BP80" s="270"/>
      <c r="BQ80" s="270"/>
      <c r="BR80" s="270"/>
      <c r="BS80" s="270"/>
      <c r="BT80" s="270"/>
      <c r="BU80" s="270"/>
      <c r="BV80" s="270"/>
      <c r="BW80" s="270"/>
      <c r="BX80" s="270"/>
      <c r="BY80" s="270"/>
      <c r="BZ80" s="270"/>
      <c r="CA80" s="270"/>
      <c r="CB80" s="270"/>
      <c r="CC80" s="270"/>
      <c r="CD80" s="270"/>
      <c r="CE80" s="270"/>
      <c r="CF80" s="270"/>
      <c r="CG80" s="270"/>
      <c r="CH80" s="270"/>
      <c r="CI80" s="270"/>
      <c r="CJ80" s="270"/>
      <c r="CK80" s="270"/>
      <c r="CL80" s="270"/>
      <c r="CM80" s="270"/>
      <c r="CN80" s="270"/>
      <c r="CO80" s="270"/>
      <c r="CP80" s="270"/>
      <c r="CQ80" s="270"/>
      <c r="CR80" s="270"/>
      <c r="CS80" s="270"/>
      <c r="CT80" s="270"/>
      <c r="CU80" s="274"/>
    </row>
    <row r="81" spans="1:99" s="275" customFormat="1" ht="12" customHeight="1" x14ac:dyDescent="0.2">
      <c r="A81" s="14">
        <v>124</v>
      </c>
      <c r="B81" s="14" t="s">
        <v>134</v>
      </c>
      <c r="C81" s="14" t="s">
        <v>150</v>
      </c>
      <c r="D81" s="14" t="s">
        <v>41</v>
      </c>
      <c r="E81" s="14" t="s">
        <v>331</v>
      </c>
      <c r="F81" s="14" t="s">
        <v>101</v>
      </c>
      <c r="G81" s="14" t="s">
        <v>382</v>
      </c>
      <c r="H81" s="15">
        <v>360</v>
      </c>
      <c r="I81" s="16">
        <v>43.381</v>
      </c>
      <c r="J81" s="16">
        <v>0.121</v>
      </c>
      <c r="K81" s="16">
        <v>0.34200000000000003</v>
      </c>
      <c r="L81" s="15">
        <v>1.1000000000000001</v>
      </c>
      <c r="M81" s="17">
        <v>32</v>
      </c>
      <c r="N81" s="15">
        <v>18.8</v>
      </c>
      <c r="O81" s="16">
        <v>0.72599999999999998</v>
      </c>
      <c r="P81" s="16">
        <v>3.9E-2</v>
      </c>
      <c r="Q81" s="16">
        <v>0.26700000000000002</v>
      </c>
      <c r="R81" s="15">
        <v>10.5</v>
      </c>
      <c r="S81" s="17">
        <v>1780</v>
      </c>
      <c r="T81" s="15">
        <v>0</v>
      </c>
      <c r="U81" s="15">
        <v>16.7</v>
      </c>
      <c r="V81" s="17">
        <v>30</v>
      </c>
      <c r="W81" s="15">
        <v>17.5</v>
      </c>
      <c r="X81" s="16">
        <v>1.2569999999999999</v>
      </c>
      <c r="Y81" s="16">
        <v>7.1999999999999995E-2</v>
      </c>
      <c r="Z81" s="16">
        <v>0.26</v>
      </c>
      <c r="AA81" s="15">
        <v>12.7</v>
      </c>
      <c r="AB81" s="17">
        <v>1705</v>
      </c>
      <c r="AC81" s="15">
        <v>0</v>
      </c>
      <c r="AD81" s="15">
        <v>16.7</v>
      </c>
      <c r="AE81" s="17">
        <v>19</v>
      </c>
      <c r="AF81" s="15">
        <v>22</v>
      </c>
      <c r="AG81" s="16">
        <v>3.3769999999999998</v>
      </c>
      <c r="AH81" s="16">
        <v>0.153</v>
      </c>
      <c r="AI81" s="15">
        <v>0</v>
      </c>
      <c r="AJ81" s="17">
        <v>19</v>
      </c>
      <c r="AK81" s="15">
        <v>338</v>
      </c>
      <c r="AL81" s="16">
        <v>40.003999999999998</v>
      </c>
      <c r="AM81" s="16">
        <v>0.11799999999999999</v>
      </c>
      <c r="AN81" s="15">
        <v>1.1000000000000001</v>
      </c>
      <c r="AO81" s="309"/>
      <c r="AP81" s="309"/>
      <c r="AQ81" s="309"/>
      <c r="AR81" s="309"/>
      <c r="AS81" s="18"/>
      <c r="AT81" s="18">
        <f>Table2[[#This Row],[Object_A_._head_time]]+Table2[[#This Row],[Object_B_._head_time]]</f>
        <v>36.299999999999997</v>
      </c>
      <c r="AU81" s="18">
        <f>Table2[[#This Row],[Object_B_._head_time]]-Table2[[#This Row],[Object_A_._head_time]]</f>
        <v>-1.3000000000000007</v>
      </c>
      <c r="AV81" s="19">
        <f>Table2[[#This Row],[D1: Absolute discrimination measure (D1 = B2- A2)]]/Table2[[#This Row],[E2: total exploration time in second trial E2 ( E2 = A2 + B2)]]</f>
        <v>-3.5812672176308562E-2</v>
      </c>
      <c r="AW81" s="309">
        <f t="shared" si="0"/>
        <v>0.48209366391184577</v>
      </c>
      <c r="AX81" s="18"/>
      <c r="AY81" s="14" t="s">
        <v>487</v>
      </c>
      <c r="AZ81" s="14" t="s">
        <v>472</v>
      </c>
      <c r="BA81" s="14" t="s">
        <v>473</v>
      </c>
      <c r="BB81" s="17">
        <v>144</v>
      </c>
      <c r="BC81" s="15">
        <v>4.8</v>
      </c>
      <c r="BD81" s="14" t="s">
        <v>477</v>
      </c>
      <c r="BE81" s="28">
        <v>4</v>
      </c>
      <c r="BF81" s="14"/>
      <c r="BG81" s="270"/>
      <c r="BH81" s="270"/>
      <c r="BI81" s="270"/>
      <c r="BJ81" s="270"/>
      <c r="BK81" s="270"/>
      <c r="BL81" s="270"/>
      <c r="BM81" s="270"/>
      <c r="BN81" s="270"/>
      <c r="BO81" s="270"/>
      <c r="BP81" s="270"/>
      <c r="BQ81" s="270"/>
      <c r="BR81" s="270"/>
      <c r="BS81" s="270"/>
      <c r="BT81" s="270"/>
      <c r="BU81" s="270"/>
      <c r="BV81" s="270"/>
      <c r="BW81" s="270"/>
      <c r="BX81" s="270"/>
      <c r="BY81" s="270"/>
      <c r="BZ81" s="270"/>
      <c r="CA81" s="270"/>
      <c r="CB81" s="270"/>
      <c r="CC81" s="270"/>
      <c r="CD81" s="270"/>
      <c r="CE81" s="270"/>
      <c r="CF81" s="270"/>
      <c r="CG81" s="270"/>
      <c r="CH81" s="270"/>
      <c r="CI81" s="270"/>
      <c r="CJ81" s="270"/>
      <c r="CK81" s="270"/>
      <c r="CL81" s="270"/>
      <c r="CM81" s="270"/>
      <c r="CN81" s="270"/>
      <c r="CO81" s="270"/>
      <c r="CP81" s="270"/>
      <c r="CQ81" s="270"/>
      <c r="CR81" s="270"/>
      <c r="CS81" s="270"/>
      <c r="CT81" s="270"/>
      <c r="CU81" s="274"/>
    </row>
    <row r="82" spans="1:99" s="275" customFormat="1" ht="12" customHeight="1" x14ac:dyDescent="0.2">
      <c r="A82" s="14">
        <v>123</v>
      </c>
      <c r="B82" s="14" t="s">
        <v>136</v>
      </c>
      <c r="C82" s="14" t="s">
        <v>150</v>
      </c>
      <c r="D82" s="14" t="s">
        <v>46</v>
      </c>
      <c r="E82" s="14" t="s">
        <v>331</v>
      </c>
      <c r="F82" s="14" t="s">
        <v>101</v>
      </c>
      <c r="G82" s="14" t="s">
        <v>383</v>
      </c>
      <c r="H82" s="15">
        <v>360</v>
      </c>
      <c r="I82" s="16">
        <v>9.2620000000000005</v>
      </c>
      <c r="J82" s="16">
        <v>2.5999999999999999E-2</v>
      </c>
      <c r="K82" s="16">
        <v>0.25800000000000001</v>
      </c>
      <c r="L82" s="15">
        <v>110.9</v>
      </c>
      <c r="M82" s="17">
        <v>23</v>
      </c>
      <c r="N82" s="15">
        <v>40.200000000000003</v>
      </c>
      <c r="O82" s="16">
        <v>1.1060000000000001</v>
      </c>
      <c r="P82" s="16">
        <v>2.8000000000000001E-2</v>
      </c>
      <c r="Q82" s="16">
        <v>0.20499999999999999</v>
      </c>
      <c r="R82" s="15">
        <v>5</v>
      </c>
      <c r="S82" s="17">
        <v>2611</v>
      </c>
      <c r="T82" s="15">
        <v>8.1</v>
      </c>
      <c r="U82" s="15">
        <v>13.3</v>
      </c>
      <c r="V82" s="17">
        <v>21</v>
      </c>
      <c r="W82" s="15">
        <v>104.2</v>
      </c>
      <c r="X82" s="16">
        <v>1.2889999999999999</v>
      </c>
      <c r="Y82" s="16">
        <v>1.2E-2</v>
      </c>
      <c r="Z82" s="16">
        <v>0.23699999999999999</v>
      </c>
      <c r="AA82" s="15">
        <v>56.5</v>
      </c>
      <c r="AB82" s="17">
        <v>4926</v>
      </c>
      <c r="AC82" s="15">
        <v>50.4</v>
      </c>
      <c r="AD82" s="15">
        <v>87.2</v>
      </c>
      <c r="AE82" s="17">
        <v>14</v>
      </c>
      <c r="AF82" s="15">
        <v>75.5</v>
      </c>
      <c r="AG82" s="16">
        <v>2.5099999999999998</v>
      </c>
      <c r="AH82" s="16">
        <v>3.3000000000000002E-2</v>
      </c>
      <c r="AI82" s="15">
        <v>15.6</v>
      </c>
      <c r="AJ82" s="17">
        <v>15</v>
      </c>
      <c r="AK82" s="15">
        <v>284.5</v>
      </c>
      <c r="AL82" s="16">
        <v>6.7530000000000001</v>
      </c>
      <c r="AM82" s="16">
        <v>2.4E-2</v>
      </c>
      <c r="AN82" s="15">
        <v>95.3</v>
      </c>
      <c r="AO82" s="309"/>
      <c r="AP82" s="309"/>
      <c r="AQ82" s="309"/>
      <c r="AR82" s="309"/>
      <c r="AS82" s="18"/>
      <c r="AT82" s="18">
        <f>Table2[[#This Row],[Object_A_._head_time]]+Table2[[#This Row],[Object_B_._head_time]]</f>
        <v>144.4</v>
      </c>
      <c r="AU82" s="18">
        <f>Table2[[#This Row],[Object_B_._head_time]]-Table2[[#This Row],[Object_A_._head_time]]</f>
        <v>64</v>
      </c>
      <c r="AV82" s="19">
        <f>Table2[[#This Row],[D1: Absolute discrimination measure (D1 = B2- A2)]]/Table2[[#This Row],[E2: total exploration time in second trial E2 ( E2 = A2 + B2)]]</f>
        <v>0.44321329639889195</v>
      </c>
      <c r="AW82" s="309">
        <f t="shared" si="0"/>
        <v>0.72160664819944598</v>
      </c>
      <c r="AX82" s="18"/>
      <c r="AY82" s="14" t="s">
        <v>487</v>
      </c>
      <c r="AZ82" s="14" t="s">
        <v>472</v>
      </c>
      <c r="BA82" s="14" t="s">
        <v>475</v>
      </c>
      <c r="BB82" s="17">
        <v>144</v>
      </c>
      <c r="BC82" s="15">
        <v>4.8</v>
      </c>
      <c r="BD82" s="14" t="s">
        <v>477</v>
      </c>
      <c r="BE82" s="28">
        <v>2</v>
      </c>
      <c r="BF82" s="14"/>
      <c r="BG82" s="270"/>
      <c r="BH82" s="270"/>
      <c r="BI82" s="270"/>
      <c r="BJ82" s="270"/>
      <c r="BK82" s="270"/>
      <c r="BL82" s="270"/>
      <c r="BM82" s="270"/>
      <c r="BN82" s="270"/>
      <c r="BO82" s="270"/>
      <c r="BP82" s="270"/>
      <c r="BQ82" s="270"/>
      <c r="BR82" s="270"/>
      <c r="BS82" s="270"/>
      <c r="BT82" s="270"/>
      <c r="BU82" s="270"/>
      <c r="BV82" s="270"/>
      <c r="BW82" s="270"/>
      <c r="BX82" s="270"/>
      <c r="BY82" s="270"/>
      <c r="BZ82" s="270"/>
      <c r="CA82" s="270"/>
      <c r="CB82" s="270"/>
      <c r="CC82" s="270"/>
      <c r="CD82" s="270"/>
      <c r="CE82" s="270"/>
      <c r="CF82" s="270"/>
      <c r="CG82" s="270"/>
      <c r="CH82" s="270"/>
      <c r="CI82" s="270"/>
      <c r="CJ82" s="270"/>
      <c r="CK82" s="270"/>
      <c r="CL82" s="270"/>
      <c r="CM82" s="270"/>
      <c r="CN82" s="270"/>
      <c r="CO82" s="270"/>
      <c r="CP82" s="270"/>
      <c r="CQ82" s="270"/>
      <c r="CR82" s="270"/>
      <c r="CS82" s="270"/>
      <c r="CT82" s="270"/>
      <c r="CU82" s="274"/>
    </row>
    <row r="83" spans="1:99" s="275" customFormat="1" ht="12" customHeight="1" x14ac:dyDescent="0.2">
      <c r="A83" s="14">
        <v>125</v>
      </c>
      <c r="B83" s="14" t="s">
        <v>139</v>
      </c>
      <c r="C83" s="14" t="s">
        <v>150</v>
      </c>
      <c r="D83" s="14" t="s">
        <v>49</v>
      </c>
      <c r="E83" s="14" t="s">
        <v>331</v>
      </c>
      <c r="F83" s="14" t="s">
        <v>101</v>
      </c>
      <c r="G83" s="14" t="s">
        <v>384</v>
      </c>
      <c r="H83" s="15">
        <v>360</v>
      </c>
      <c r="I83" s="16">
        <v>7.1980000000000004</v>
      </c>
      <c r="J83" s="16">
        <v>0.02</v>
      </c>
      <c r="K83" s="16">
        <v>0.22800000000000001</v>
      </c>
      <c r="L83" s="15">
        <v>105.2</v>
      </c>
      <c r="M83" s="17">
        <v>20</v>
      </c>
      <c r="N83" s="15">
        <v>28</v>
      </c>
      <c r="O83" s="16">
        <v>1.2749999999999999</v>
      </c>
      <c r="P83" s="16">
        <v>4.5999999999999999E-2</v>
      </c>
      <c r="Q83" s="16">
        <v>0.20399999999999999</v>
      </c>
      <c r="R83" s="15">
        <v>4.0999999999999996</v>
      </c>
      <c r="S83" s="17">
        <v>2231</v>
      </c>
      <c r="T83" s="15">
        <v>0</v>
      </c>
      <c r="U83" s="15">
        <v>4.4000000000000004</v>
      </c>
      <c r="V83" s="17">
        <v>8</v>
      </c>
      <c r="W83" s="15">
        <v>9.5</v>
      </c>
      <c r="X83" s="16">
        <v>0.50600000000000001</v>
      </c>
      <c r="Y83" s="16">
        <v>5.2999999999999999E-2</v>
      </c>
      <c r="Z83" s="16">
        <v>0.183</v>
      </c>
      <c r="AA83" s="15">
        <v>3.3</v>
      </c>
      <c r="AB83" s="17">
        <v>874</v>
      </c>
      <c r="AC83" s="15">
        <v>0</v>
      </c>
      <c r="AD83" s="15">
        <v>2.7</v>
      </c>
      <c r="AE83" s="17">
        <v>7</v>
      </c>
      <c r="AF83" s="15">
        <v>17.100000000000001</v>
      </c>
      <c r="AG83" s="16">
        <v>1.0580000000000001</v>
      </c>
      <c r="AH83" s="16">
        <v>6.2E-2</v>
      </c>
      <c r="AI83" s="15">
        <v>0</v>
      </c>
      <c r="AJ83" s="17">
        <v>8</v>
      </c>
      <c r="AK83" s="15">
        <v>342.9</v>
      </c>
      <c r="AL83" s="16">
        <v>6.14</v>
      </c>
      <c r="AM83" s="16">
        <v>1.7999999999999999E-2</v>
      </c>
      <c r="AN83" s="15">
        <v>105.2</v>
      </c>
      <c r="AO83" s="309"/>
      <c r="AP83" s="309"/>
      <c r="AQ83" s="309"/>
      <c r="AR83" s="309"/>
      <c r="AS83" s="18"/>
      <c r="AT83" s="18">
        <f>Table2[[#This Row],[Object_A_._head_time]]+Table2[[#This Row],[Object_B_._head_time]]</f>
        <v>37.5</v>
      </c>
      <c r="AU83" s="18">
        <f>Table2[[#This Row],[Object_B_._head_time]]-Table2[[#This Row],[Object_A_._head_time]]</f>
        <v>-18.5</v>
      </c>
      <c r="AV83" s="19">
        <f>Table2[[#This Row],[D1: Absolute discrimination measure (D1 = B2- A2)]]/Table2[[#This Row],[E2: total exploration time in second trial E2 ( E2 = A2 + B2)]]</f>
        <v>-0.49333333333333335</v>
      </c>
      <c r="AW83" s="309">
        <f t="shared" si="0"/>
        <v>0.25333333333333335</v>
      </c>
      <c r="AX83" s="18"/>
      <c r="AY83" s="14" t="s">
        <v>486</v>
      </c>
      <c r="AZ83" s="14" t="s">
        <v>472</v>
      </c>
      <c r="BA83" s="14" t="s">
        <v>475</v>
      </c>
      <c r="BB83" s="17">
        <v>143</v>
      </c>
      <c r="BC83" s="15">
        <v>4.7666666666666666</v>
      </c>
      <c r="BD83" s="14" t="s">
        <v>474</v>
      </c>
      <c r="BE83" s="28">
        <v>1</v>
      </c>
      <c r="BF83" s="14" t="s">
        <v>470</v>
      </c>
      <c r="BG83" s="270"/>
      <c r="BH83" s="270"/>
      <c r="BI83" s="270"/>
      <c r="BJ83" s="270"/>
      <c r="BK83" s="270"/>
      <c r="BL83" s="270"/>
      <c r="BM83" s="270"/>
      <c r="BN83" s="270"/>
      <c r="BO83" s="270"/>
      <c r="BP83" s="270"/>
      <c r="BQ83" s="270"/>
      <c r="BR83" s="270"/>
      <c r="BS83" s="270"/>
      <c r="BT83" s="270"/>
      <c r="BU83" s="270"/>
      <c r="BV83" s="270"/>
      <c r="BW83" s="270"/>
      <c r="BX83" s="270"/>
      <c r="BY83" s="270"/>
      <c r="BZ83" s="270"/>
      <c r="CA83" s="270"/>
      <c r="CB83" s="270"/>
      <c r="CC83" s="270"/>
      <c r="CD83" s="270"/>
      <c r="CE83" s="270"/>
      <c r="CF83" s="270"/>
      <c r="CG83" s="270"/>
      <c r="CH83" s="270"/>
      <c r="CI83" s="270"/>
      <c r="CJ83" s="270"/>
      <c r="CK83" s="270"/>
      <c r="CL83" s="270"/>
      <c r="CM83" s="270"/>
      <c r="CN83" s="270"/>
      <c r="CO83" s="270"/>
      <c r="CP83" s="270"/>
      <c r="CQ83" s="270"/>
      <c r="CR83" s="270"/>
      <c r="CS83" s="270"/>
      <c r="CT83" s="270"/>
      <c r="CU83" s="274"/>
    </row>
    <row r="84" spans="1:99" s="275" customFormat="1" ht="12" customHeight="1" x14ac:dyDescent="0.2">
      <c r="A84" s="14">
        <v>126</v>
      </c>
      <c r="B84" s="14" t="s">
        <v>141</v>
      </c>
      <c r="C84" s="14" t="s">
        <v>150</v>
      </c>
      <c r="D84" s="14" t="s">
        <v>53</v>
      </c>
      <c r="E84" s="14" t="s">
        <v>331</v>
      </c>
      <c r="F84" s="14" t="s">
        <v>101</v>
      </c>
      <c r="G84" s="14" t="s">
        <v>385</v>
      </c>
      <c r="H84" s="15">
        <v>360</v>
      </c>
      <c r="I84" s="16">
        <v>19.149000000000001</v>
      </c>
      <c r="J84" s="16">
        <v>5.2999999999999999E-2</v>
      </c>
      <c r="K84" s="16">
        <v>0.28399999999999997</v>
      </c>
      <c r="L84" s="15">
        <v>1.6</v>
      </c>
      <c r="M84" s="17">
        <v>28</v>
      </c>
      <c r="N84" s="15">
        <v>25.1</v>
      </c>
      <c r="O84" s="16">
        <v>1.0840000000000001</v>
      </c>
      <c r="P84" s="16">
        <v>4.2999999999999997E-2</v>
      </c>
      <c r="Q84" s="16">
        <v>0.21299999999999999</v>
      </c>
      <c r="R84" s="15">
        <v>12</v>
      </c>
      <c r="S84" s="17">
        <v>1936</v>
      </c>
      <c r="T84" s="15">
        <v>0</v>
      </c>
      <c r="U84" s="15">
        <v>12.3</v>
      </c>
      <c r="V84" s="17">
        <v>32</v>
      </c>
      <c r="W84" s="15">
        <v>63.6</v>
      </c>
      <c r="X84" s="16">
        <v>1.946</v>
      </c>
      <c r="Y84" s="16">
        <v>3.1E-2</v>
      </c>
      <c r="Z84" s="16">
        <v>0.22800000000000001</v>
      </c>
      <c r="AA84" s="15">
        <v>21.3</v>
      </c>
      <c r="AB84" s="17">
        <v>4379</v>
      </c>
      <c r="AC84" s="15">
        <v>0</v>
      </c>
      <c r="AD84" s="15">
        <v>16.7</v>
      </c>
      <c r="AE84" s="17">
        <v>22</v>
      </c>
      <c r="AF84" s="15">
        <v>38.200000000000003</v>
      </c>
      <c r="AG84" s="16">
        <v>3.0139999999999998</v>
      </c>
      <c r="AH84" s="16">
        <v>7.9000000000000001E-2</v>
      </c>
      <c r="AI84" s="15">
        <v>0</v>
      </c>
      <c r="AJ84" s="17">
        <v>22</v>
      </c>
      <c r="AK84" s="15">
        <v>321.8</v>
      </c>
      <c r="AL84" s="16">
        <v>16.135999999999999</v>
      </c>
      <c r="AM84" s="16">
        <v>0.05</v>
      </c>
      <c r="AN84" s="15">
        <v>1.6</v>
      </c>
      <c r="AO84" s="309"/>
      <c r="AP84" s="309"/>
      <c r="AQ84" s="309"/>
      <c r="AR84" s="309"/>
      <c r="AS84" s="18"/>
      <c r="AT84" s="18">
        <f>Table2[[#This Row],[Object_A_._head_time]]+Table2[[#This Row],[Object_B_._head_time]]</f>
        <v>88.7</v>
      </c>
      <c r="AU84" s="18">
        <f>Table2[[#This Row],[Object_B_._head_time]]-Table2[[#This Row],[Object_A_._head_time]]</f>
        <v>38.5</v>
      </c>
      <c r="AV84" s="19">
        <f>Table2[[#This Row],[D1: Absolute discrimination measure (D1 = B2- A2)]]/Table2[[#This Row],[E2: total exploration time in second trial E2 ( E2 = A2 + B2)]]</f>
        <v>0.43404735062006761</v>
      </c>
      <c r="AW84" s="309">
        <f t="shared" si="0"/>
        <v>0.71702367531003386</v>
      </c>
      <c r="AX84" s="18"/>
      <c r="AY84" s="14" t="s">
        <v>487</v>
      </c>
      <c r="AZ84" s="14" t="s">
        <v>472</v>
      </c>
      <c r="BA84" s="14" t="s">
        <v>475</v>
      </c>
      <c r="BB84" s="17">
        <v>136</v>
      </c>
      <c r="BC84" s="15">
        <v>4.5333333333333332</v>
      </c>
      <c r="BD84" s="14" t="s">
        <v>477</v>
      </c>
      <c r="BE84" s="28">
        <v>2</v>
      </c>
      <c r="BF84" s="14" t="s">
        <v>471</v>
      </c>
      <c r="BG84" s="270"/>
      <c r="BH84" s="270"/>
      <c r="BI84" s="270"/>
      <c r="BJ84" s="270"/>
      <c r="BK84" s="270"/>
      <c r="BL84" s="270"/>
      <c r="BM84" s="270"/>
      <c r="BN84" s="270"/>
      <c r="BO84" s="270"/>
      <c r="BP84" s="270"/>
      <c r="BQ84" s="270"/>
      <c r="BR84" s="270"/>
      <c r="BS84" s="270"/>
      <c r="BT84" s="270"/>
      <c r="BU84" s="270"/>
      <c r="BV84" s="270"/>
      <c r="BW84" s="270"/>
      <c r="BX84" s="270"/>
      <c r="BY84" s="270"/>
      <c r="BZ84" s="270"/>
      <c r="CA84" s="270"/>
      <c r="CB84" s="270"/>
      <c r="CC84" s="270"/>
      <c r="CD84" s="270"/>
      <c r="CE84" s="270"/>
      <c r="CF84" s="270"/>
      <c r="CG84" s="270"/>
      <c r="CH84" s="270"/>
      <c r="CI84" s="270"/>
      <c r="CJ84" s="270"/>
      <c r="CK84" s="270"/>
      <c r="CL84" s="270"/>
      <c r="CM84" s="270"/>
      <c r="CN84" s="270"/>
      <c r="CO84" s="270"/>
      <c r="CP84" s="270"/>
      <c r="CQ84" s="270"/>
      <c r="CR84" s="270"/>
      <c r="CS84" s="270"/>
      <c r="CT84" s="270"/>
      <c r="CU84" s="274"/>
    </row>
    <row r="85" spans="1:99" s="275" customFormat="1" ht="12" customHeight="1" x14ac:dyDescent="0.2">
      <c r="A85" s="14">
        <v>128</v>
      </c>
      <c r="B85" s="14" t="s">
        <v>143</v>
      </c>
      <c r="C85" s="14" t="s">
        <v>150</v>
      </c>
      <c r="D85" s="14" t="s">
        <v>41</v>
      </c>
      <c r="E85" s="14" t="s">
        <v>331</v>
      </c>
      <c r="F85" s="14" t="s">
        <v>386</v>
      </c>
      <c r="G85" s="14" t="s">
        <v>387</v>
      </c>
      <c r="H85" s="15">
        <v>360</v>
      </c>
      <c r="I85" s="16">
        <v>10.755000000000001</v>
      </c>
      <c r="J85" s="16">
        <v>0.03</v>
      </c>
      <c r="K85" s="16">
        <v>0.26500000000000001</v>
      </c>
      <c r="L85" s="15">
        <v>95.1</v>
      </c>
      <c r="M85" s="17">
        <v>13</v>
      </c>
      <c r="N85" s="15">
        <v>14.6</v>
      </c>
      <c r="O85" s="16">
        <v>0.51700000000000002</v>
      </c>
      <c r="P85" s="16">
        <v>3.5000000000000003E-2</v>
      </c>
      <c r="Q85" s="16">
        <v>0.16900000000000001</v>
      </c>
      <c r="R85" s="15">
        <v>7.2</v>
      </c>
      <c r="S85" s="17">
        <v>1136</v>
      </c>
      <c r="T85" s="15">
        <v>0</v>
      </c>
      <c r="U85" s="15">
        <v>8.6999999999999993</v>
      </c>
      <c r="V85" s="17">
        <v>11</v>
      </c>
      <c r="W85" s="15">
        <v>11.8</v>
      </c>
      <c r="X85" s="16">
        <v>0.24299999999999999</v>
      </c>
      <c r="Y85" s="16">
        <v>2.1000000000000001E-2</v>
      </c>
      <c r="Z85" s="16">
        <v>0.13100000000000001</v>
      </c>
      <c r="AA85" s="15">
        <v>8.1999999999999993</v>
      </c>
      <c r="AB85" s="17">
        <v>833</v>
      </c>
      <c r="AC85" s="15">
        <v>0</v>
      </c>
      <c r="AD85" s="15">
        <v>9.3000000000000007</v>
      </c>
      <c r="AE85" s="17">
        <v>9</v>
      </c>
      <c r="AF85" s="15">
        <v>10.1</v>
      </c>
      <c r="AG85" s="16">
        <v>0.83099999999999996</v>
      </c>
      <c r="AH85" s="16">
        <v>8.2000000000000003E-2</v>
      </c>
      <c r="AI85" s="15">
        <v>0</v>
      </c>
      <c r="AJ85" s="17">
        <v>10</v>
      </c>
      <c r="AK85" s="15">
        <v>349.9</v>
      </c>
      <c r="AL85" s="16">
        <v>9.9239999999999995</v>
      </c>
      <c r="AM85" s="16">
        <v>2.8000000000000001E-2</v>
      </c>
      <c r="AN85" s="15">
        <v>95.1</v>
      </c>
      <c r="AO85" s="309"/>
      <c r="AP85" s="309"/>
      <c r="AQ85" s="309"/>
      <c r="AR85" s="309"/>
      <c r="AS85" s="18"/>
      <c r="AT85" s="18">
        <f>Table2[[#This Row],[Object_A_._head_time]]+Table2[[#This Row],[Object_B_._head_time]]</f>
        <v>26.4</v>
      </c>
      <c r="AU85" s="18">
        <f>Table2[[#This Row],[Object_B_._head_time]]-Table2[[#This Row],[Object_A_._head_time]]</f>
        <v>-2.7999999999999989</v>
      </c>
      <c r="AV85" s="19">
        <f>Table2[[#This Row],[D1: Absolute discrimination measure (D1 = B2- A2)]]/Table2[[#This Row],[E2: total exploration time in second trial E2 ( E2 = A2 + B2)]]</f>
        <v>-0.10606060606060602</v>
      </c>
      <c r="AW85" s="309">
        <f t="shared" si="0"/>
        <v>0.44696969696969702</v>
      </c>
      <c r="AX85" s="18"/>
      <c r="AY85" s="14" t="s">
        <v>487</v>
      </c>
      <c r="AZ85" s="14" t="s">
        <v>476</v>
      </c>
      <c r="BA85" s="14" t="s">
        <v>475</v>
      </c>
      <c r="BB85" s="17">
        <v>125</v>
      </c>
      <c r="BC85" s="15">
        <v>4.166666666666667</v>
      </c>
      <c r="BD85" s="15" t="s">
        <v>474</v>
      </c>
      <c r="BE85" s="28">
        <v>5</v>
      </c>
      <c r="BF85" s="14"/>
      <c r="BG85" s="270"/>
      <c r="BH85" s="270"/>
      <c r="BI85" s="270"/>
      <c r="BJ85" s="270"/>
      <c r="BK85" s="270"/>
      <c r="BL85" s="270"/>
      <c r="BM85" s="270"/>
      <c r="BN85" s="270"/>
      <c r="BO85" s="270"/>
      <c r="BP85" s="270"/>
      <c r="BQ85" s="270"/>
      <c r="BR85" s="270"/>
      <c r="BS85" s="270"/>
      <c r="BT85" s="270"/>
      <c r="BU85" s="270"/>
      <c r="BV85" s="270"/>
      <c r="BW85" s="270"/>
      <c r="BX85" s="270"/>
      <c r="BY85" s="270"/>
      <c r="BZ85" s="270"/>
      <c r="CA85" s="270"/>
      <c r="CB85" s="270"/>
      <c r="CC85" s="270"/>
      <c r="CD85" s="270"/>
      <c r="CE85" s="270"/>
      <c r="CF85" s="270"/>
      <c r="CG85" s="270"/>
      <c r="CH85" s="270"/>
      <c r="CI85" s="270"/>
      <c r="CJ85" s="270"/>
      <c r="CK85" s="270"/>
      <c r="CL85" s="270"/>
      <c r="CM85" s="270"/>
      <c r="CN85" s="270"/>
      <c r="CO85" s="270"/>
      <c r="CP85" s="270"/>
      <c r="CQ85" s="270"/>
      <c r="CR85" s="270"/>
      <c r="CS85" s="270"/>
      <c r="CT85" s="270"/>
      <c r="CU85" s="274"/>
    </row>
    <row r="86" spans="1:99" s="275" customFormat="1" ht="12" customHeight="1" x14ac:dyDescent="0.2">
      <c r="A86" s="14">
        <v>127</v>
      </c>
      <c r="B86" s="14" t="s">
        <v>145</v>
      </c>
      <c r="C86" s="14" t="s">
        <v>150</v>
      </c>
      <c r="D86" s="14" t="s">
        <v>46</v>
      </c>
      <c r="E86" s="14" t="s">
        <v>331</v>
      </c>
      <c r="F86" s="14" t="s">
        <v>386</v>
      </c>
      <c r="G86" s="14" t="s">
        <v>388</v>
      </c>
      <c r="H86" s="15">
        <v>360</v>
      </c>
      <c r="I86" s="16">
        <v>10.329000000000001</v>
      </c>
      <c r="J86" s="16">
        <v>2.9000000000000001E-2</v>
      </c>
      <c r="K86" s="16">
        <v>0.25</v>
      </c>
      <c r="L86" s="15">
        <v>32.1</v>
      </c>
      <c r="M86" s="17">
        <v>29</v>
      </c>
      <c r="N86" s="15">
        <v>37.6</v>
      </c>
      <c r="O86" s="16">
        <v>0.53300000000000003</v>
      </c>
      <c r="P86" s="16">
        <v>1.4E-2</v>
      </c>
      <c r="Q86" s="16">
        <v>0.151</v>
      </c>
      <c r="R86" s="15">
        <v>20.5</v>
      </c>
      <c r="S86" s="17">
        <v>2041</v>
      </c>
      <c r="T86" s="15">
        <v>2.7</v>
      </c>
      <c r="U86" s="15">
        <v>28.2</v>
      </c>
      <c r="V86" s="17">
        <v>17</v>
      </c>
      <c r="W86" s="15">
        <v>25.6</v>
      </c>
      <c r="X86" s="16">
        <v>0.30599999999999999</v>
      </c>
      <c r="Y86" s="16">
        <v>1.2E-2</v>
      </c>
      <c r="Z86" s="16">
        <v>0.17199999999999999</v>
      </c>
      <c r="AA86" s="15">
        <v>10.1</v>
      </c>
      <c r="AB86" s="17">
        <v>1482</v>
      </c>
      <c r="AC86" s="15">
        <v>2.9</v>
      </c>
      <c r="AD86" s="15">
        <v>20.399999999999999</v>
      </c>
      <c r="AE86" s="17">
        <v>7</v>
      </c>
      <c r="AF86" s="15">
        <v>9.3000000000000007</v>
      </c>
      <c r="AG86" s="16">
        <v>0.77800000000000002</v>
      </c>
      <c r="AH86" s="16">
        <v>8.3000000000000004E-2</v>
      </c>
      <c r="AI86" s="15">
        <v>0</v>
      </c>
      <c r="AJ86" s="17">
        <v>7</v>
      </c>
      <c r="AK86" s="15">
        <v>350.7</v>
      </c>
      <c r="AL86" s="16">
        <v>9.5510000000000002</v>
      </c>
      <c r="AM86" s="16">
        <v>2.7E-2</v>
      </c>
      <c r="AN86" s="15">
        <v>32.1</v>
      </c>
      <c r="AO86" s="309"/>
      <c r="AP86" s="309"/>
      <c r="AQ86" s="309"/>
      <c r="AR86" s="309"/>
      <c r="AS86" s="18"/>
      <c r="AT86" s="18">
        <f>Table2[[#This Row],[Object_A_._head_time]]+Table2[[#This Row],[Object_B_._head_time]]</f>
        <v>63.2</v>
      </c>
      <c r="AU86" s="18">
        <f>Table2[[#This Row],[Object_B_._head_time]]-Table2[[#This Row],[Object_A_._head_time]]</f>
        <v>-12</v>
      </c>
      <c r="AV86" s="19">
        <f>Table2[[#This Row],[D1: Absolute discrimination measure (D1 = B2- A2)]]/Table2[[#This Row],[E2: total exploration time in second trial E2 ( E2 = A2 + B2)]]</f>
        <v>-0.18987341772151897</v>
      </c>
      <c r="AW86" s="309">
        <f t="shared" si="0"/>
        <v>0.4050632911392405</v>
      </c>
      <c r="AX86" s="18"/>
      <c r="AY86" s="14" t="s">
        <v>487</v>
      </c>
      <c r="AZ86" s="14" t="s">
        <v>476</v>
      </c>
      <c r="BA86" s="14" t="s">
        <v>473</v>
      </c>
      <c r="BB86" s="17">
        <v>125</v>
      </c>
      <c r="BC86" s="15">
        <v>4.166666666666667</v>
      </c>
      <c r="BD86" s="15" t="s">
        <v>477</v>
      </c>
      <c r="BE86" s="28">
        <v>8</v>
      </c>
      <c r="BF86" s="14"/>
      <c r="BG86" s="270"/>
      <c r="BH86" s="270"/>
      <c r="BI86" s="270"/>
      <c r="BJ86" s="270"/>
      <c r="BK86" s="270"/>
      <c r="BL86" s="270"/>
      <c r="BM86" s="270"/>
      <c r="BN86" s="270"/>
      <c r="BO86" s="270"/>
      <c r="BP86" s="270"/>
      <c r="BQ86" s="270"/>
      <c r="BR86" s="270"/>
      <c r="BS86" s="270"/>
      <c r="BT86" s="270"/>
      <c r="BU86" s="270"/>
      <c r="BV86" s="270"/>
      <c r="BW86" s="270"/>
      <c r="BX86" s="270"/>
      <c r="BY86" s="270"/>
      <c r="BZ86" s="270"/>
      <c r="CA86" s="270"/>
      <c r="CB86" s="270"/>
      <c r="CC86" s="270"/>
      <c r="CD86" s="270"/>
      <c r="CE86" s="270"/>
      <c r="CF86" s="270"/>
      <c r="CG86" s="270"/>
      <c r="CH86" s="270"/>
      <c r="CI86" s="270"/>
      <c r="CJ86" s="270"/>
      <c r="CK86" s="270"/>
      <c r="CL86" s="270"/>
      <c r="CM86" s="270"/>
      <c r="CN86" s="270"/>
      <c r="CO86" s="270"/>
      <c r="CP86" s="270"/>
      <c r="CQ86" s="270"/>
      <c r="CR86" s="270"/>
      <c r="CS86" s="270"/>
      <c r="CT86" s="270"/>
      <c r="CU86" s="274"/>
    </row>
    <row r="87" spans="1:99" s="275" customFormat="1" ht="12" customHeight="1" x14ac:dyDescent="0.2">
      <c r="A87" s="14">
        <v>129</v>
      </c>
      <c r="B87" s="14" t="s">
        <v>148</v>
      </c>
      <c r="C87" s="14" t="s">
        <v>150</v>
      </c>
      <c r="D87" s="14" t="s">
        <v>49</v>
      </c>
      <c r="E87" s="14" t="s">
        <v>331</v>
      </c>
      <c r="F87" s="14" t="s">
        <v>389</v>
      </c>
      <c r="G87" s="14" t="s">
        <v>390</v>
      </c>
      <c r="H87" s="15">
        <v>360</v>
      </c>
      <c r="I87" s="16">
        <v>7.6289999999999996</v>
      </c>
      <c r="J87" s="16">
        <v>2.1000000000000001E-2</v>
      </c>
      <c r="K87" s="16">
        <v>0.26500000000000001</v>
      </c>
      <c r="L87" s="15">
        <v>135.4</v>
      </c>
      <c r="M87" s="17">
        <v>13</v>
      </c>
      <c r="N87" s="15">
        <v>14.8</v>
      </c>
      <c r="O87" s="16">
        <v>0.76900000000000002</v>
      </c>
      <c r="P87" s="16">
        <v>5.1999999999999998E-2</v>
      </c>
      <c r="Q87" s="16">
        <v>0.21199999999999999</v>
      </c>
      <c r="R87" s="15">
        <v>3.6</v>
      </c>
      <c r="S87" s="17">
        <v>801</v>
      </c>
      <c r="T87" s="15">
        <v>0</v>
      </c>
      <c r="U87" s="15">
        <v>5.5</v>
      </c>
      <c r="V87" s="17">
        <v>5</v>
      </c>
      <c r="W87" s="15">
        <v>13.6</v>
      </c>
      <c r="X87" s="16">
        <v>0.52100000000000002</v>
      </c>
      <c r="Y87" s="16">
        <v>3.7999999999999999E-2</v>
      </c>
      <c r="Z87" s="16">
        <v>0.222</v>
      </c>
      <c r="AA87" s="15">
        <v>1.6</v>
      </c>
      <c r="AB87" s="17">
        <v>1087</v>
      </c>
      <c r="AC87" s="15">
        <v>0</v>
      </c>
      <c r="AD87" s="15">
        <v>1.5</v>
      </c>
      <c r="AE87" s="17">
        <v>6</v>
      </c>
      <c r="AF87" s="15">
        <v>5.2</v>
      </c>
      <c r="AG87" s="16">
        <v>0.752</v>
      </c>
      <c r="AH87" s="16">
        <v>0.14299999999999999</v>
      </c>
      <c r="AI87" s="15">
        <v>0</v>
      </c>
      <c r="AJ87" s="17">
        <v>6</v>
      </c>
      <c r="AK87" s="15">
        <v>354.8</v>
      </c>
      <c r="AL87" s="16">
        <v>6.8780000000000001</v>
      </c>
      <c r="AM87" s="16">
        <v>1.9E-2</v>
      </c>
      <c r="AN87" s="15">
        <v>135.4</v>
      </c>
      <c r="AO87" s="309"/>
      <c r="AP87" s="309"/>
      <c r="AQ87" s="309"/>
      <c r="AR87" s="309"/>
      <c r="AS87" s="18"/>
      <c r="AT87" s="18">
        <f>Table2[[#This Row],[Object_A_._head_time]]+Table2[[#This Row],[Object_B_._head_time]]</f>
        <v>28.4</v>
      </c>
      <c r="AU87" s="18">
        <f>Table2[[#This Row],[Object_B_._head_time]]-Table2[[#This Row],[Object_A_._head_time]]</f>
        <v>-1.2000000000000011</v>
      </c>
      <c r="AV87" s="19">
        <f>Table2[[#This Row],[D1: Absolute discrimination measure (D1 = B2- A2)]]/Table2[[#This Row],[E2: total exploration time in second trial E2 ( E2 = A2 + B2)]]</f>
        <v>-4.2253521126760604E-2</v>
      </c>
      <c r="AW87" s="309">
        <f t="shared" si="0"/>
        <v>0.47887323943661975</v>
      </c>
      <c r="AX87" s="18"/>
      <c r="AY87" s="14" t="s">
        <v>487</v>
      </c>
      <c r="AZ87" s="14" t="s">
        <v>476</v>
      </c>
      <c r="BA87" s="14" t="s">
        <v>473</v>
      </c>
      <c r="BB87" s="17">
        <v>125</v>
      </c>
      <c r="BC87" s="15">
        <v>4.166666666666667</v>
      </c>
      <c r="BD87" s="15" t="s">
        <v>474</v>
      </c>
      <c r="BE87" s="28">
        <v>7</v>
      </c>
      <c r="BF87" s="14"/>
      <c r="BG87" s="270"/>
      <c r="BH87" s="270"/>
      <c r="BI87" s="270"/>
      <c r="BJ87" s="270"/>
      <c r="BK87" s="270"/>
      <c r="BL87" s="270"/>
      <c r="BM87" s="270"/>
      <c r="BN87" s="270"/>
      <c r="BO87" s="270"/>
      <c r="BP87" s="270"/>
      <c r="BQ87" s="270"/>
      <c r="BR87" s="270"/>
      <c r="BS87" s="270"/>
      <c r="BT87" s="270"/>
      <c r="BU87" s="270"/>
      <c r="BV87" s="270"/>
      <c r="BW87" s="270"/>
      <c r="BX87" s="270"/>
      <c r="BY87" s="270"/>
      <c r="BZ87" s="270"/>
      <c r="CA87" s="270"/>
      <c r="CB87" s="270"/>
      <c r="CC87" s="270"/>
      <c r="CD87" s="270"/>
      <c r="CE87" s="270"/>
      <c r="CF87" s="270"/>
      <c r="CG87" s="270"/>
      <c r="CH87" s="270"/>
      <c r="CI87" s="270"/>
      <c r="CJ87" s="270"/>
      <c r="CK87" s="270"/>
      <c r="CL87" s="270"/>
      <c r="CM87" s="270"/>
      <c r="CN87" s="270"/>
      <c r="CO87" s="270"/>
      <c r="CP87" s="270"/>
      <c r="CQ87" s="270"/>
      <c r="CR87" s="270"/>
      <c r="CS87" s="270"/>
      <c r="CT87" s="270"/>
      <c r="CU87" s="274"/>
    </row>
    <row r="88" spans="1:99" ht="12" customHeight="1" x14ac:dyDescent="0.2">
      <c r="A88" s="321">
        <v>4</v>
      </c>
      <c r="B88" s="321" t="s">
        <v>39</v>
      </c>
      <c r="C88" s="321" t="s">
        <v>40</v>
      </c>
      <c r="D88" s="321" t="s">
        <v>41</v>
      </c>
      <c r="E88" s="321" t="s">
        <v>270</v>
      </c>
      <c r="F88" s="321" t="s">
        <v>271</v>
      </c>
      <c r="G88" s="321" t="s">
        <v>272</v>
      </c>
      <c r="H88" s="330">
        <v>300</v>
      </c>
      <c r="I88" s="331">
        <v>5.1130000000000004</v>
      </c>
      <c r="J88" s="331">
        <v>1.7000000000000001E-2</v>
      </c>
      <c r="K88" s="331">
        <v>0.27300000000000002</v>
      </c>
      <c r="L88" s="330">
        <v>120.7</v>
      </c>
      <c r="M88" s="332">
        <v>5</v>
      </c>
      <c r="N88" s="330">
        <v>7.5</v>
      </c>
      <c r="O88" s="331">
        <v>0.42699999999999999</v>
      </c>
      <c r="P88" s="331">
        <v>5.7000000000000002E-2</v>
      </c>
      <c r="Q88" s="331">
        <v>0.27300000000000002</v>
      </c>
      <c r="R88" s="330">
        <v>0.3</v>
      </c>
      <c r="S88" s="332">
        <v>663</v>
      </c>
      <c r="T88" s="330">
        <v>0</v>
      </c>
      <c r="U88" s="330">
        <v>0.6</v>
      </c>
      <c r="V88" s="332">
        <v>8</v>
      </c>
      <c r="W88" s="330">
        <v>9.8000000000000007</v>
      </c>
      <c r="X88" s="331">
        <v>0.29799999999999999</v>
      </c>
      <c r="Y88" s="331">
        <v>0.03</v>
      </c>
      <c r="Z88" s="331">
        <v>0.254</v>
      </c>
      <c r="AA88" s="330">
        <v>1</v>
      </c>
      <c r="AB88" s="332">
        <v>647</v>
      </c>
      <c r="AC88" s="330">
        <v>0</v>
      </c>
      <c r="AD88" s="330">
        <v>0.6</v>
      </c>
      <c r="AE88" s="332">
        <v>13</v>
      </c>
      <c r="AF88" s="330">
        <v>10.9</v>
      </c>
      <c r="AG88" s="331">
        <v>1.379</v>
      </c>
      <c r="AH88" s="331">
        <v>0.127</v>
      </c>
      <c r="AI88" s="330">
        <v>0</v>
      </c>
      <c r="AJ88" s="332">
        <v>14</v>
      </c>
      <c r="AK88" s="330">
        <v>289.10000000000002</v>
      </c>
      <c r="AL88" s="331">
        <v>3.734</v>
      </c>
      <c r="AM88" s="331">
        <v>1.2999999999999999E-2</v>
      </c>
      <c r="AN88" s="330">
        <v>120.7</v>
      </c>
      <c r="AO88" s="318">
        <f>Table2[[#This Row],[Inside_._time]]/Table2[[#This Row],[Duration]]</f>
        <v>3.6333333333333336E-2</v>
      </c>
      <c r="AP88" s="318">
        <f>Table2[[#This Row],[Outside_._time]]/Table2[[#This Row],[Duration]]</f>
        <v>0.96366666666666678</v>
      </c>
      <c r="AQ88" s="318">
        <f>Table2[[#This Row],[Inside_._distance]]/Table2[[#This Row],[Distance]]</f>
        <v>0.26970467435947582</v>
      </c>
      <c r="AR88" s="318">
        <f>Table2[[#This Row],[Outside_._distance]]/Table2[[#This Row],[Distance]]</f>
        <v>0.73029532564052413</v>
      </c>
      <c r="AS88" s="317"/>
      <c r="AT88" s="317"/>
      <c r="AU88" s="317"/>
      <c r="AV88" s="315"/>
      <c r="AW88" s="317"/>
      <c r="AX88" s="317"/>
      <c r="AY88" s="321" t="s">
        <v>486</v>
      </c>
      <c r="AZ88" s="321" t="s">
        <v>472</v>
      </c>
      <c r="BA88" s="321" t="s">
        <v>473</v>
      </c>
      <c r="BB88" s="332">
        <v>182</v>
      </c>
      <c r="BC88" s="330">
        <v>6.0666666666666664</v>
      </c>
      <c r="BD88" s="321" t="s">
        <v>474</v>
      </c>
      <c r="BE88" s="321">
        <v>3</v>
      </c>
      <c r="BF88" s="321"/>
      <c r="BG88" s="270"/>
      <c r="BH88" s="270"/>
      <c r="BI88" s="270"/>
      <c r="BJ88" s="270"/>
      <c r="BK88" s="270"/>
      <c r="BL88" s="270"/>
      <c r="BM88" s="270"/>
      <c r="BN88" s="270"/>
      <c r="BO88" s="270"/>
      <c r="BP88" s="270"/>
      <c r="BQ88" s="270"/>
      <c r="BR88" s="270"/>
      <c r="BS88" s="270"/>
      <c r="BT88" s="270"/>
      <c r="BU88" s="270"/>
      <c r="BV88" s="270"/>
      <c r="BW88" s="270"/>
      <c r="BX88" s="270"/>
      <c r="BY88" s="270"/>
      <c r="BZ88" s="270"/>
      <c r="CA88" s="270"/>
      <c r="CB88" s="270"/>
      <c r="CC88" s="270"/>
      <c r="CD88" s="270"/>
      <c r="CE88" s="270"/>
      <c r="CF88" s="270"/>
      <c r="CG88" s="270"/>
      <c r="CH88" s="270"/>
      <c r="CI88" s="270"/>
      <c r="CJ88" s="270"/>
      <c r="CK88" s="270"/>
      <c r="CL88" s="270"/>
      <c r="CM88" s="270"/>
      <c r="CN88" s="270"/>
      <c r="CO88" s="270"/>
      <c r="CP88" s="270"/>
      <c r="CQ88" s="270"/>
      <c r="CR88" s="270"/>
      <c r="CS88" s="270"/>
      <c r="CT88" s="270"/>
    </row>
    <row r="89" spans="1:99" ht="12" customHeight="1" x14ac:dyDescent="0.2">
      <c r="A89" s="321">
        <v>1</v>
      </c>
      <c r="B89" s="321" t="s">
        <v>45</v>
      </c>
      <c r="C89" s="321" t="s">
        <v>40</v>
      </c>
      <c r="D89" s="321" t="s">
        <v>46</v>
      </c>
      <c r="E89" s="321" t="s">
        <v>270</v>
      </c>
      <c r="F89" s="321" t="s">
        <v>271</v>
      </c>
      <c r="G89" s="321" t="s">
        <v>273</v>
      </c>
      <c r="H89" s="330">
        <v>300</v>
      </c>
      <c r="I89" s="331">
        <v>9.3179999999999996</v>
      </c>
      <c r="J89" s="331">
        <v>3.1E-2</v>
      </c>
      <c r="K89" s="331">
        <v>0.27100000000000002</v>
      </c>
      <c r="L89" s="330">
        <v>63.4</v>
      </c>
      <c r="M89" s="332">
        <v>16</v>
      </c>
      <c r="N89" s="330">
        <v>16.600000000000001</v>
      </c>
      <c r="O89" s="331">
        <v>0.63200000000000001</v>
      </c>
      <c r="P89" s="331">
        <v>3.7999999999999999E-2</v>
      </c>
      <c r="Q89" s="331">
        <v>0.22500000000000001</v>
      </c>
      <c r="R89" s="330">
        <v>4.5</v>
      </c>
      <c r="S89" s="332">
        <v>1611</v>
      </c>
      <c r="T89" s="330">
        <v>0</v>
      </c>
      <c r="U89" s="330">
        <v>4.3</v>
      </c>
      <c r="V89" s="332">
        <v>14</v>
      </c>
      <c r="W89" s="330">
        <v>15.8</v>
      </c>
      <c r="X89" s="331">
        <v>1.2010000000000001</v>
      </c>
      <c r="Y89" s="331">
        <v>7.5999999999999998E-2</v>
      </c>
      <c r="Z89" s="331">
        <v>0.26200000000000001</v>
      </c>
      <c r="AA89" s="330">
        <v>5.9</v>
      </c>
      <c r="AB89" s="332">
        <v>1225</v>
      </c>
      <c r="AC89" s="330">
        <v>0</v>
      </c>
      <c r="AD89" s="330">
        <v>5.8</v>
      </c>
      <c r="AE89" s="332">
        <v>12</v>
      </c>
      <c r="AF89" s="330">
        <v>19</v>
      </c>
      <c r="AG89" s="331">
        <v>1.528</v>
      </c>
      <c r="AH89" s="331">
        <v>0.08</v>
      </c>
      <c r="AI89" s="330">
        <v>0</v>
      </c>
      <c r="AJ89" s="332">
        <v>12</v>
      </c>
      <c r="AK89" s="330">
        <v>281</v>
      </c>
      <c r="AL89" s="331">
        <v>7.7889999999999997</v>
      </c>
      <c r="AM89" s="331">
        <v>2.8000000000000001E-2</v>
      </c>
      <c r="AN89" s="330">
        <v>63.4</v>
      </c>
      <c r="AO89" s="318">
        <f>Table2[[#This Row],[Inside_._time]]/Table2[[#This Row],[Duration]]</f>
        <v>6.3333333333333339E-2</v>
      </c>
      <c r="AP89" s="318">
        <f>Table2[[#This Row],[Outside_._time]]/Table2[[#This Row],[Duration]]</f>
        <v>0.93666666666666665</v>
      </c>
      <c r="AQ89" s="318">
        <f>Table2[[#This Row],[Inside_._distance]]/Table2[[#This Row],[Distance]]</f>
        <v>0.16398368748658512</v>
      </c>
      <c r="AR89" s="318">
        <f>Table2[[#This Row],[Outside_._distance]]/Table2[[#This Row],[Distance]]</f>
        <v>0.8359089933462116</v>
      </c>
      <c r="AS89" s="317"/>
      <c r="AT89" s="317"/>
      <c r="AU89" s="317"/>
      <c r="AV89" s="315"/>
      <c r="AW89" s="317"/>
      <c r="AX89" s="317"/>
      <c r="AY89" s="321" t="s">
        <v>487</v>
      </c>
      <c r="AZ89" s="321" t="s">
        <v>472</v>
      </c>
      <c r="BA89" s="321" t="s">
        <v>475</v>
      </c>
      <c r="BB89" s="332">
        <v>182</v>
      </c>
      <c r="BC89" s="330">
        <v>6.0666666666666664</v>
      </c>
      <c r="BD89" s="321" t="s">
        <v>474</v>
      </c>
      <c r="BE89" s="321">
        <v>1</v>
      </c>
      <c r="BF89" s="321"/>
      <c r="BG89" s="270"/>
      <c r="BH89" s="270"/>
      <c r="BI89" s="270"/>
      <c r="BJ89" s="270"/>
      <c r="BK89" s="270"/>
      <c r="BL89" s="270"/>
      <c r="BM89" s="270"/>
      <c r="BN89" s="270"/>
      <c r="BO89" s="270"/>
      <c r="BP89" s="270"/>
      <c r="BQ89" s="270"/>
      <c r="BR89" s="270"/>
      <c r="BS89" s="270"/>
      <c r="BT89" s="270"/>
      <c r="BU89" s="270"/>
      <c r="BV89" s="270"/>
      <c r="BW89" s="270"/>
      <c r="BX89" s="270"/>
      <c r="BY89" s="270"/>
      <c r="BZ89" s="270"/>
      <c r="CA89" s="270"/>
      <c r="CB89" s="270"/>
      <c r="CC89" s="270"/>
      <c r="CD89" s="270"/>
      <c r="CE89" s="270"/>
      <c r="CF89" s="270"/>
      <c r="CG89" s="270"/>
      <c r="CH89" s="270"/>
      <c r="CI89" s="270"/>
      <c r="CJ89" s="270"/>
      <c r="CK89" s="270"/>
      <c r="CL89" s="270"/>
      <c r="CM89" s="270"/>
      <c r="CN89" s="270"/>
      <c r="CO89" s="270"/>
      <c r="CP89" s="270"/>
      <c r="CQ89" s="270"/>
      <c r="CR89" s="270"/>
      <c r="CS89" s="270"/>
      <c r="CT89" s="270"/>
    </row>
    <row r="90" spans="1:99" ht="12" customHeight="1" x14ac:dyDescent="0.2">
      <c r="A90" s="321">
        <v>2</v>
      </c>
      <c r="B90" s="321" t="s">
        <v>48</v>
      </c>
      <c r="C90" s="321" t="s">
        <v>40</v>
      </c>
      <c r="D90" s="321" t="s">
        <v>49</v>
      </c>
      <c r="E90" s="321" t="s">
        <v>270</v>
      </c>
      <c r="F90" s="321" t="s">
        <v>271</v>
      </c>
      <c r="G90" s="321" t="s">
        <v>274</v>
      </c>
      <c r="H90" s="330">
        <v>300</v>
      </c>
      <c r="I90" s="331">
        <v>4.157</v>
      </c>
      <c r="J90" s="331">
        <v>1.4E-2</v>
      </c>
      <c r="K90" s="331">
        <v>0.245</v>
      </c>
      <c r="L90" s="330">
        <v>29.8</v>
      </c>
      <c r="M90" s="332">
        <v>7</v>
      </c>
      <c r="N90" s="330">
        <v>5.4</v>
      </c>
      <c r="O90" s="331">
        <v>0.22900000000000001</v>
      </c>
      <c r="P90" s="331">
        <v>4.2000000000000003E-2</v>
      </c>
      <c r="Q90" s="331">
        <v>0.191</v>
      </c>
      <c r="R90" s="330">
        <v>2.4</v>
      </c>
      <c r="S90" s="332">
        <v>497</v>
      </c>
      <c r="T90" s="330">
        <v>0</v>
      </c>
      <c r="U90" s="330">
        <v>2</v>
      </c>
      <c r="V90" s="332">
        <v>15</v>
      </c>
      <c r="W90" s="330">
        <v>81.7</v>
      </c>
      <c r="X90" s="331">
        <v>0.74</v>
      </c>
      <c r="Y90" s="331">
        <v>8.9999999999999993E-3</v>
      </c>
      <c r="Z90" s="331">
        <v>0.185</v>
      </c>
      <c r="AA90" s="330">
        <v>40.299999999999997</v>
      </c>
      <c r="AB90" s="332">
        <v>3592</v>
      </c>
      <c r="AC90" s="330">
        <v>7.6</v>
      </c>
      <c r="AD90" s="330">
        <v>55.7</v>
      </c>
      <c r="AE90" s="332">
        <v>13</v>
      </c>
      <c r="AF90" s="330">
        <v>64.099999999999994</v>
      </c>
      <c r="AG90" s="331">
        <v>1.149</v>
      </c>
      <c r="AH90" s="331">
        <v>1.7999999999999999E-2</v>
      </c>
      <c r="AI90" s="330">
        <v>3.9</v>
      </c>
      <c r="AJ90" s="332">
        <v>14</v>
      </c>
      <c r="AK90" s="330">
        <v>235.9</v>
      </c>
      <c r="AL90" s="331">
        <v>3.008</v>
      </c>
      <c r="AM90" s="331">
        <v>1.2999999999999999E-2</v>
      </c>
      <c r="AN90" s="330">
        <v>25.9</v>
      </c>
      <c r="AO90" s="318">
        <f>Table2[[#This Row],[Inside_._time]]/Table2[[#This Row],[Duration]]</f>
        <v>0.21366666666666664</v>
      </c>
      <c r="AP90" s="318">
        <f>Table2[[#This Row],[Outside_._time]]/Table2[[#This Row],[Duration]]</f>
        <v>0.78633333333333333</v>
      </c>
      <c r="AQ90" s="318">
        <f>Table2[[#This Row],[Inside_._distance]]/Table2[[#This Row],[Distance]]</f>
        <v>0.27640125090209283</v>
      </c>
      <c r="AR90" s="318">
        <f>Table2[[#This Row],[Outside_._distance]]/Table2[[#This Row],[Distance]]</f>
        <v>0.72359874909790711</v>
      </c>
      <c r="AS90" s="317"/>
      <c r="AT90" s="317"/>
      <c r="AU90" s="317"/>
      <c r="AV90" s="315"/>
      <c r="AW90" s="317"/>
      <c r="AX90" s="317"/>
      <c r="AY90" s="321" t="s">
        <v>486</v>
      </c>
      <c r="AZ90" s="321" t="s">
        <v>476</v>
      </c>
      <c r="BA90" s="321" t="s">
        <v>475</v>
      </c>
      <c r="BB90" s="332">
        <v>177</v>
      </c>
      <c r="BC90" s="330">
        <v>5.9</v>
      </c>
      <c r="BD90" s="330" t="s">
        <v>474</v>
      </c>
      <c r="BE90" s="321">
        <v>5</v>
      </c>
      <c r="BF90" s="321" t="s">
        <v>458</v>
      </c>
      <c r="BG90" s="270"/>
      <c r="BH90" s="270"/>
      <c r="BI90" s="270"/>
      <c r="BJ90" s="270"/>
      <c r="BK90" s="270"/>
      <c r="BL90" s="270"/>
      <c r="BM90" s="270"/>
      <c r="BN90" s="270"/>
      <c r="BO90" s="270"/>
      <c r="BP90" s="270"/>
      <c r="BQ90" s="270"/>
      <c r="BR90" s="270"/>
      <c r="BS90" s="270"/>
      <c r="BT90" s="270"/>
      <c r="BU90" s="270"/>
      <c r="BV90" s="270"/>
      <c r="BW90" s="270"/>
      <c r="BX90" s="270"/>
      <c r="BY90" s="270"/>
      <c r="BZ90" s="270"/>
      <c r="CA90" s="270"/>
      <c r="CB90" s="270"/>
      <c r="CC90" s="270"/>
      <c r="CD90" s="270"/>
      <c r="CE90" s="270"/>
      <c r="CF90" s="270"/>
      <c r="CG90" s="270"/>
      <c r="CH90" s="270"/>
      <c r="CI90" s="270"/>
      <c r="CJ90" s="270"/>
      <c r="CK90" s="270"/>
      <c r="CL90" s="270"/>
      <c r="CM90" s="270"/>
      <c r="CN90" s="270"/>
      <c r="CO90" s="270"/>
      <c r="CP90" s="270"/>
      <c r="CQ90" s="270"/>
      <c r="CR90" s="270"/>
      <c r="CS90" s="270"/>
      <c r="CT90" s="270"/>
    </row>
    <row r="91" spans="1:99" ht="12" customHeight="1" x14ac:dyDescent="0.2">
      <c r="A91" s="321">
        <v>3</v>
      </c>
      <c r="B91" s="321" t="s">
        <v>52</v>
      </c>
      <c r="C91" s="321" t="s">
        <v>40</v>
      </c>
      <c r="D91" s="321" t="s">
        <v>53</v>
      </c>
      <c r="E91" s="321" t="s">
        <v>270</v>
      </c>
      <c r="F91" s="321" t="s">
        <v>271</v>
      </c>
      <c r="G91" s="321" t="s">
        <v>275</v>
      </c>
      <c r="H91" s="330">
        <v>300</v>
      </c>
      <c r="I91" s="331">
        <v>9.1769999999999996</v>
      </c>
      <c r="J91" s="331">
        <v>3.1E-2</v>
      </c>
      <c r="K91" s="331">
        <v>0.252</v>
      </c>
      <c r="L91" s="330">
        <v>34.4</v>
      </c>
      <c r="M91" s="332">
        <v>18</v>
      </c>
      <c r="N91" s="330">
        <v>22.4</v>
      </c>
      <c r="O91" s="331">
        <v>1.1919999999999999</v>
      </c>
      <c r="P91" s="331">
        <v>5.2999999999999999E-2</v>
      </c>
      <c r="Q91" s="331">
        <v>0.20599999999999999</v>
      </c>
      <c r="R91" s="330">
        <v>4.4000000000000004</v>
      </c>
      <c r="S91" s="332">
        <v>1842</v>
      </c>
      <c r="T91" s="330">
        <v>0</v>
      </c>
      <c r="U91" s="330">
        <v>5.6</v>
      </c>
      <c r="V91" s="332">
        <v>34</v>
      </c>
      <c r="W91" s="330">
        <v>49.4</v>
      </c>
      <c r="X91" s="331">
        <v>0.63300000000000001</v>
      </c>
      <c r="Y91" s="331">
        <v>1.2999999999999999E-2</v>
      </c>
      <c r="Z91" s="331">
        <v>0.182</v>
      </c>
      <c r="AA91" s="330">
        <v>31.2</v>
      </c>
      <c r="AB91" s="332">
        <v>3118</v>
      </c>
      <c r="AC91" s="330">
        <v>4.3</v>
      </c>
      <c r="AD91" s="330">
        <v>34.5</v>
      </c>
      <c r="AE91" s="332">
        <v>10</v>
      </c>
      <c r="AF91" s="330">
        <v>26.8</v>
      </c>
      <c r="AG91" s="331">
        <v>1.7490000000000001</v>
      </c>
      <c r="AH91" s="331">
        <v>6.5000000000000002E-2</v>
      </c>
      <c r="AI91" s="330">
        <v>0</v>
      </c>
      <c r="AJ91" s="332">
        <v>10</v>
      </c>
      <c r="AK91" s="330">
        <v>273.2</v>
      </c>
      <c r="AL91" s="331">
        <v>7.4279999999999999</v>
      </c>
      <c r="AM91" s="331">
        <v>2.7E-2</v>
      </c>
      <c r="AN91" s="330">
        <v>34.4</v>
      </c>
      <c r="AO91" s="318">
        <f>Table2[[#This Row],[Inside_._time]]/Table2[[#This Row],[Duration]]</f>
        <v>8.9333333333333334E-2</v>
      </c>
      <c r="AP91" s="318">
        <f>Table2[[#This Row],[Outside_._time]]/Table2[[#This Row],[Duration]]</f>
        <v>0.91066666666666662</v>
      </c>
      <c r="AQ91" s="318">
        <f>Table2[[#This Row],[Inside_._distance]]/Table2[[#This Row],[Distance]]</f>
        <v>0.1905851585485453</v>
      </c>
      <c r="AR91" s="318">
        <f>Table2[[#This Row],[Outside_._distance]]/Table2[[#This Row],[Distance]]</f>
        <v>0.8094148414514547</v>
      </c>
      <c r="AS91" s="317"/>
      <c r="AT91" s="317"/>
      <c r="AU91" s="317"/>
      <c r="AV91" s="315"/>
      <c r="AW91" s="317"/>
      <c r="AX91" s="317"/>
      <c r="AY91" s="321" t="s">
        <v>486</v>
      </c>
      <c r="AZ91" s="321" t="s">
        <v>476</v>
      </c>
      <c r="BA91" s="321" t="s">
        <v>473</v>
      </c>
      <c r="BB91" s="332">
        <v>177</v>
      </c>
      <c r="BC91" s="330">
        <v>5.9</v>
      </c>
      <c r="BD91" s="330" t="s">
        <v>477</v>
      </c>
      <c r="BE91" s="321">
        <v>8</v>
      </c>
      <c r="BF91" s="321"/>
      <c r="BG91" s="270"/>
      <c r="BH91" s="270"/>
      <c r="BI91" s="270"/>
      <c r="BJ91" s="270"/>
      <c r="BK91" s="270"/>
      <c r="BL91" s="270"/>
      <c r="BM91" s="270"/>
      <c r="BN91" s="270"/>
      <c r="BO91" s="270"/>
      <c r="BP91" s="270"/>
      <c r="BQ91" s="270"/>
      <c r="BR91" s="270"/>
      <c r="BS91" s="270"/>
      <c r="BT91" s="270"/>
      <c r="BU91" s="270"/>
      <c r="BV91" s="270"/>
      <c r="BW91" s="270"/>
      <c r="BX91" s="270"/>
      <c r="BY91" s="270"/>
      <c r="BZ91" s="270"/>
      <c r="CA91" s="270"/>
      <c r="CB91" s="270"/>
      <c r="CC91" s="270"/>
      <c r="CD91" s="270"/>
      <c r="CE91" s="270"/>
      <c r="CF91" s="270"/>
      <c r="CG91" s="270"/>
      <c r="CH91" s="270"/>
      <c r="CI91" s="270"/>
      <c r="CJ91" s="270"/>
      <c r="CK91" s="270"/>
      <c r="CL91" s="270"/>
      <c r="CM91" s="270"/>
      <c r="CN91" s="270"/>
      <c r="CO91" s="270"/>
      <c r="CP91" s="270"/>
      <c r="CQ91" s="270"/>
      <c r="CR91" s="270"/>
      <c r="CS91" s="270"/>
      <c r="CT91" s="270"/>
    </row>
    <row r="92" spans="1:99" ht="12" customHeight="1" x14ac:dyDescent="0.2">
      <c r="A92" s="321">
        <v>7</v>
      </c>
      <c r="B92" s="321" t="s">
        <v>55</v>
      </c>
      <c r="C92" s="321" t="s">
        <v>40</v>
      </c>
      <c r="D92" s="321" t="s">
        <v>41</v>
      </c>
      <c r="E92" s="321" t="s">
        <v>270</v>
      </c>
      <c r="F92" s="321" t="s">
        <v>276</v>
      </c>
      <c r="G92" s="321" t="s">
        <v>277</v>
      </c>
      <c r="H92" s="330">
        <v>300</v>
      </c>
      <c r="I92" s="331">
        <v>7.1340000000000003</v>
      </c>
      <c r="J92" s="331">
        <v>2.4E-2</v>
      </c>
      <c r="K92" s="331">
        <v>0.30199999999999999</v>
      </c>
      <c r="L92" s="330">
        <v>59.3</v>
      </c>
      <c r="M92" s="332">
        <v>5</v>
      </c>
      <c r="N92" s="330">
        <v>2</v>
      </c>
      <c r="O92" s="331">
        <v>0.32100000000000001</v>
      </c>
      <c r="P92" s="331">
        <v>0.159</v>
      </c>
      <c r="Q92" s="331">
        <v>0.19400000000000001</v>
      </c>
      <c r="R92" s="330">
        <v>0.5</v>
      </c>
      <c r="S92" s="332">
        <v>270</v>
      </c>
      <c r="T92" s="330">
        <v>0</v>
      </c>
      <c r="U92" s="330">
        <v>0.9</v>
      </c>
      <c r="V92" s="332">
        <v>12</v>
      </c>
      <c r="W92" s="330">
        <v>4.8</v>
      </c>
      <c r="X92" s="331">
        <v>0.59799999999999998</v>
      </c>
      <c r="Y92" s="331">
        <v>0.124</v>
      </c>
      <c r="Z92" s="331">
        <v>0.26700000000000002</v>
      </c>
      <c r="AA92" s="330">
        <v>2.1</v>
      </c>
      <c r="AB92" s="332">
        <v>361</v>
      </c>
      <c r="AC92" s="330">
        <v>0</v>
      </c>
      <c r="AD92" s="330">
        <v>2.1</v>
      </c>
      <c r="AE92" s="332">
        <v>11</v>
      </c>
      <c r="AF92" s="330">
        <v>6.5</v>
      </c>
      <c r="AG92" s="331">
        <v>1.276</v>
      </c>
      <c r="AH92" s="331">
        <v>0.19600000000000001</v>
      </c>
      <c r="AI92" s="330">
        <v>0</v>
      </c>
      <c r="AJ92" s="332">
        <v>12</v>
      </c>
      <c r="AK92" s="330">
        <v>293.5</v>
      </c>
      <c r="AL92" s="331">
        <v>5.8579999999999997</v>
      </c>
      <c r="AM92" s="331">
        <v>0.02</v>
      </c>
      <c r="AN92" s="330">
        <v>59.3</v>
      </c>
      <c r="AO92" s="318">
        <f>Table2[[#This Row],[Inside_._time]]/Table2[[#This Row],[Duration]]</f>
        <v>2.1666666666666667E-2</v>
      </c>
      <c r="AP92" s="318">
        <f>Table2[[#This Row],[Outside_._time]]/Table2[[#This Row],[Duration]]</f>
        <v>0.97833333333333339</v>
      </c>
      <c r="AQ92" s="318">
        <f>Table2[[#This Row],[Inside_._distance]]/Table2[[#This Row],[Distance]]</f>
        <v>0.17886178861788618</v>
      </c>
      <c r="AR92" s="318">
        <f>Table2[[#This Row],[Outside_._distance]]/Table2[[#This Row],[Distance]]</f>
        <v>0.82113821138211374</v>
      </c>
      <c r="AS92" s="317"/>
      <c r="AT92" s="317"/>
      <c r="AU92" s="317"/>
      <c r="AV92" s="315"/>
      <c r="AW92" s="317"/>
      <c r="AX92" s="317"/>
      <c r="AY92" s="321" t="s">
        <v>486</v>
      </c>
      <c r="AZ92" s="321" t="s">
        <v>476</v>
      </c>
      <c r="BA92" s="321" t="s">
        <v>473</v>
      </c>
      <c r="BB92" s="332">
        <v>177</v>
      </c>
      <c r="BC92" s="330">
        <v>5.9</v>
      </c>
      <c r="BD92" s="330" t="s">
        <v>474</v>
      </c>
      <c r="BE92" s="321">
        <v>7</v>
      </c>
      <c r="BF92" s="321" t="s">
        <v>458</v>
      </c>
      <c r="BG92" s="270"/>
      <c r="BH92" s="270"/>
      <c r="BI92" s="270"/>
      <c r="BJ92" s="270"/>
      <c r="BK92" s="270"/>
      <c r="BL92" s="270"/>
      <c r="BM92" s="270"/>
      <c r="BN92" s="270"/>
      <c r="BO92" s="270"/>
      <c r="BP92" s="270"/>
      <c r="BQ92" s="270"/>
      <c r="BR92" s="270"/>
      <c r="BS92" s="270"/>
      <c r="BT92" s="270"/>
      <c r="BU92" s="270"/>
      <c r="BV92" s="270"/>
      <c r="BW92" s="270"/>
      <c r="BX92" s="270"/>
      <c r="BY92" s="270"/>
      <c r="BZ92" s="270"/>
      <c r="CA92" s="270"/>
      <c r="CB92" s="270"/>
      <c r="CC92" s="270"/>
      <c r="CD92" s="270"/>
      <c r="CE92" s="270"/>
      <c r="CF92" s="270"/>
      <c r="CG92" s="270"/>
      <c r="CH92" s="270"/>
      <c r="CI92" s="270"/>
      <c r="CJ92" s="270"/>
      <c r="CK92" s="270"/>
      <c r="CL92" s="270"/>
      <c r="CM92" s="270"/>
      <c r="CN92" s="270"/>
      <c r="CO92" s="270"/>
      <c r="CP92" s="270"/>
      <c r="CQ92" s="270"/>
      <c r="CR92" s="270"/>
      <c r="CS92" s="270"/>
      <c r="CT92" s="270"/>
    </row>
    <row r="93" spans="1:99" ht="12" customHeight="1" x14ac:dyDescent="0.2">
      <c r="A93" s="321">
        <v>5</v>
      </c>
      <c r="B93" s="321" t="s">
        <v>58</v>
      </c>
      <c r="C93" s="321" t="s">
        <v>40</v>
      </c>
      <c r="D93" s="321" t="s">
        <v>46</v>
      </c>
      <c r="E93" s="321" t="s">
        <v>270</v>
      </c>
      <c r="F93" s="321" t="s">
        <v>56</v>
      </c>
      <c r="G93" s="321" t="s">
        <v>278</v>
      </c>
      <c r="H93" s="330">
        <v>300</v>
      </c>
      <c r="I93" s="331">
        <v>10.451000000000001</v>
      </c>
      <c r="J93" s="331">
        <v>3.5000000000000003E-2</v>
      </c>
      <c r="K93" s="331">
        <v>0.28199999999999997</v>
      </c>
      <c r="L93" s="330">
        <v>40.1</v>
      </c>
      <c r="M93" s="332">
        <v>7</v>
      </c>
      <c r="N93" s="330">
        <v>11.3</v>
      </c>
      <c r="O93" s="331">
        <v>0.65800000000000003</v>
      </c>
      <c r="P93" s="331">
        <v>5.8000000000000003E-2</v>
      </c>
      <c r="Q93" s="331">
        <v>0.23</v>
      </c>
      <c r="R93" s="330">
        <v>2.6</v>
      </c>
      <c r="S93" s="332">
        <v>914</v>
      </c>
      <c r="T93" s="330">
        <v>0</v>
      </c>
      <c r="U93" s="330">
        <v>1</v>
      </c>
      <c r="V93" s="332">
        <v>12</v>
      </c>
      <c r="W93" s="330">
        <v>7.3</v>
      </c>
      <c r="X93" s="331">
        <v>0.83299999999999996</v>
      </c>
      <c r="Y93" s="331">
        <v>0.115</v>
      </c>
      <c r="Z93" s="331">
        <v>0.249</v>
      </c>
      <c r="AA93" s="330">
        <v>1.9</v>
      </c>
      <c r="AB93" s="332">
        <v>391</v>
      </c>
      <c r="AC93" s="330">
        <v>0</v>
      </c>
      <c r="AD93" s="330">
        <v>3</v>
      </c>
      <c r="AE93" s="332">
        <v>11</v>
      </c>
      <c r="AF93" s="330">
        <v>19.5</v>
      </c>
      <c r="AG93" s="331">
        <v>1.482</v>
      </c>
      <c r="AH93" s="331">
        <v>7.5999999999999998E-2</v>
      </c>
      <c r="AI93" s="330">
        <v>0</v>
      </c>
      <c r="AJ93" s="332">
        <v>11</v>
      </c>
      <c r="AK93" s="330">
        <v>280.5</v>
      </c>
      <c r="AL93" s="331">
        <v>8.9689999999999994</v>
      </c>
      <c r="AM93" s="331">
        <v>3.2000000000000001E-2</v>
      </c>
      <c r="AN93" s="330">
        <v>40.1</v>
      </c>
      <c r="AO93" s="318">
        <f>Table2[[#This Row],[Inside_._time]]/Table2[[#This Row],[Duration]]</f>
        <v>6.5000000000000002E-2</v>
      </c>
      <c r="AP93" s="318">
        <f>Table2[[#This Row],[Outside_._time]]/Table2[[#This Row],[Duration]]</f>
        <v>0.93500000000000005</v>
      </c>
      <c r="AQ93" s="318">
        <f>Table2[[#This Row],[Inside_._distance]]/Table2[[#This Row],[Distance]]</f>
        <v>0.14180461199885178</v>
      </c>
      <c r="AR93" s="318">
        <f>Table2[[#This Row],[Outside_._distance]]/Table2[[#This Row],[Distance]]</f>
        <v>0.85819538800114814</v>
      </c>
      <c r="AS93" s="317"/>
      <c r="AT93" s="317"/>
      <c r="AU93" s="317"/>
      <c r="AV93" s="315"/>
      <c r="AW93" s="317"/>
      <c r="AX93" s="317"/>
      <c r="AY93" s="321" t="s">
        <v>487</v>
      </c>
      <c r="AZ93" s="321" t="s">
        <v>476</v>
      </c>
      <c r="BA93" s="321" t="s">
        <v>473</v>
      </c>
      <c r="BB93" s="332">
        <v>177</v>
      </c>
      <c r="BC93" s="330">
        <v>5.9</v>
      </c>
      <c r="BD93" s="330" t="s">
        <v>477</v>
      </c>
      <c r="BE93" s="321">
        <v>8</v>
      </c>
      <c r="BF93" s="321"/>
      <c r="BG93" s="270"/>
      <c r="BH93" s="270"/>
      <c r="BI93" s="270"/>
      <c r="BJ93" s="270"/>
      <c r="BK93" s="270"/>
      <c r="BL93" s="270"/>
      <c r="BM93" s="270"/>
      <c r="BN93" s="270"/>
      <c r="BO93" s="270"/>
      <c r="BP93" s="270"/>
      <c r="BQ93" s="270"/>
      <c r="BR93" s="270"/>
      <c r="BS93" s="270"/>
      <c r="BT93" s="270"/>
      <c r="BU93" s="270"/>
      <c r="BV93" s="270"/>
      <c r="BW93" s="270"/>
      <c r="BX93" s="270"/>
      <c r="BY93" s="270"/>
      <c r="BZ93" s="270"/>
      <c r="CA93" s="270"/>
      <c r="CB93" s="270"/>
      <c r="CC93" s="270"/>
      <c r="CD93" s="270"/>
      <c r="CE93" s="270"/>
      <c r="CF93" s="270"/>
      <c r="CG93" s="270"/>
      <c r="CH93" s="270"/>
      <c r="CI93" s="270"/>
      <c r="CJ93" s="270"/>
      <c r="CK93" s="270"/>
      <c r="CL93" s="270"/>
      <c r="CM93" s="270"/>
      <c r="CN93" s="270"/>
      <c r="CO93" s="270"/>
      <c r="CP93" s="270"/>
      <c r="CQ93" s="270"/>
      <c r="CR93" s="270"/>
      <c r="CS93" s="270"/>
      <c r="CT93" s="270"/>
    </row>
    <row r="94" spans="1:99" ht="12" customHeight="1" x14ac:dyDescent="0.2">
      <c r="A94" s="321">
        <v>6</v>
      </c>
      <c r="B94" s="321" t="s">
        <v>60</v>
      </c>
      <c r="C94" s="321" t="s">
        <v>40</v>
      </c>
      <c r="D94" s="321" t="s">
        <v>49</v>
      </c>
      <c r="E94" s="321" t="s">
        <v>270</v>
      </c>
      <c r="F94" s="321" t="s">
        <v>276</v>
      </c>
      <c r="G94" s="321" t="s">
        <v>279</v>
      </c>
      <c r="H94" s="330">
        <v>300</v>
      </c>
      <c r="I94" s="331">
        <v>8.9640000000000004</v>
      </c>
      <c r="J94" s="331">
        <v>0.03</v>
      </c>
      <c r="K94" s="331">
        <v>0.28499999999999998</v>
      </c>
      <c r="L94" s="330">
        <v>23.5</v>
      </c>
      <c r="M94" s="332">
        <v>13</v>
      </c>
      <c r="N94" s="330">
        <v>30.5</v>
      </c>
      <c r="O94" s="331">
        <v>0.96</v>
      </c>
      <c r="P94" s="331">
        <v>3.1E-2</v>
      </c>
      <c r="Q94" s="331">
        <v>0.19700000000000001</v>
      </c>
      <c r="R94" s="330">
        <v>2.7</v>
      </c>
      <c r="S94" s="332">
        <v>1043</v>
      </c>
      <c r="T94" s="330">
        <v>1.7</v>
      </c>
      <c r="U94" s="330">
        <v>2.8</v>
      </c>
      <c r="V94" s="332">
        <v>17</v>
      </c>
      <c r="W94" s="330">
        <v>17.3</v>
      </c>
      <c r="X94" s="331">
        <v>0.63700000000000001</v>
      </c>
      <c r="Y94" s="331">
        <v>3.6999999999999998E-2</v>
      </c>
      <c r="Z94" s="331">
        <v>0.19400000000000001</v>
      </c>
      <c r="AA94" s="330">
        <v>4.4000000000000004</v>
      </c>
      <c r="AB94" s="332">
        <v>1362</v>
      </c>
      <c r="AC94" s="330">
        <v>0.1</v>
      </c>
      <c r="AD94" s="330">
        <v>5.8</v>
      </c>
      <c r="AE94" s="332">
        <v>22</v>
      </c>
      <c r="AF94" s="330">
        <v>16.5</v>
      </c>
      <c r="AG94" s="331">
        <v>1.242</v>
      </c>
      <c r="AH94" s="331">
        <v>7.4999999999999997E-2</v>
      </c>
      <c r="AI94" s="330">
        <v>0</v>
      </c>
      <c r="AJ94" s="332">
        <v>23</v>
      </c>
      <c r="AK94" s="330">
        <v>283.5</v>
      </c>
      <c r="AL94" s="331">
        <v>7.7220000000000004</v>
      </c>
      <c r="AM94" s="331">
        <v>2.7E-2</v>
      </c>
      <c r="AN94" s="330">
        <v>23.5</v>
      </c>
      <c r="AO94" s="318">
        <f>Table2[[#This Row],[Inside_._time]]/Table2[[#This Row],[Duration]]</f>
        <v>5.5E-2</v>
      </c>
      <c r="AP94" s="318">
        <f>Table2[[#This Row],[Outside_._time]]/Table2[[#This Row],[Duration]]</f>
        <v>0.94499999999999995</v>
      </c>
      <c r="AQ94" s="318">
        <f>Table2[[#This Row],[Inside_._distance]]/Table2[[#This Row],[Distance]]</f>
        <v>0.13855421686746988</v>
      </c>
      <c r="AR94" s="318">
        <f>Table2[[#This Row],[Outside_._distance]]/Table2[[#This Row],[Distance]]</f>
        <v>0.86144578313253017</v>
      </c>
      <c r="AS94" s="317"/>
      <c r="AT94" s="317"/>
      <c r="AU94" s="317"/>
      <c r="AV94" s="315"/>
      <c r="AW94" s="317"/>
      <c r="AX94" s="317"/>
      <c r="AY94" s="321" t="s">
        <v>487</v>
      </c>
      <c r="AZ94" s="321" t="s">
        <v>476</v>
      </c>
      <c r="BA94" s="321" t="s">
        <v>475</v>
      </c>
      <c r="BB94" s="332">
        <v>177</v>
      </c>
      <c r="BC94" s="330">
        <v>5.9</v>
      </c>
      <c r="BD94" s="330" t="s">
        <v>474</v>
      </c>
      <c r="BE94" s="321">
        <v>5</v>
      </c>
      <c r="BF94" s="321"/>
      <c r="BG94" s="270"/>
      <c r="BH94" s="270"/>
      <c r="BI94" s="270"/>
      <c r="BJ94" s="270"/>
      <c r="BK94" s="270"/>
      <c r="BL94" s="270"/>
      <c r="BM94" s="270"/>
      <c r="BN94" s="270"/>
      <c r="BO94" s="270"/>
      <c r="BP94" s="270"/>
      <c r="BQ94" s="270"/>
      <c r="BR94" s="270"/>
      <c r="BS94" s="270"/>
      <c r="BT94" s="270"/>
      <c r="BU94" s="270"/>
      <c r="BV94" s="270"/>
      <c r="BW94" s="270"/>
      <c r="BX94" s="270"/>
      <c r="BY94" s="270"/>
      <c r="BZ94" s="270"/>
      <c r="CA94" s="270"/>
      <c r="CB94" s="270"/>
      <c r="CC94" s="270"/>
      <c r="CD94" s="270"/>
      <c r="CE94" s="270"/>
      <c r="CF94" s="270"/>
      <c r="CG94" s="270"/>
      <c r="CH94" s="270"/>
      <c r="CI94" s="270"/>
      <c r="CJ94" s="270"/>
      <c r="CK94" s="270"/>
      <c r="CL94" s="270"/>
      <c r="CM94" s="270"/>
      <c r="CN94" s="270"/>
      <c r="CO94" s="270"/>
      <c r="CP94" s="270"/>
      <c r="CQ94" s="270"/>
      <c r="CR94" s="270"/>
      <c r="CS94" s="270"/>
      <c r="CT94" s="270"/>
    </row>
    <row r="95" spans="1:99" ht="12" customHeight="1" x14ac:dyDescent="0.2">
      <c r="A95" s="321">
        <v>8</v>
      </c>
      <c r="B95" s="321" t="s">
        <v>62</v>
      </c>
      <c r="C95" s="321" t="s">
        <v>40</v>
      </c>
      <c r="D95" s="321" t="s">
        <v>53</v>
      </c>
      <c r="E95" s="321" t="s">
        <v>270</v>
      </c>
      <c r="F95" s="321" t="s">
        <v>276</v>
      </c>
      <c r="G95" s="321" t="s">
        <v>280</v>
      </c>
      <c r="H95" s="330">
        <v>300</v>
      </c>
      <c r="I95" s="331">
        <v>12.156000000000001</v>
      </c>
      <c r="J95" s="331">
        <v>4.1000000000000002E-2</v>
      </c>
      <c r="K95" s="331">
        <v>0.22700000000000001</v>
      </c>
      <c r="L95" s="330">
        <v>17.7</v>
      </c>
      <c r="M95" s="332">
        <v>15</v>
      </c>
      <c r="N95" s="330">
        <v>41.2</v>
      </c>
      <c r="O95" s="331">
        <v>0.79200000000000004</v>
      </c>
      <c r="P95" s="331">
        <v>1.9E-2</v>
      </c>
      <c r="Q95" s="331">
        <v>0.19900000000000001</v>
      </c>
      <c r="R95" s="330">
        <v>6.3</v>
      </c>
      <c r="S95" s="332">
        <v>2564</v>
      </c>
      <c r="T95" s="330">
        <v>8.6</v>
      </c>
      <c r="U95" s="330">
        <v>3</v>
      </c>
      <c r="V95" s="332">
        <v>14</v>
      </c>
      <c r="W95" s="330">
        <v>12.8</v>
      </c>
      <c r="X95" s="331">
        <v>1.1040000000000001</v>
      </c>
      <c r="Y95" s="331">
        <v>8.5999999999999993E-2</v>
      </c>
      <c r="Z95" s="331">
        <v>0.217</v>
      </c>
      <c r="AA95" s="330">
        <v>3.6</v>
      </c>
      <c r="AB95" s="332">
        <v>1141</v>
      </c>
      <c r="AC95" s="330">
        <v>0</v>
      </c>
      <c r="AD95" s="330">
        <v>4.7</v>
      </c>
      <c r="AE95" s="332">
        <v>13</v>
      </c>
      <c r="AF95" s="330">
        <v>23.4</v>
      </c>
      <c r="AG95" s="331">
        <v>1.972</v>
      </c>
      <c r="AH95" s="331">
        <v>8.4000000000000005E-2</v>
      </c>
      <c r="AI95" s="330">
        <v>0</v>
      </c>
      <c r="AJ95" s="332">
        <v>14</v>
      </c>
      <c r="AK95" s="330">
        <v>276.60000000000002</v>
      </c>
      <c r="AL95" s="331">
        <v>10.183999999999999</v>
      </c>
      <c r="AM95" s="331">
        <v>3.6999999999999998E-2</v>
      </c>
      <c r="AN95" s="330">
        <v>17.7</v>
      </c>
      <c r="AO95" s="318">
        <f>Table2[[#This Row],[Inside_._time]]/Table2[[#This Row],[Duration]]</f>
        <v>7.8E-2</v>
      </c>
      <c r="AP95" s="318">
        <f>Table2[[#This Row],[Outside_._time]]/Table2[[#This Row],[Duration]]</f>
        <v>0.92200000000000004</v>
      </c>
      <c r="AQ95" s="318">
        <f>Table2[[#This Row],[Inside_._distance]]/Table2[[#This Row],[Distance]]</f>
        <v>0.16222441592629153</v>
      </c>
      <c r="AR95" s="318">
        <f>Table2[[#This Row],[Outside_._distance]]/Table2[[#This Row],[Distance]]</f>
        <v>0.83777558407370833</v>
      </c>
      <c r="AS95" s="317"/>
      <c r="AT95" s="317"/>
      <c r="AU95" s="317"/>
      <c r="AV95" s="315"/>
      <c r="AW95" s="317"/>
      <c r="AX95" s="317"/>
      <c r="AY95" s="321" t="s">
        <v>487</v>
      </c>
      <c r="AZ95" s="321" t="s">
        <v>476</v>
      </c>
      <c r="BA95" s="321" t="s">
        <v>473</v>
      </c>
      <c r="BB95" s="332">
        <v>177</v>
      </c>
      <c r="BC95" s="330">
        <v>5.9</v>
      </c>
      <c r="BD95" s="330" t="s">
        <v>477</v>
      </c>
      <c r="BE95" s="321">
        <v>8</v>
      </c>
      <c r="BF95" s="321" t="s">
        <v>459</v>
      </c>
      <c r="BG95" s="270"/>
      <c r="BH95" s="270"/>
      <c r="BI95" s="270"/>
      <c r="BJ95" s="270"/>
      <c r="BK95" s="270"/>
      <c r="BL95" s="270"/>
      <c r="BM95" s="270"/>
      <c r="BN95" s="270"/>
      <c r="BO95" s="270"/>
      <c r="BP95" s="270"/>
      <c r="BQ95" s="270"/>
      <c r="BR95" s="270"/>
      <c r="BS95" s="270"/>
      <c r="BT95" s="270"/>
      <c r="BU95" s="270"/>
      <c r="BV95" s="270"/>
      <c r="BW95" s="270"/>
      <c r="BX95" s="270"/>
      <c r="BY95" s="270"/>
      <c r="BZ95" s="270"/>
      <c r="CA95" s="270"/>
      <c r="CB95" s="270"/>
      <c r="CC95" s="270"/>
      <c r="CD95" s="270"/>
      <c r="CE95" s="270"/>
      <c r="CF95" s="270"/>
      <c r="CG95" s="270"/>
      <c r="CH95" s="270"/>
      <c r="CI95" s="270"/>
      <c r="CJ95" s="270"/>
      <c r="CK95" s="270"/>
      <c r="CL95" s="270"/>
      <c r="CM95" s="270"/>
      <c r="CN95" s="270"/>
      <c r="CO95" s="270"/>
      <c r="CP95" s="270"/>
      <c r="CQ95" s="270"/>
      <c r="CR95" s="270"/>
      <c r="CS95" s="270"/>
      <c r="CT95" s="270"/>
    </row>
    <row r="96" spans="1:99" ht="12" customHeight="1" x14ac:dyDescent="0.2">
      <c r="A96" s="321">
        <v>11</v>
      </c>
      <c r="B96" s="321" t="s">
        <v>64</v>
      </c>
      <c r="C96" s="321" t="s">
        <v>40</v>
      </c>
      <c r="D96" s="321" t="s">
        <v>41</v>
      </c>
      <c r="E96" s="321" t="s">
        <v>270</v>
      </c>
      <c r="F96" s="321" t="s">
        <v>281</v>
      </c>
      <c r="G96" s="321" t="s">
        <v>282</v>
      </c>
      <c r="H96" s="330">
        <v>300</v>
      </c>
      <c r="I96" s="331">
        <v>10.323</v>
      </c>
      <c r="J96" s="331">
        <v>3.4000000000000002E-2</v>
      </c>
      <c r="K96" s="331">
        <v>0.28699999999999998</v>
      </c>
      <c r="L96" s="330">
        <v>27.9</v>
      </c>
      <c r="M96" s="332">
        <v>11</v>
      </c>
      <c r="N96" s="330">
        <v>9.1999999999999993</v>
      </c>
      <c r="O96" s="331">
        <v>0.55400000000000005</v>
      </c>
      <c r="P96" s="331">
        <v>0.06</v>
      </c>
      <c r="Q96" s="331">
        <v>0.28699999999999998</v>
      </c>
      <c r="R96" s="330">
        <v>1.2</v>
      </c>
      <c r="S96" s="332">
        <v>627</v>
      </c>
      <c r="T96" s="330">
        <v>0</v>
      </c>
      <c r="U96" s="330">
        <v>6.9</v>
      </c>
      <c r="V96" s="332">
        <v>16</v>
      </c>
      <c r="W96" s="330">
        <v>35.4</v>
      </c>
      <c r="X96" s="331">
        <v>0.81799999999999995</v>
      </c>
      <c r="Y96" s="331">
        <v>2.3E-2</v>
      </c>
      <c r="Z96" s="331">
        <v>0.26100000000000001</v>
      </c>
      <c r="AA96" s="330">
        <v>0.9</v>
      </c>
      <c r="AB96" s="332">
        <v>1366</v>
      </c>
      <c r="AC96" s="330">
        <v>9.1999999999999993</v>
      </c>
      <c r="AD96" s="330">
        <v>1.4</v>
      </c>
      <c r="AE96" s="332">
        <v>11</v>
      </c>
      <c r="AF96" s="330">
        <v>10</v>
      </c>
      <c r="AG96" s="331">
        <v>0.96199999999999997</v>
      </c>
      <c r="AH96" s="331">
        <v>9.6000000000000002E-2</v>
      </c>
      <c r="AI96" s="330">
        <v>0</v>
      </c>
      <c r="AJ96" s="332">
        <v>12</v>
      </c>
      <c r="AK96" s="330">
        <v>290</v>
      </c>
      <c r="AL96" s="331">
        <v>9.3610000000000007</v>
      </c>
      <c r="AM96" s="331">
        <v>3.2000000000000001E-2</v>
      </c>
      <c r="AN96" s="330">
        <v>27.9</v>
      </c>
      <c r="AO96" s="318">
        <f>Table2[[#This Row],[Inside_._time]]/Table2[[#This Row],[Duration]]</f>
        <v>3.3333333333333333E-2</v>
      </c>
      <c r="AP96" s="318">
        <f>Table2[[#This Row],[Outside_._time]]/Table2[[#This Row],[Duration]]</f>
        <v>0.96666666666666667</v>
      </c>
      <c r="AQ96" s="318">
        <f>Table2[[#This Row],[Inside_._distance]]/Table2[[#This Row],[Distance]]</f>
        <v>9.3189964157706084E-2</v>
      </c>
      <c r="AR96" s="318">
        <f>Table2[[#This Row],[Outside_._distance]]/Table2[[#This Row],[Distance]]</f>
        <v>0.90681003584229392</v>
      </c>
      <c r="AS96" s="317"/>
      <c r="AT96" s="317"/>
      <c r="AU96" s="317"/>
      <c r="AV96" s="315"/>
      <c r="AW96" s="317"/>
      <c r="AX96" s="317"/>
      <c r="AY96" s="321" t="s">
        <v>487</v>
      </c>
      <c r="AZ96" s="321" t="s">
        <v>476</v>
      </c>
      <c r="BA96" s="321" t="s">
        <v>473</v>
      </c>
      <c r="BB96" s="332">
        <v>177</v>
      </c>
      <c r="BC96" s="330">
        <v>5.9</v>
      </c>
      <c r="BD96" s="330" t="s">
        <v>474</v>
      </c>
      <c r="BE96" s="321">
        <v>7</v>
      </c>
      <c r="BF96" s="321" t="s">
        <v>460</v>
      </c>
      <c r="BG96" s="270"/>
      <c r="BH96" s="270"/>
      <c r="BI96" s="270"/>
      <c r="BJ96" s="270"/>
      <c r="BK96" s="270"/>
      <c r="BL96" s="270"/>
      <c r="BM96" s="270"/>
      <c r="BN96" s="270"/>
      <c r="BO96" s="270"/>
      <c r="BP96" s="270"/>
      <c r="BQ96" s="270"/>
      <c r="BR96" s="270"/>
      <c r="BS96" s="270"/>
      <c r="BT96" s="270"/>
      <c r="BU96" s="270"/>
      <c r="BV96" s="270"/>
      <c r="BW96" s="270"/>
      <c r="BX96" s="270"/>
      <c r="BY96" s="270"/>
      <c r="BZ96" s="270"/>
      <c r="CA96" s="270"/>
      <c r="CB96" s="270"/>
      <c r="CC96" s="270"/>
      <c r="CD96" s="270"/>
      <c r="CE96" s="270"/>
      <c r="CF96" s="270"/>
      <c r="CG96" s="270"/>
      <c r="CH96" s="270"/>
      <c r="CI96" s="270"/>
      <c r="CJ96" s="270"/>
      <c r="CK96" s="270"/>
      <c r="CL96" s="270"/>
      <c r="CM96" s="270"/>
      <c r="CN96" s="270"/>
      <c r="CO96" s="270"/>
      <c r="CP96" s="270"/>
      <c r="CQ96" s="270"/>
      <c r="CR96" s="270"/>
      <c r="CS96" s="270"/>
      <c r="CT96" s="270"/>
    </row>
    <row r="97" spans="1:98" s="276" customFormat="1" ht="12" customHeight="1" x14ac:dyDescent="0.2">
      <c r="A97" s="333">
        <v>9</v>
      </c>
      <c r="B97" s="333" t="s">
        <v>67</v>
      </c>
      <c r="C97" s="333" t="s">
        <v>40</v>
      </c>
      <c r="D97" s="333" t="s">
        <v>46</v>
      </c>
      <c r="E97" s="333" t="s">
        <v>270</v>
      </c>
      <c r="F97" s="333" t="s">
        <v>283</v>
      </c>
      <c r="G97" s="333" t="s">
        <v>284</v>
      </c>
      <c r="H97" s="334">
        <v>300</v>
      </c>
      <c r="I97" s="335">
        <v>0</v>
      </c>
      <c r="J97" s="335">
        <v>0</v>
      </c>
      <c r="K97" s="335" t="s">
        <v>51</v>
      </c>
      <c r="L97" s="334">
        <v>28.7</v>
      </c>
      <c r="M97" s="336">
        <v>0</v>
      </c>
      <c r="N97" s="334">
        <v>0</v>
      </c>
      <c r="O97" s="335">
        <v>0</v>
      </c>
      <c r="P97" s="335" t="s">
        <v>51</v>
      </c>
      <c r="Q97" s="335" t="s">
        <v>51</v>
      </c>
      <c r="R97" s="334">
        <v>0</v>
      </c>
      <c r="S97" s="336">
        <v>0</v>
      </c>
      <c r="T97" s="334">
        <v>0</v>
      </c>
      <c r="U97" s="334" t="s">
        <v>51</v>
      </c>
      <c r="V97" s="336">
        <v>0</v>
      </c>
      <c r="W97" s="334">
        <v>0</v>
      </c>
      <c r="X97" s="335">
        <v>0</v>
      </c>
      <c r="Y97" s="335" t="s">
        <v>51</v>
      </c>
      <c r="Z97" s="335" t="s">
        <v>51</v>
      </c>
      <c r="AA97" s="334">
        <v>0</v>
      </c>
      <c r="AB97" s="336">
        <v>0</v>
      </c>
      <c r="AC97" s="334">
        <v>0</v>
      </c>
      <c r="AD97" s="334" t="s">
        <v>51</v>
      </c>
      <c r="AE97" s="336">
        <v>1</v>
      </c>
      <c r="AF97" s="334">
        <v>300</v>
      </c>
      <c r="AG97" s="335">
        <v>0</v>
      </c>
      <c r="AH97" s="335">
        <v>0</v>
      </c>
      <c r="AI97" s="334">
        <v>28.7</v>
      </c>
      <c r="AJ97" s="336">
        <v>0</v>
      </c>
      <c r="AK97" s="334">
        <v>0</v>
      </c>
      <c r="AL97" s="335">
        <v>0</v>
      </c>
      <c r="AM97" s="335" t="s">
        <v>51</v>
      </c>
      <c r="AN97" s="334">
        <v>0</v>
      </c>
      <c r="AO97" s="337">
        <f>Table2[[#This Row],[Inside_._time]]/Table2[[#This Row],[Duration]]</f>
        <v>1</v>
      </c>
      <c r="AP97" s="337">
        <f>Table2[[#This Row],[Outside_._time]]/Table2[[#This Row],[Duration]]</f>
        <v>0</v>
      </c>
      <c r="AQ97" s="337" t="e">
        <f>Table2[[#This Row],[Inside_._distance]]/Table2[[#This Row],[Distance]]</f>
        <v>#DIV/0!</v>
      </c>
      <c r="AR97" s="337" t="e">
        <f>Table2[[#This Row],[Outside_._distance]]/Table2[[#This Row],[Distance]]</f>
        <v>#DIV/0!</v>
      </c>
      <c r="AS97" s="338"/>
      <c r="AT97" s="338"/>
      <c r="AU97" s="338"/>
      <c r="AV97" s="339"/>
      <c r="AW97" s="338"/>
      <c r="AX97" s="338"/>
      <c r="AY97" s="333" t="s">
        <v>487</v>
      </c>
      <c r="AZ97" s="333" t="s">
        <v>476</v>
      </c>
      <c r="BA97" s="333" t="s">
        <v>475</v>
      </c>
      <c r="BB97" s="336">
        <v>177</v>
      </c>
      <c r="BC97" s="334">
        <v>5.9</v>
      </c>
      <c r="BD97" s="334" t="s">
        <v>477</v>
      </c>
      <c r="BE97" s="333">
        <v>6</v>
      </c>
      <c r="BF97" s="333" t="s">
        <v>461</v>
      </c>
      <c r="BG97" s="270"/>
      <c r="BH97" s="270"/>
      <c r="BI97" s="270"/>
      <c r="BJ97" s="270"/>
      <c r="BK97" s="270"/>
      <c r="BL97" s="270"/>
      <c r="BM97" s="270"/>
      <c r="BN97" s="270"/>
      <c r="BO97" s="270"/>
      <c r="BP97" s="270"/>
      <c r="BQ97" s="270"/>
      <c r="BR97" s="270"/>
      <c r="BS97" s="270"/>
      <c r="BT97" s="270"/>
      <c r="BU97" s="270"/>
      <c r="BV97" s="270"/>
      <c r="BW97" s="270"/>
      <c r="BX97" s="270"/>
      <c r="BY97" s="270"/>
      <c r="BZ97" s="270"/>
      <c r="CA97" s="270"/>
      <c r="CB97" s="270"/>
      <c r="CC97" s="270"/>
      <c r="CD97" s="270"/>
      <c r="CE97" s="270"/>
      <c r="CF97" s="270"/>
      <c r="CG97" s="270"/>
      <c r="CH97" s="270"/>
      <c r="CI97" s="270"/>
      <c r="CJ97" s="270"/>
      <c r="CK97" s="270"/>
      <c r="CL97" s="270"/>
      <c r="CM97" s="270"/>
      <c r="CN97" s="270"/>
      <c r="CO97" s="270"/>
      <c r="CP97" s="270"/>
      <c r="CQ97" s="270"/>
      <c r="CR97" s="270"/>
      <c r="CS97" s="270"/>
      <c r="CT97" s="270"/>
    </row>
    <row r="98" spans="1:98" ht="12" customHeight="1" x14ac:dyDescent="0.2">
      <c r="A98" s="321">
        <v>10</v>
      </c>
      <c r="B98" s="321" t="s">
        <v>69</v>
      </c>
      <c r="C98" s="321" t="s">
        <v>40</v>
      </c>
      <c r="D98" s="321" t="s">
        <v>49</v>
      </c>
      <c r="E98" s="321" t="s">
        <v>270</v>
      </c>
      <c r="F98" s="321" t="s">
        <v>281</v>
      </c>
      <c r="G98" s="321" t="s">
        <v>285</v>
      </c>
      <c r="H98" s="330">
        <v>300</v>
      </c>
      <c r="I98" s="331">
        <v>5.4340000000000002</v>
      </c>
      <c r="J98" s="331">
        <v>1.7999999999999999E-2</v>
      </c>
      <c r="K98" s="331">
        <v>0.21299999999999999</v>
      </c>
      <c r="L98" s="330">
        <v>25.6</v>
      </c>
      <c r="M98" s="332">
        <v>13</v>
      </c>
      <c r="N98" s="330">
        <v>27.6</v>
      </c>
      <c r="O98" s="331">
        <v>0.28499999999999998</v>
      </c>
      <c r="P98" s="331">
        <v>0.01</v>
      </c>
      <c r="Q98" s="331">
        <v>0.14199999999999999</v>
      </c>
      <c r="R98" s="330">
        <v>12.6</v>
      </c>
      <c r="S98" s="332">
        <v>1501</v>
      </c>
      <c r="T98" s="330">
        <v>0.1</v>
      </c>
      <c r="U98" s="330">
        <v>25.4</v>
      </c>
      <c r="V98" s="332">
        <v>5</v>
      </c>
      <c r="W98" s="330">
        <v>6.2</v>
      </c>
      <c r="X98" s="331">
        <v>0.33300000000000002</v>
      </c>
      <c r="Y98" s="331">
        <v>5.3999999999999999E-2</v>
      </c>
      <c r="Z98" s="331">
        <v>0.13600000000000001</v>
      </c>
      <c r="AA98" s="330">
        <v>1.3</v>
      </c>
      <c r="AB98" s="332">
        <v>386</v>
      </c>
      <c r="AC98" s="330">
        <v>0</v>
      </c>
      <c r="AD98" s="330">
        <v>2</v>
      </c>
      <c r="AE98" s="332">
        <v>6</v>
      </c>
      <c r="AF98" s="330">
        <v>63.1</v>
      </c>
      <c r="AG98" s="331">
        <v>0.77200000000000002</v>
      </c>
      <c r="AH98" s="331">
        <v>1.2E-2</v>
      </c>
      <c r="AI98" s="330">
        <v>8.3000000000000007</v>
      </c>
      <c r="AJ98" s="332">
        <v>7</v>
      </c>
      <c r="AK98" s="330">
        <v>236.9</v>
      </c>
      <c r="AL98" s="331">
        <v>4.6619999999999999</v>
      </c>
      <c r="AM98" s="331">
        <v>0.02</v>
      </c>
      <c r="AN98" s="330">
        <v>17.3</v>
      </c>
      <c r="AO98" s="318">
        <f>Table2[[#This Row],[Inside_._time]]/Table2[[#This Row],[Duration]]</f>
        <v>0.21033333333333334</v>
      </c>
      <c r="AP98" s="318">
        <f>Table2[[#This Row],[Outside_._time]]/Table2[[#This Row],[Duration]]</f>
        <v>0.78966666666666674</v>
      </c>
      <c r="AQ98" s="318">
        <f>Table2[[#This Row],[Inside_._distance]]/Table2[[#This Row],[Distance]]</f>
        <v>0.14206845785793154</v>
      </c>
      <c r="AR98" s="318">
        <f>Table2[[#This Row],[Outside_._distance]]/Table2[[#This Row],[Distance]]</f>
        <v>0.85793154214206846</v>
      </c>
      <c r="AS98" s="317"/>
      <c r="AT98" s="317"/>
      <c r="AU98" s="317"/>
      <c r="AV98" s="315"/>
      <c r="AW98" s="317"/>
      <c r="AX98" s="317"/>
      <c r="AY98" s="321" t="s">
        <v>487</v>
      </c>
      <c r="AZ98" s="321" t="s">
        <v>476</v>
      </c>
      <c r="BA98" s="321" t="s">
        <v>475</v>
      </c>
      <c r="BB98" s="332">
        <v>177</v>
      </c>
      <c r="BC98" s="330">
        <v>5.9</v>
      </c>
      <c r="BD98" s="330" t="s">
        <v>474</v>
      </c>
      <c r="BE98" s="321">
        <v>5</v>
      </c>
      <c r="BF98" s="321" t="s">
        <v>462</v>
      </c>
      <c r="BG98" s="270"/>
      <c r="BH98" s="270"/>
      <c r="BI98" s="270"/>
      <c r="BJ98" s="270"/>
      <c r="BK98" s="270"/>
      <c r="BL98" s="270"/>
      <c r="BM98" s="270"/>
      <c r="BN98" s="270"/>
      <c r="BO98" s="270"/>
      <c r="BP98" s="270"/>
      <c r="BQ98" s="270"/>
      <c r="BR98" s="270"/>
      <c r="BS98" s="270"/>
      <c r="BT98" s="270"/>
      <c r="BU98" s="270"/>
      <c r="BV98" s="270"/>
      <c r="BW98" s="270"/>
      <c r="BX98" s="270"/>
      <c r="BY98" s="270"/>
      <c r="BZ98" s="270"/>
      <c r="CA98" s="270"/>
      <c r="CB98" s="270"/>
      <c r="CC98" s="270"/>
      <c r="CD98" s="270"/>
      <c r="CE98" s="270"/>
      <c r="CF98" s="270"/>
      <c r="CG98" s="270"/>
      <c r="CH98" s="270"/>
      <c r="CI98" s="270"/>
      <c r="CJ98" s="270"/>
      <c r="CK98" s="270"/>
      <c r="CL98" s="270"/>
      <c r="CM98" s="270"/>
      <c r="CN98" s="270"/>
      <c r="CO98" s="270"/>
      <c r="CP98" s="270"/>
      <c r="CQ98" s="270"/>
      <c r="CR98" s="270"/>
      <c r="CS98" s="270"/>
      <c r="CT98" s="270"/>
    </row>
    <row r="99" spans="1:98" ht="12" customHeight="1" x14ac:dyDescent="0.2">
      <c r="A99" s="321">
        <v>12</v>
      </c>
      <c r="B99" s="321" t="s">
        <v>71</v>
      </c>
      <c r="C99" s="321" t="s">
        <v>40</v>
      </c>
      <c r="D99" s="321" t="s">
        <v>53</v>
      </c>
      <c r="E99" s="321" t="s">
        <v>270</v>
      </c>
      <c r="F99" s="321" t="s">
        <v>281</v>
      </c>
      <c r="G99" s="321" t="s">
        <v>286</v>
      </c>
      <c r="H99" s="330">
        <v>300</v>
      </c>
      <c r="I99" s="331">
        <v>6.367</v>
      </c>
      <c r="J99" s="331">
        <v>2.1000000000000001E-2</v>
      </c>
      <c r="K99" s="331">
        <v>0.247</v>
      </c>
      <c r="L99" s="330">
        <v>89.4</v>
      </c>
      <c r="M99" s="332">
        <v>13</v>
      </c>
      <c r="N99" s="330">
        <v>28.1</v>
      </c>
      <c r="O99" s="331">
        <v>0.39900000000000002</v>
      </c>
      <c r="P99" s="331">
        <v>1.4E-2</v>
      </c>
      <c r="Q99" s="331">
        <v>0.13500000000000001</v>
      </c>
      <c r="R99" s="330">
        <v>9.8000000000000007</v>
      </c>
      <c r="S99" s="332">
        <v>1812</v>
      </c>
      <c r="T99" s="330">
        <v>4.8</v>
      </c>
      <c r="U99" s="330">
        <v>2.9</v>
      </c>
      <c r="V99" s="332">
        <v>5</v>
      </c>
      <c r="W99" s="330">
        <v>5.3</v>
      </c>
      <c r="X99" s="331">
        <v>0.34399999999999997</v>
      </c>
      <c r="Y99" s="331">
        <v>6.4000000000000001E-2</v>
      </c>
      <c r="Z99" s="331">
        <v>0.22</v>
      </c>
      <c r="AA99" s="330">
        <v>3.5</v>
      </c>
      <c r="AB99" s="332">
        <v>241</v>
      </c>
      <c r="AC99" s="330">
        <v>0</v>
      </c>
      <c r="AD99" s="330">
        <v>3.6</v>
      </c>
      <c r="AE99" s="332">
        <v>7</v>
      </c>
      <c r="AF99" s="330">
        <v>82.2</v>
      </c>
      <c r="AG99" s="331">
        <v>0.995</v>
      </c>
      <c r="AH99" s="331">
        <v>1.2E-2</v>
      </c>
      <c r="AI99" s="330">
        <v>39.5</v>
      </c>
      <c r="AJ99" s="332">
        <v>8</v>
      </c>
      <c r="AK99" s="330">
        <v>217.8</v>
      </c>
      <c r="AL99" s="331">
        <v>5.3719999999999999</v>
      </c>
      <c r="AM99" s="331">
        <v>2.5000000000000001E-2</v>
      </c>
      <c r="AN99" s="330">
        <v>49.9</v>
      </c>
      <c r="AO99" s="318">
        <f>Table2[[#This Row],[Inside_._time]]/Table2[[#This Row],[Duration]]</f>
        <v>0.27400000000000002</v>
      </c>
      <c r="AP99" s="318">
        <f>Table2[[#This Row],[Outside_._time]]/Table2[[#This Row],[Duration]]</f>
        <v>0.72600000000000009</v>
      </c>
      <c r="AQ99" s="318">
        <f>Table2[[#This Row],[Inside_._distance]]/Table2[[#This Row],[Distance]]</f>
        <v>0.15627454059996859</v>
      </c>
      <c r="AR99" s="318">
        <f>Table2[[#This Row],[Outside_._distance]]/Table2[[#This Row],[Distance]]</f>
        <v>0.84372545940003141</v>
      </c>
      <c r="AS99" s="317"/>
      <c r="AT99" s="317"/>
      <c r="AU99" s="317"/>
      <c r="AV99" s="315"/>
      <c r="AW99" s="317"/>
      <c r="AX99" s="317"/>
      <c r="AY99" s="321" t="s">
        <v>487</v>
      </c>
      <c r="AZ99" s="321" t="s">
        <v>476</v>
      </c>
      <c r="BA99" s="321" t="s">
        <v>475</v>
      </c>
      <c r="BB99" s="332">
        <v>177</v>
      </c>
      <c r="BC99" s="330">
        <v>5.9</v>
      </c>
      <c r="BD99" s="330" t="s">
        <v>477</v>
      </c>
      <c r="BE99" s="321">
        <v>6</v>
      </c>
      <c r="BF99" s="321"/>
      <c r="BG99" s="270"/>
      <c r="BH99" s="270"/>
      <c r="BI99" s="270"/>
      <c r="BJ99" s="270"/>
      <c r="BK99" s="270"/>
      <c r="BL99" s="270"/>
      <c r="BM99" s="270"/>
      <c r="BN99" s="270"/>
      <c r="BO99" s="270"/>
      <c r="BP99" s="270"/>
      <c r="BQ99" s="270"/>
      <c r="BR99" s="270"/>
      <c r="BS99" s="270"/>
      <c r="BT99" s="270"/>
      <c r="BU99" s="270"/>
      <c r="BV99" s="270"/>
      <c r="BW99" s="270"/>
      <c r="BX99" s="270"/>
      <c r="BY99" s="270"/>
      <c r="BZ99" s="270"/>
      <c r="CA99" s="270"/>
      <c r="CB99" s="270"/>
      <c r="CC99" s="270"/>
      <c r="CD99" s="270"/>
      <c r="CE99" s="270"/>
      <c r="CF99" s="270"/>
      <c r="CG99" s="270"/>
      <c r="CH99" s="270"/>
      <c r="CI99" s="270"/>
      <c r="CJ99" s="270"/>
      <c r="CK99" s="270"/>
      <c r="CL99" s="270"/>
      <c r="CM99" s="270"/>
      <c r="CN99" s="270"/>
      <c r="CO99" s="270"/>
      <c r="CP99" s="270"/>
      <c r="CQ99" s="270"/>
      <c r="CR99" s="270"/>
      <c r="CS99" s="270"/>
      <c r="CT99" s="270"/>
    </row>
    <row r="100" spans="1:98" ht="12" customHeight="1" x14ac:dyDescent="0.2">
      <c r="A100" s="321">
        <v>14</v>
      </c>
      <c r="B100" s="321" t="s">
        <v>76</v>
      </c>
      <c r="C100" s="321" t="s">
        <v>40</v>
      </c>
      <c r="D100" s="321" t="s">
        <v>41</v>
      </c>
      <c r="E100" s="321" t="s">
        <v>270</v>
      </c>
      <c r="F100" s="321" t="s">
        <v>287</v>
      </c>
      <c r="G100" s="321" t="s">
        <v>288</v>
      </c>
      <c r="H100" s="330">
        <v>300</v>
      </c>
      <c r="I100" s="331">
        <v>14.292999999999999</v>
      </c>
      <c r="J100" s="331">
        <v>4.8000000000000001E-2</v>
      </c>
      <c r="K100" s="331">
        <v>0.29499999999999998</v>
      </c>
      <c r="L100" s="330">
        <v>25.9</v>
      </c>
      <c r="M100" s="332">
        <v>22</v>
      </c>
      <c r="N100" s="330">
        <v>22.2</v>
      </c>
      <c r="O100" s="331">
        <v>1.2769999999999999</v>
      </c>
      <c r="P100" s="331">
        <v>5.7000000000000002E-2</v>
      </c>
      <c r="Q100" s="331">
        <v>0.23799999999999999</v>
      </c>
      <c r="R100" s="330">
        <v>5.0999999999999996</v>
      </c>
      <c r="S100" s="332">
        <v>1741</v>
      </c>
      <c r="T100" s="330">
        <v>3.7</v>
      </c>
      <c r="U100" s="330">
        <v>7.4</v>
      </c>
      <c r="V100" s="332">
        <v>21</v>
      </c>
      <c r="W100" s="330">
        <v>16.8</v>
      </c>
      <c r="X100" s="331">
        <v>1.383</v>
      </c>
      <c r="Y100" s="331">
        <v>8.2000000000000003E-2</v>
      </c>
      <c r="Z100" s="331">
        <v>0.19900000000000001</v>
      </c>
      <c r="AA100" s="330">
        <v>3.1</v>
      </c>
      <c r="AB100" s="332">
        <v>1365</v>
      </c>
      <c r="AC100" s="330">
        <v>0</v>
      </c>
      <c r="AD100" s="330">
        <v>5.0999999999999996</v>
      </c>
      <c r="AE100" s="332">
        <v>34</v>
      </c>
      <c r="AF100" s="330">
        <v>58.1</v>
      </c>
      <c r="AG100" s="331">
        <v>3.6819999999999999</v>
      </c>
      <c r="AH100" s="331">
        <v>6.3E-2</v>
      </c>
      <c r="AI100" s="330">
        <v>7.8</v>
      </c>
      <c r="AJ100" s="332">
        <v>33</v>
      </c>
      <c r="AK100" s="330">
        <v>241.9</v>
      </c>
      <c r="AL100" s="331">
        <v>10.611000000000001</v>
      </c>
      <c r="AM100" s="331">
        <v>4.3999999999999997E-2</v>
      </c>
      <c r="AN100" s="330">
        <v>18.100000000000001</v>
      </c>
      <c r="AO100" s="318">
        <f>Table2[[#This Row],[Inside_._time]]/Table2[[#This Row],[Duration]]</f>
        <v>0.19366666666666668</v>
      </c>
      <c r="AP100" s="318">
        <f>Table2[[#This Row],[Outside_._time]]/Table2[[#This Row],[Duration]]</f>
        <v>0.80633333333333335</v>
      </c>
      <c r="AQ100" s="318">
        <f>Table2[[#This Row],[Inside_._distance]]/Table2[[#This Row],[Distance]]</f>
        <v>0.25760861960400194</v>
      </c>
      <c r="AR100" s="318">
        <f>Table2[[#This Row],[Outside_._distance]]/Table2[[#This Row],[Distance]]</f>
        <v>0.74239138039599817</v>
      </c>
      <c r="AS100" s="317"/>
      <c r="AT100" s="317"/>
      <c r="AU100" s="317"/>
      <c r="AV100" s="315"/>
      <c r="AW100" s="317"/>
      <c r="AX100" s="317"/>
      <c r="AY100" s="321" t="s">
        <v>486</v>
      </c>
      <c r="AZ100" s="321" t="s">
        <v>472</v>
      </c>
      <c r="BA100" s="321" t="s">
        <v>473</v>
      </c>
      <c r="BB100" s="332">
        <v>169</v>
      </c>
      <c r="BC100" s="330">
        <v>5.6333333333333337</v>
      </c>
      <c r="BD100" s="321" t="s">
        <v>477</v>
      </c>
      <c r="BE100" s="321">
        <v>4</v>
      </c>
      <c r="BF100" s="321" t="s">
        <v>463</v>
      </c>
      <c r="BG100" s="270"/>
      <c r="BH100" s="270"/>
      <c r="BI100" s="270"/>
      <c r="BJ100" s="270"/>
      <c r="BK100" s="270"/>
      <c r="BL100" s="270"/>
      <c r="BM100" s="270"/>
      <c r="BN100" s="270"/>
      <c r="BO100" s="270"/>
      <c r="BP100" s="270"/>
      <c r="BQ100" s="270"/>
      <c r="BR100" s="270"/>
      <c r="BS100" s="270"/>
      <c r="BT100" s="270"/>
      <c r="BU100" s="270"/>
      <c r="BV100" s="270"/>
      <c r="BW100" s="270"/>
      <c r="BX100" s="270"/>
      <c r="BY100" s="270"/>
      <c r="BZ100" s="270"/>
      <c r="CA100" s="270"/>
      <c r="CB100" s="270"/>
      <c r="CC100" s="270"/>
      <c r="CD100" s="270"/>
      <c r="CE100" s="270"/>
      <c r="CF100" s="270"/>
      <c r="CG100" s="270"/>
      <c r="CH100" s="270"/>
      <c r="CI100" s="270"/>
      <c r="CJ100" s="270"/>
      <c r="CK100" s="270"/>
      <c r="CL100" s="270"/>
      <c r="CM100" s="270"/>
      <c r="CN100" s="270"/>
      <c r="CO100" s="270"/>
      <c r="CP100" s="270"/>
      <c r="CQ100" s="270"/>
      <c r="CR100" s="270"/>
      <c r="CS100" s="270"/>
      <c r="CT100" s="270"/>
    </row>
    <row r="101" spans="1:98" ht="12" customHeight="1" x14ac:dyDescent="0.2">
      <c r="A101" s="321">
        <v>13</v>
      </c>
      <c r="B101" s="321" t="s">
        <v>78</v>
      </c>
      <c r="C101" s="321" t="s">
        <v>40</v>
      </c>
      <c r="D101" s="321" t="s">
        <v>46</v>
      </c>
      <c r="E101" s="321" t="s">
        <v>270</v>
      </c>
      <c r="F101" s="321" t="s">
        <v>289</v>
      </c>
      <c r="G101" s="321" t="s">
        <v>290</v>
      </c>
      <c r="H101" s="330">
        <v>300</v>
      </c>
      <c r="I101" s="331">
        <v>9.1869999999999994</v>
      </c>
      <c r="J101" s="331">
        <v>3.1E-2</v>
      </c>
      <c r="K101" s="331">
        <v>0.28199999999999997</v>
      </c>
      <c r="L101" s="330">
        <v>68.7</v>
      </c>
      <c r="M101" s="332">
        <v>17</v>
      </c>
      <c r="N101" s="330">
        <v>29.6</v>
      </c>
      <c r="O101" s="331">
        <v>0.83899999999999997</v>
      </c>
      <c r="P101" s="331">
        <v>2.8000000000000001E-2</v>
      </c>
      <c r="Q101" s="331">
        <v>0.20799999999999999</v>
      </c>
      <c r="R101" s="330">
        <v>23.7</v>
      </c>
      <c r="S101" s="332">
        <v>1185</v>
      </c>
      <c r="T101" s="330">
        <v>2.6</v>
      </c>
      <c r="U101" s="330">
        <v>25.7</v>
      </c>
      <c r="V101" s="332">
        <v>16</v>
      </c>
      <c r="W101" s="330">
        <v>17.3</v>
      </c>
      <c r="X101" s="331">
        <v>0.73699999999999999</v>
      </c>
      <c r="Y101" s="331">
        <v>4.2999999999999997E-2</v>
      </c>
      <c r="Z101" s="331">
        <v>0.24299999999999999</v>
      </c>
      <c r="AA101" s="330">
        <v>7.1</v>
      </c>
      <c r="AB101" s="332">
        <v>1164</v>
      </c>
      <c r="AC101" s="330">
        <v>1.3</v>
      </c>
      <c r="AD101" s="330">
        <v>2.8</v>
      </c>
      <c r="AE101" s="332">
        <v>13</v>
      </c>
      <c r="AF101" s="330">
        <v>14.2</v>
      </c>
      <c r="AG101" s="331">
        <v>0.875</v>
      </c>
      <c r="AH101" s="331">
        <v>6.2E-2</v>
      </c>
      <c r="AI101" s="330">
        <v>0</v>
      </c>
      <c r="AJ101" s="332">
        <v>14</v>
      </c>
      <c r="AK101" s="330">
        <v>285.8</v>
      </c>
      <c r="AL101" s="331">
        <v>8.3109999999999999</v>
      </c>
      <c r="AM101" s="331">
        <v>2.9000000000000001E-2</v>
      </c>
      <c r="AN101" s="330">
        <v>68.7</v>
      </c>
      <c r="AO101" s="318">
        <f>Table2[[#This Row],[Inside_._time]]/Table2[[#This Row],[Duration]]</f>
        <v>4.7333333333333331E-2</v>
      </c>
      <c r="AP101" s="318">
        <f>Table2[[#This Row],[Outside_._time]]/Table2[[#This Row],[Duration]]</f>
        <v>0.95266666666666666</v>
      </c>
      <c r="AQ101" s="318">
        <f>Table2[[#This Row],[Inside_._distance]]/Table2[[#This Row],[Distance]]</f>
        <v>9.5243278545771207E-2</v>
      </c>
      <c r="AR101" s="318">
        <f>Table2[[#This Row],[Outside_._distance]]/Table2[[#This Row],[Distance]]</f>
        <v>0.90464787199303365</v>
      </c>
      <c r="AS101" s="317"/>
      <c r="AT101" s="317"/>
      <c r="AU101" s="317"/>
      <c r="AV101" s="315"/>
      <c r="AW101" s="317"/>
      <c r="AX101" s="317"/>
      <c r="AY101" s="321" t="s">
        <v>487</v>
      </c>
      <c r="AZ101" s="321" t="s">
        <v>472</v>
      </c>
      <c r="BA101" s="321" t="s">
        <v>475</v>
      </c>
      <c r="BB101" s="332">
        <v>169</v>
      </c>
      <c r="BC101" s="330">
        <v>5.6333333333333337</v>
      </c>
      <c r="BD101" s="321" t="s">
        <v>474</v>
      </c>
      <c r="BE101" s="321">
        <v>1</v>
      </c>
      <c r="BF101" s="321"/>
      <c r="BG101" s="270"/>
      <c r="BH101" s="270"/>
      <c r="BI101" s="270"/>
      <c r="BJ101" s="270"/>
      <c r="BK101" s="270"/>
      <c r="BL101" s="270"/>
      <c r="BM101" s="270"/>
      <c r="BN101" s="270"/>
      <c r="BO101" s="270"/>
      <c r="BP101" s="270"/>
      <c r="BQ101" s="270"/>
      <c r="BR101" s="270"/>
      <c r="BS101" s="270"/>
      <c r="BT101" s="270"/>
      <c r="BU101" s="270"/>
      <c r="BV101" s="270"/>
      <c r="BW101" s="270"/>
      <c r="BX101" s="270"/>
      <c r="BY101" s="270"/>
      <c r="BZ101" s="270"/>
      <c r="CA101" s="270"/>
      <c r="CB101" s="270"/>
      <c r="CC101" s="270"/>
      <c r="CD101" s="270"/>
      <c r="CE101" s="270"/>
      <c r="CF101" s="270"/>
      <c r="CG101" s="270"/>
      <c r="CH101" s="270"/>
      <c r="CI101" s="270"/>
      <c r="CJ101" s="270"/>
      <c r="CK101" s="270"/>
      <c r="CL101" s="270"/>
      <c r="CM101" s="270"/>
      <c r="CN101" s="270"/>
      <c r="CO101" s="270"/>
      <c r="CP101" s="270"/>
      <c r="CQ101" s="270"/>
      <c r="CR101" s="270"/>
      <c r="CS101" s="270"/>
      <c r="CT101" s="270"/>
    </row>
    <row r="102" spans="1:98" ht="12" customHeight="1" x14ac:dyDescent="0.2">
      <c r="A102" s="321">
        <v>16</v>
      </c>
      <c r="B102" s="321" t="s">
        <v>80</v>
      </c>
      <c r="C102" s="321" t="s">
        <v>40</v>
      </c>
      <c r="D102" s="321" t="s">
        <v>49</v>
      </c>
      <c r="E102" s="321" t="s">
        <v>270</v>
      </c>
      <c r="F102" s="321" t="s">
        <v>291</v>
      </c>
      <c r="G102" s="321" t="s">
        <v>292</v>
      </c>
      <c r="H102" s="330">
        <v>300</v>
      </c>
      <c r="I102" s="331">
        <v>15.336</v>
      </c>
      <c r="J102" s="331">
        <v>5.0999999999999997E-2</v>
      </c>
      <c r="K102" s="331">
        <v>0.26200000000000001</v>
      </c>
      <c r="L102" s="330">
        <v>6.1</v>
      </c>
      <c r="M102" s="332">
        <v>33</v>
      </c>
      <c r="N102" s="330">
        <v>36.799999999999997</v>
      </c>
      <c r="O102" s="331">
        <v>1.7370000000000001</v>
      </c>
      <c r="P102" s="331">
        <v>4.7E-2</v>
      </c>
      <c r="Q102" s="331">
        <v>0.25700000000000001</v>
      </c>
      <c r="R102" s="330">
        <v>4.2</v>
      </c>
      <c r="S102" s="332">
        <v>2540</v>
      </c>
      <c r="T102" s="330">
        <v>1.2</v>
      </c>
      <c r="U102" s="330">
        <v>6.2</v>
      </c>
      <c r="V102" s="332">
        <v>28</v>
      </c>
      <c r="W102" s="330">
        <v>13.3</v>
      </c>
      <c r="X102" s="331">
        <v>1.329</v>
      </c>
      <c r="Y102" s="331">
        <v>0.1</v>
      </c>
      <c r="Z102" s="331">
        <v>0.21</v>
      </c>
      <c r="AA102" s="330">
        <v>3.8</v>
      </c>
      <c r="AB102" s="332">
        <v>1560</v>
      </c>
      <c r="AC102" s="330">
        <v>0</v>
      </c>
      <c r="AD102" s="330">
        <v>6.2</v>
      </c>
      <c r="AE102" s="332">
        <v>31</v>
      </c>
      <c r="AF102" s="330">
        <v>50.9</v>
      </c>
      <c r="AG102" s="331">
        <v>4.5439999999999996</v>
      </c>
      <c r="AH102" s="331">
        <v>8.8999999999999996E-2</v>
      </c>
      <c r="AI102" s="330">
        <v>0</v>
      </c>
      <c r="AJ102" s="332">
        <v>31</v>
      </c>
      <c r="AK102" s="330">
        <v>249.1</v>
      </c>
      <c r="AL102" s="331">
        <v>10.791</v>
      </c>
      <c r="AM102" s="331">
        <v>4.2999999999999997E-2</v>
      </c>
      <c r="AN102" s="330">
        <v>6.1</v>
      </c>
      <c r="AO102" s="318">
        <f>Table2[[#This Row],[Inside_._time]]/Table2[[#This Row],[Duration]]</f>
        <v>0.16966666666666666</v>
      </c>
      <c r="AP102" s="318">
        <f>Table2[[#This Row],[Outside_._time]]/Table2[[#This Row],[Duration]]</f>
        <v>0.83033333333333337</v>
      </c>
      <c r="AQ102" s="318">
        <f>Table2[[#This Row],[Inside_._distance]]/Table2[[#This Row],[Distance]]</f>
        <v>0.29629629629629628</v>
      </c>
      <c r="AR102" s="318">
        <f>Table2[[#This Row],[Outside_._distance]]/Table2[[#This Row],[Distance]]</f>
        <v>0.70363849765258213</v>
      </c>
      <c r="AS102" s="317"/>
      <c r="AT102" s="317"/>
      <c r="AU102" s="317"/>
      <c r="AV102" s="315"/>
      <c r="AW102" s="317"/>
      <c r="AX102" s="317"/>
      <c r="AY102" s="321" t="s">
        <v>487</v>
      </c>
      <c r="AZ102" s="321" t="s">
        <v>476</v>
      </c>
      <c r="BA102" s="321" t="s">
        <v>473</v>
      </c>
      <c r="BB102" s="332">
        <v>169</v>
      </c>
      <c r="BC102" s="330">
        <v>5.6333333333333337</v>
      </c>
      <c r="BD102" s="321" t="s">
        <v>474</v>
      </c>
      <c r="BE102" s="321">
        <v>7</v>
      </c>
      <c r="BF102" s="321"/>
      <c r="BG102" s="270"/>
      <c r="BH102" s="270"/>
      <c r="BI102" s="270"/>
      <c r="BJ102" s="270"/>
      <c r="BK102" s="270"/>
      <c r="BL102" s="270"/>
      <c r="BM102" s="270"/>
      <c r="BN102" s="270"/>
      <c r="BO102" s="270"/>
      <c r="BP102" s="270"/>
      <c r="BQ102" s="270"/>
      <c r="BR102" s="270"/>
      <c r="BS102" s="270"/>
      <c r="BT102" s="270"/>
      <c r="BU102" s="270"/>
      <c r="BV102" s="270"/>
      <c r="BW102" s="270"/>
      <c r="BX102" s="270"/>
      <c r="BY102" s="270"/>
      <c r="BZ102" s="270"/>
      <c r="CA102" s="270"/>
      <c r="CB102" s="270"/>
      <c r="CC102" s="270"/>
      <c r="CD102" s="270"/>
      <c r="CE102" s="270"/>
      <c r="CF102" s="270"/>
      <c r="CG102" s="270"/>
      <c r="CH102" s="270"/>
      <c r="CI102" s="270"/>
      <c r="CJ102" s="270"/>
      <c r="CK102" s="270"/>
      <c r="CL102" s="270"/>
      <c r="CM102" s="270"/>
      <c r="CN102" s="270"/>
      <c r="CO102" s="270"/>
      <c r="CP102" s="270"/>
      <c r="CQ102" s="270"/>
      <c r="CR102" s="270"/>
      <c r="CS102" s="270"/>
      <c r="CT102" s="270"/>
    </row>
    <row r="103" spans="1:98" ht="12" customHeight="1" x14ac:dyDescent="0.2">
      <c r="A103" s="321">
        <v>15</v>
      </c>
      <c r="B103" s="321" t="s">
        <v>82</v>
      </c>
      <c r="C103" s="321" t="s">
        <v>40</v>
      </c>
      <c r="D103" s="321" t="s">
        <v>53</v>
      </c>
      <c r="E103" s="321" t="s">
        <v>270</v>
      </c>
      <c r="F103" s="321" t="s">
        <v>291</v>
      </c>
      <c r="G103" s="321" t="s">
        <v>293</v>
      </c>
      <c r="H103" s="330">
        <v>300</v>
      </c>
      <c r="I103" s="331">
        <v>5.4660000000000002</v>
      </c>
      <c r="J103" s="331">
        <v>1.7999999999999999E-2</v>
      </c>
      <c r="K103" s="331">
        <v>0.249</v>
      </c>
      <c r="L103" s="330">
        <v>45.5</v>
      </c>
      <c r="M103" s="332">
        <v>7</v>
      </c>
      <c r="N103" s="330">
        <v>9.3000000000000007</v>
      </c>
      <c r="O103" s="331">
        <v>0.42299999999999999</v>
      </c>
      <c r="P103" s="331">
        <v>4.5999999999999999E-2</v>
      </c>
      <c r="Q103" s="331">
        <v>0.20599999999999999</v>
      </c>
      <c r="R103" s="330">
        <v>0.2</v>
      </c>
      <c r="S103" s="332">
        <v>787</v>
      </c>
      <c r="T103" s="330">
        <v>0</v>
      </c>
      <c r="U103" s="330">
        <v>0.6</v>
      </c>
      <c r="V103" s="332">
        <v>9</v>
      </c>
      <c r="W103" s="330">
        <v>19</v>
      </c>
      <c r="X103" s="331">
        <v>0.22700000000000001</v>
      </c>
      <c r="Y103" s="331">
        <v>1.2E-2</v>
      </c>
      <c r="Z103" s="331">
        <v>0.21299999999999999</v>
      </c>
      <c r="AA103" s="330">
        <v>0.3</v>
      </c>
      <c r="AB103" s="332">
        <v>1390</v>
      </c>
      <c r="AC103" s="330">
        <v>6.3</v>
      </c>
      <c r="AD103" s="330">
        <v>0.4</v>
      </c>
      <c r="AE103" s="332">
        <v>18</v>
      </c>
      <c r="AF103" s="330">
        <v>24</v>
      </c>
      <c r="AG103" s="331">
        <v>0.78</v>
      </c>
      <c r="AH103" s="331">
        <v>3.2000000000000001E-2</v>
      </c>
      <c r="AI103" s="330">
        <v>1.2</v>
      </c>
      <c r="AJ103" s="332">
        <v>19</v>
      </c>
      <c r="AK103" s="330">
        <v>276</v>
      </c>
      <c r="AL103" s="331">
        <v>4.6859999999999999</v>
      </c>
      <c r="AM103" s="331">
        <v>1.7000000000000001E-2</v>
      </c>
      <c r="AN103" s="330">
        <v>44.3</v>
      </c>
      <c r="AO103" s="318">
        <f>Table2[[#This Row],[Inside_._time]]/Table2[[#This Row],[Duration]]</f>
        <v>0.08</v>
      </c>
      <c r="AP103" s="318">
        <f>Table2[[#This Row],[Outside_._time]]/Table2[[#This Row],[Duration]]</f>
        <v>0.92</v>
      </c>
      <c r="AQ103" s="318">
        <f>Table2[[#This Row],[Inside_._distance]]/Table2[[#This Row],[Distance]]</f>
        <v>0.14270032930845225</v>
      </c>
      <c r="AR103" s="318">
        <f>Table2[[#This Row],[Outside_._distance]]/Table2[[#This Row],[Distance]]</f>
        <v>0.85729967069154767</v>
      </c>
      <c r="AS103" s="317"/>
      <c r="AT103" s="317"/>
      <c r="AU103" s="317"/>
      <c r="AV103" s="315"/>
      <c r="AW103" s="317"/>
      <c r="AX103" s="317"/>
      <c r="AY103" s="321" t="s">
        <v>487</v>
      </c>
      <c r="AZ103" s="321" t="s">
        <v>472</v>
      </c>
      <c r="BA103" s="321" t="s">
        <v>473</v>
      </c>
      <c r="BB103" s="332">
        <v>169</v>
      </c>
      <c r="BC103" s="330">
        <v>5.6333333333333337</v>
      </c>
      <c r="BD103" s="321" t="s">
        <v>474</v>
      </c>
      <c r="BE103" s="321">
        <v>3</v>
      </c>
      <c r="BF103" s="321"/>
      <c r="BG103" s="270"/>
      <c r="BH103" s="270"/>
      <c r="BI103" s="270"/>
      <c r="BJ103" s="270"/>
      <c r="BK103" s="270"/>
      <c r="BL103" s="270"/>
      <c r="BM103" s="270"/>
      <c r="BN103" s="270"/>
      <c r="BO103" s="270"/>
      <c r="BP103" s="270"/>
      <c r="BQ103" s="270"/>
      <c r="BR103" s="270"/>
      <c r="BS103" s="270"/>
      <c r="BT103" s="270"/>
      <c r="BU103" s="270"/>
      <c r="BV103" s="270"/>
      <c r="BW103" s="270"/>
      <c r="BX103" s="270"/>
      <c r="BY103" s="270"/>
      <c r="BZ103" s="270"/>
      <c r="CA103" s="270"/>
      <c r="CB103" s="270"/>
      <c r="CC103" s="270"/>
      <c r="CD103" s="270"/>
      <c r="CE103" s="270"/>
      <c r="CF103" s="270"/>
      <c r="CG103" s="270"/>
      <c r="CH103" s="270"/>
      <c r="CI103" s="270"/>
      <c r="CJ103" s="270"/>
      <c r="CK103" s="270"/>
      <c r="CL103" s="270"/>
      <c r="CM103" s="270"/>
      <c r="CN103" s="270"/>
      <c r="CO103" s="270"/>
      <c r="CP103" s="270"/>
      <c r="CQ103" s="270"/>
      <c r="CR103" s="270"/>
      <c r="CS103" s="270"/>
      <c r="CT103" s="270"/>
    </row>
    <row r="104" spans="1:98" ht="12" customHeight="1" x14ac:dyDescent="0.2">
      <c r="A104" s="321">
        <v>18</v>
      </c>
      <c r="B104" s="321" t="s">
        <v>85</v>
      </c>
      <c r="C104" s="321" t="s">
        <v>40</v>
      </c>
      <c r="D104" s="321" t="s">
        <v>41</v>
      </c>
      <c r="E104" s="321" t="s">
        <v>270</v>
      </c>
      <c r="F104" s="321" t="s">
        <v>294</v>
      </c>
      <c r="G104" s="321" t="s">
        <v>295</v>
      </c>
      <c r="H104" s="330">
        <v>300</v>
      </c>
      <c r="I104" s="331">
        <v>3.9990000000000001</v>
      </c>
      <c r="J104" s="331">
        <v>1.2999999999999999E-2</v>
      </c>
      <c r="K104" s="331">
        <v>0.221</v>
      </c>
      <c r="L104" s="330">
        <v>120</v>
      </c>
      <c r="M104" s="332">
        <v>8</v>
      </c>
      <c r="N104" s="330">
        <v>58.2</v>
      </c>
      <c r="O104" s="331">
        <v>0.48</v>
      </c>
      <c r="P104" s="331">
        <v>8.0000000000000002E-3</v>
      </c>
      <c r="Q104" s="331">
        <v>0.22</v>
      </c>
      <c r="R104" s="330">
        <v>21.8</v>
      </c>
      <c r="S104" s="332">
        <v>2857</v>
      </c>
      <c r="T104" s="330">
        <v>20</v>
      </c>
      <c r="U104" s="330">
        <v>0.9</v>
      </c>
      <c r="V104" s="332">
        <v>6</v>
      </c>
      <c r="W104" s="330">
        <v>3.6</v>
      </c>
      <c r="X104" s="331">
        <v>0.27500000000000002</v>
      </c>
      <c r="Y104" s="331">
        <v>7.6999999999999999E-2</v>
      </c>
      <c r="Z104" s="331">
        <v>0.17399999999999999</v>
      </c>
      <c r="AA104" s="330">
        <v>0.4</v>
      </c>
      <c r="AB104" s="332">
        <v>363</v>
      </c>
      <c r="AC104" s="330">
        <v>0</v>
      </c>
      <c r="AD104" s="330">
        <v>0.5</v>
      </c>
      <c r="AE104" s="332">
        <v>8</v>
      </c>
      <c r="AF104" s="330">
        <v>14.4</v>
      </c>
      <c r="AG104" s="331">
        <v>0.621</v>
      </c>
      <c r="AH104" s="331">
        <v>4.2999999999999997E-2</v>
      </c>
      <c r="AI104" s="330">
        <v>1.9</v>
      </c>
      <c r="AJ104" s="332">
        <v>9</v>
      </c>
      <c r="AK104" s="330">
        <v>285.60000000000002</v>
      </c>
      <c r="AL104" s="331">
        <v>3.3780000000000001</v>
      </c>
      <c r="AM104" s="331">
        <v>1.2E-2</v>
      </c>
      <c r="AN104" s="330">
        <v>118</v>
      </c>
      <c r="AO104" s="318">
        <f>Table2[[#This Row],[Inside_._time]]/Table2[[#This Row],[Duration]]</f>
        <v>4.8000000000000001E-2</v>
      </c>
      <c r="AP104" s="318">
        <f>Table2[[#This Row],[Outside_._time]]/Table2[[#This Row],[Duration]]</f>
        <v>0.95200000000000007</v>
      </c>
      <c r="AQ104" s="318">
        <f>Table2[[#This Row],[Inside_._distance]]/Table2[[#This Row],[Distance]]</f>
        <v>0.15528882220555137</v>
      </c>
      <c r="AR104" s="318">
        <f>Table2[[#This Row],[Outside_._distance]]/Table2[[#This Row],[Distance]]</f>
        <v>0.8447111777944486</v>
      </c>
      <c r="AS104" s="317"/>
      <c r="AT104" s="317"/>
      <c r="AU104" s="317"/>
      <c r="AV104" s="315"/>
      <c r="AW104" s="317"/>
      <c r="AX104" s="317"/>
      <c r="AY104" s="321" t="s">
        <v>486</v>
      </c>
      <c r="AZ104" s="321" t="s">
        <v>472</v>
      </c>
      <c r="BA104" s="321" t="s">
        <v>473</v>
      </c>
      <c r="BB104" s="332">
        <v>159</v>
      </c>
      <c r="BC104" s="330">
        <v>5.3</v>
      </c>
      <c r="BD104" s="321" t="s">
        <v>474</v>
      </c>
      <c r="BE104" s="321">
        <v>3</v>
      </c>
      <c r="BF104" s="321"/>
      <c r="BG104" s="270"/>
      <c r="BH104" s="270"/>
      <c r="BI104" s="270"/>
      <c r="BJ104" s="270"/>
      <c r="BK104" s="270"/>
      <c r="BL104" s="270"/>
      <c r="BM104" s="270"/>
      <c r="BN104" s="270"/>
      <c r="BO104" s="270"/>
      <c r="BP104" s="270"/>
      <c r="BQ104" s="270"/>
      <c r="BR104" s="270"/>
      <c r="BS104" s="270"/>
      <c r="BT104" s="270"/>
      <c r="BU104" s="270"/>
      <c r="BV104" s="270"/>
      <c r="BW104" s="270"/>
      <c r="BX104" s="270"/>
      <c r="BY104" s="270"/>
      <c r="BZ104" s="270"/>
      <c r="CA104" s="270"/>
      <c r="CB104" s="270"/>
      <c r="CC104" s="270"/>
      <c r="CD104" s="270"/>
      <c r="CE104" s="270"/>
      <c r="CF104" s="270"/>
      <c r="CG104" s="270"/>
      <c r="CH104" s="270"/>
      <c r="CI104" s="270"/>
      <c r="CJ104" s="270"/>
      <c r="CK104" s="270"/>
      <c r="CL104" s="270"/>
      <c r="CM104" s="270"/>
      <c r="CN104" s="270"/>
      <c r="CO104" s="270"/>
      <c r="CP104" s="270"/>
      <c r="CQ104" s="270"/>
      <c r="CR104" s="270"/>
      <c r="CS104" s="270"/>
      <c r="CT104" s="270"/>
    </row>
    <row r="105" spans="1:98" ht="12" customHeight="1" x14ac:dyDescent="0.2">
      <c r="A105" s="321">
        <v>17</v>
      </c>
      <c r="B105" s="321" t="s">
        <v>87</v>
      </c>
      <c r="C105" s="321" t="s">
        <v>40</v>
      </c>
      <c r="D105" s="321" t="s">
        <v>46</v>
      </c>
      <c r="E105" s="321" t="s">
        <v>270</v>
      </c>
      <c r="F105" s="321" t="s">
        <v>296</v>
      </c>
      <c r="G105" s="321" t="s">
        <v>297</v>
      </c>
      <c r="H105" s="330">
        <v>300</v>
      </c>
      <c r="I105" s="331">
        <v>4.5190000000000001</v>
      </c>
      <c r="J105" s="331">
        <v>1.4999999999999999E-2</v>
      </c>
      <c r="K105" s="331">
        <v>0.25</v>
      </c>
      <c r="L105" s="330">
        <v>105.8</v>
      </c>
      <c r="M105" s="332">
        <v>11</v>
      </c>
      <c r="N105" s="330">
        <v>39.1</v>
      </c>
      <c r="O105" s="331">
        <v>0.49199999999999999</v>
      </c>
      <c r="P105" s="331">
        <v>1.2999999999999999E-2</v>
      </c>
      <c r="Q105" s="331">
        <v>0.23899999999999999</v>
      </c>
      <c r="R105" s="330">
        <v>5.6</v>
      </c>
      <c r="S105" s="332">
        <v>1726</v>
      </c>
      <c r="T105" s="330">
        <v>16.899999999999999</v>
      </c>
      <c r="U105" s="330">
        <v>0.9</v>
      </c>
      <c r="V105" s="332">
        <v>24</v>
      </c>
      <c r="W105" s="330">
        <v>25.4</v>
      </c>
      <c r="X105" s="331">
        <v>0.40100000000000002</v>
      </c>
      <c r="Y105" s="331">
        <v>1.6E-2</v>
      </c>
      <c r="Z105" s="331">
        <v>0.25</v>
      </c>
      <c r="AA105" s="330">
        <v>12.6</v>
      </c>
      <c r="AB105" s="332">
        <v>1383</v>
      </c>
      <c r="AC105" s="330">
        <v>2.2999999999999998</v>
      </c>
      <c r="AD105" s="330">
        <v>23.4</v>
      </c>
      <c r="AE105" s="332">
        <v>7</v>
      </c>
      <c r="AF105" s="330">
        <v>23.8</v>
      </c>
      <c r="AG105" s="331">
        <v>0.97599999999999998</v>
      </c>
      <c r="AH105" s="331">
        <v>4.1000000000000002E-2</v>
      </c>
      <c r="AI105" s="330">
        <v>2.5</v>
      </c>
      <c r="AJ105" s="332">
        <v>8</v>
      </c>
      <c r="AK105" s="330">
        <v>276.2</v>
      </c>
      <c r="AL105" s="331">
        <v>3.5430000000000001</v>
      </c>
      <c r="AM105" s="331">
        <v>1.2999999999999999E-2</v>
      </c>
      <c r="AN105" s="330">
        <v>103.3</v>
      </c>
      <c r="AO105" s="318">
        <f>Table2[[#This Row],[Inside_._time]]/Table2[[#This Row],[Duration]]</f>
        <v>7.9333333333333339E-2</v>
      </c>
      <c r="AP105" s="318">
        <f>Table2[[#This Row],[Outside_._time]]/Table2[[#This Row],[Duration]]</f>
        <v>0.92066666666666663</v>
      </c>
      <c r="AQ105" s="318">
        <f>Table2[[#This Row],[Inside_._distance]]/Table2[[#This Row],[Distance]]</f>
        <v>0.21597698605886256</v>
      </c>
      <c r="AR105" s="318">
        <f>Table2[[#This Row],[Outside_._distance]]/Table2[[#This Row],[Distance]]</f>
        <v>0.78402301394113738</v>
      </c>
      <c r="AS105" s="317"/>
      <c r="AT105" s="317"/>
      <c r="AU105" s="317"/>
      <c r="AV105" s="315"/>
      <c r="AW105" s="317"/>
      <c r="AX105" s="317"/>
      <c r="AY105" s="321" t="s">
        <v>486</v>
      </c>
      <c r="AZ105" s="321" t="s">
        <v>476</v>
      </c>
      <c r="BA105" s="321" t="s">
        <v>473</v>
      </c>
      <c r="BB105" s="332">
        <v>159</v>
      </c>
      <c r="BC105" s="330">
        <v>5.3</v>
      </c>
      <c r="BD105" s="321" t="s">
        <v>477</v>
      </c>
      <c r="BE105" s="321">
        <v>8</v>
      </c>
      <c r="BF105" s="321"/>
      <c r="BG105" s="270"/>
      <c r="BH105" s="270"/>
      <c r="BI105" s="270"/>
      <c r="BJ105" s="270"/>
      <c r="BK105" s="270"/>
      <c r="BL105" s="270"/>
      <c r="BM105" s="270"/>
      <c r="BN105" s="270"/>
      <c r="BO105" s="270"/>
      <c r="BP105" s="270"/>
      <c r="BQ105" s="270"/>
      <c r="BR105" s="270"/>
      <c r="BS105" s="270"/>
      <c r="BT105" s="270"/>
      <c r="BU105" s="270"/>
      <c r="BV105" s="270"/>
      <c r="BW105" s="270"/>
      <c r="BX105" s="270"/>
      <c r="BY105" s="270"/>
      <c r="BZ105" s="270"/>
      <c r="CA105" s="270"/>
      <c r="CB105" s="270"/>
      <c r="CC105" s="270"/>
      <c r="CD105" s="270"/>
      <c r="CE105" s="270"/>
      <c r="CF105" s="270"/>
      <c r="CG105" s="270"/>
      <c r="CH105" s="270"/>
      <c r="CI105" s="270"/>
      <c r="CJ105" s="270"/>
      <c r="CK105" s="270"/>
      <c r="CL105" s="270"/>
      <c r="CM105" s="270"/>
      <c r="CN105" s="270"/>
      <c r="CO105" s="270"/>
      <c r="CP105" s="270"/>
      <c r="CQ105" s="270"/>
      <c r="CR105" s="270"/>
      <c r="CS105" s="270"/>
      <c r="CT105" s="270"/>
    </row>
    <row r="106" spans="1:98" ht="12" customHeight="1" x14ac:dyDescent="0.2">
      <c r="A106" s="321">
        <v>19</v>
      </c>
      <c r="B106" s="321" t="s">
        <v>89</v>
      </c>
      <c r="C106" s="321" t="s">
        <v>40</v>
      </c>
      <c r="D106" s="321" t="s">
        <v>49</v>
      </c>
      <c r="E106" s="321" t="s">
        <v>270</v>
      </c>
      <c r="F106" s="321" t="s">
        <v>294</v>
      </c>
      <c r="G106" s="321" t="s">
        <v>298</v>
      </c>
      <c r="H106" s="330">
        <v>300</v>
      </c>
      <c r="I106" s="331">
        <v>6.6639999999999997</v>
      </c>
      <c r="J106" s="331">
        <v>2.1999999999999999E-2</v>
      </c>
      <c r="K106" s="331">
        <v>0.255</v>
      </c>
      <c r="L106" s="330">
        <v>107.8</v>
      </c>
      <c r="M106" s="332">
        <v>10</v>
      </c>
      <c r="N106" s="330">
        <v>6.4</v>
      </c>
      <c r="O106" s="331">
        <v>0.42</v>
      </c>
      <c r="P106" s="331">
        <v>6.6000000000000003E-2</v>
      </c>
      <c r="Q106" s="331">
        <v>0.25</v>
      </c>
      <c r="R106" s="330">
        <v>1.3</v>
      </c>
      <c r="S106" s="332">
        <v>608</v>
      </c>
      <c r="T106" s="330">
        <v>0</v>
      </c>
      <c r="U106" s="330">
        <v>2.5</v>
      </c>
      <c r="V106" s="332">
        <v>20</v>
      </c>
      <c r="W106" s="330">
        <v>161.9</v>
      </c>
      <c r="X106" s="331">
        <v>0.69099999999999995</v>
      </c>
      <c r="Y106" s="331">
        <v>4.0000000000000001E-3</v>
      </c>
      <c r="Z106" s="331">
        <v>0.249</v>
      </c>
      <c r="AA106" s="330">
        <v>68.5</v>
      </c>
      <c r="AB106" s="332">
        <v>7240</v>
      </c>
      <c r="AC106" s="330">
        <v>89.3</v>
      </c>
      <c r="AD106" s="330">
        <v>3.9</v>
      </c>
      <c r="AE106" s="332">
        <v>10</v>
      </c>
      <c r="AF106" s="330">
        <v>13.1</v>
      </c>
      <c r="AG106" s="331">
        <v>1.3080000000000001</v>
      </c>
      <c r="AH106" s="331">
        <v>0.1</v>
      </c>
      <c r="AI106" s="330">
        <v>0</v>
      </c>
      <c r="AJ106" s="332">
        <v>11</v>
      </c>
      <c r="AK106" s="330">
        <v>286.89999999999998</v>
      </c>
      <c r="AL106" s="331">
        <v>5.3559999999999999</v>
      </c>
      <c r="AM106" s="331">
        <v>1.9E-2</v>
      </c>
      <c r="AN106" s="330">
        <v>107.8</v>
      </c>
      <c r="AO106" s="318">
        <f>Table2[[#This Row],[Inside_._time]]/Table2[[#This Row],[Duration]]</f>
        <v>4.3666666666666666E-2</v>
      </c>
      <c r="AP106" s="318">
        <f>Table2[[#This Row],[Outside_._time]]/Table2[[#This Row],[Duration]]</f>
        <v>0.95633333333333326</v>
      </c>
      <c r="AQ106" s="318">
        <f>Table2[[#This Row],[Inside_._distance]]/Table2[[#This Row],[Distance]]</f>
        <v>0.19627851140456185</v>
      </c>
      <c r="AR106" s="318">
        <f>Table2[[#This Row],[Outside_._distance]]/Table2[[#This Row],[Distance]]</f>
        <v>0.80372148859543824</v>
      </c>
      <c r="AS106" s="317"/>
      <c r="AT106" s="317"/>
      <c r="AU106" s="317"/>
      <c r="AV106" s="315"/>
      <c r="AW106" s="317"/>
      <c r="AX106" s="317"/>
      <c r="AY106" s="321" t="s">
        <v>487</v>
      </c>
      <c r="AZ106" s="321" t="s">
        <v>472</v>
      </c>
      <c r="BA106" s="321" t="s">
        <v>473</v>
      </c>
      <c r="BB106" s="332">
        <v>159</v>
      </c>
      <c r="BC106" s="330">
        <v>5.3</v>
      </c>
      <c r="BD106" s="321" t="s">
        <v>474</v>
      </c>
      <c r="BE106" s="321">
        <v>3</v>
      </c>
      <c r="BF106" s="321"/>
      <c r="BG106" s="270"/>
      <c r="BH106" s="270"/>
      <c r="BI106" s="270"/>
      <c r="BJ106" s="270"/>
      <c r="BK106" s="270"/>
      <c r="BL106" s="270"/>
      <c r="BM106" s="270"/>
      <c r="BN106" s="270"/>
      <c r="BO106" s="270"/>
    </row>
    <row r="107" spans="1:98" ht="12" customHeight="1" x14ac:dyDescent="0.2">
      <c r="A107" s="321">
        <v>20</v>
      </c>
      <c r="B107" s="321" t="s">
        <v>91</v>
      </c>
      <c r="C107" s="321" t="s">
        <v>40</v>
      </c>
      <c r="D107" s="321" t="s">
        <v>53</v>
      </c>
      <c r="E107" s="321" t="s">
        <v>270</v>
      </c>
      <c r="F107" s="321" t="s">
        <v>294</v>
      </c>
      <c r="G107" s="321" t="s">
        <v>299</v>
      </c>
      <c r="H107" s="330">
        <v>300</v>
      </c>
      <c r="I107" s="331">
        <v>10.236000000000001</v>
      </c>
      <c r="J107" s="331">
        <v>3.4000000000000002E-2</v>
      </c>
      <c r="K107" s="331">
        <v>0.28699999999999998</v>
      </c>
      <c r="L107" s="330">
        <v>37.9</v>
      </c>
      <c r="M107" s="332">
        <v>25</v>
      </c>
      <c r="N107" s="330">
        <v>12.8</v>
      </c>
      <c r="O107" s="331">
        <v>0.96899999999999997</v>
      </c>
      <c r="P107" s="331">
        <v>7.4999999999999997E-2</v>
      </c>
      <c r="Q107" s="331">
        <v>0.25</v>
      </c>
      <c r="R107" s="330">
        <v>4.8</v>
      </c>
      <c r="S107" s="332">
        <v>792</v>
      </c>
      <c r="T107" s="330">
        <v>1.3</v>
      </c>
      <c r="U107" s="330">
        <v>6.3</v>
      </c>
      <c r="V107" s="332">
        <v>48</v>
      </c>
      <c r="W107" s="330">
        <v>60.9</v>
      </c>
      <c r="X107" s="331">
        <v>1.06</v>
      </c>
      <c r="Y107" s="331">
        <v>1.7000000000000001E-2</v>
      </c>
      <c r="Z107" s="331">
        <v>0.28699999999999998</v>
      </c>
      <c r="AA107" s="330">
        <v>41.4</v>
      </c>
      <c r="AB107" s="332">
        <v>3735</v>
      </c>
      <c r="AC107" s="330">
        <v>13.3</v>
      </c>
      <c r="AD107" s="330">
        <v>44.9</v>
      </c>
      <c r="AE107" s="332">
        <v>14</v>
      </c>
      <c r="AF107" s="330">
        <v>17.899999999999999</v>
      </c>
      <c r="AG107" s="331">
        <v>1.8680000000000001</v>
      </c>
      <c r="AH107" s="331">
        <v>0.104</v>
      </c>
      <c r="AI107" s="330">
        <v>0</v>
      </c>
      <c r="AJ107" s="332">
        <v>15</v>
      </c>
      <c r="AK107" s="330">
        <v>282.10000000000002</v>
      </c>
      <c r="AL107" s="331">
        <v>8.3680000000000003</v>
      </c>
      <c r="AM107" s="331">
        <v>0.03</v>
      </c>
      <c r="AN107" s="330">
        <v>37.9</v>
      </c>
      <c r="AO107" s="318">
        <f>Table2[[#This Row],[Inside_._time]]/Table2[[#This Row],[Duration]]</f>
        <v>5.966666666666666E-2</v>
      </c>
      <c r="AP107" s="318">
        <f>Table2[[#This Row],[Outside_._time]]/Table2[[#This Row],[Duration]]</f>
        <v>0.94033333333333335</v>
      </c>
      <c r="AQ107" s="318">
        <f>Table2[[#This Row],[Inside_._distance]]/Table2[[#This Row],[Distance]]</f>
        <v>0.18249316139116842</v>
      </c>
      <c r="AR107" s="318">
        <f>Table2[[#This Row],[Outside_._distance]]/Table2[[#This Row],[Distance]]</f>
        <v>0.81750683860883155</v>
      </c>
      <c r="AS107" s="317"/>
      <c r="AT107" s="317"/>
      <c r="AU107" s="317"/>
      <c r="AV107" s="315"/>
      <c r="AW107" s="317"/>
      <c r="AX107" s="317"/>
      <c r="AY107" s="321" t="s">
        <v>487</v>
      </c>
      <c r="AZ107" s="321" t="s">
        <v>476</v>
      </c>
      <c r="BA107" s="321" t="s">
        <v>475</v>
      </c>
      <c r="BB107" s="332">
        <v>159</v>
      </c>
      <c r="BC107" s="330">
        <v>5.3</v>
      </c>
      <c r="BD107" s="321" t="s">
        <v>474</v>
      </c>
      <c r="BE107" s="321">
        <v>5</v>
      </c>
      <c r="BF107" s="321"/>
      <c r="BG107" s="270"/>
      <c r="BH107" s="270"/>
      <c r="BI107" s="270"/>
      <c r="BJ107" s="270"/>
      <c r="BK107" s="270"/>
      <c r="BL107" s="270"/>
      <c r="BM107" s="270"/>
      <c r="BN107" s="270"/>
      <c r="BO107" s="270"/>
    </row>
    <row r="108" spans="1:98" ht="12" customHeight="1" x14ac:dyDescent="0.2">
      <c r="A108" s="321">
        <v>24</v>
      </c>
      <c r="B108" s="321" t="s">
        <v>96</v>
      </c>
      <c r="C108" s="321" t="s">
        <v>40</v>
      </c>
      <c r="D108" s="321" t="s">
        <v>41</v>
      </c>
      <c r="E108" s="321" t="s">
        <v>270</v>
      </c>
      <c r="F108" s="321" t="s">
        <v>300</v>
      </c>
      <c r="G108" s="321" t="s">
        <v>301</v>
      </c>
      <c r="H108" s="330">
        <v>300</v>
      </c>
      <c r="I108" s="331">
        <v>8.5869999999999997</v>
      </c>
      <c r="J108" s="331">
        <v>2.9000000000000001E-2</v>
      </c>
      <c r="K108" s="331">
        <v>0.23699999999999999</v>
      </c>
      <c r="L108" s="330">
        <v>38.6</v>
      </c>
      <c r="M108" s="332">
        <v>15</v>
      </c>
      <c r="N108" s="330">
        <v>37.1</v>
      </c>
      <c r="O108" s="331">
        <v>0.64900000000000002</v>
      </c>
      <c r="P108" s="331">
        <v>1.7000000000000001E-2</v>
      </c>
      <c r="Q108" s="331">
        <v>0.216</v>
      </c>
      <c r="R108" s="330">
        <v>21.7</v>
      </c>
      <c r="S108" s="332">
        <v>2126</v>
      </c>
      <c r="T108" s="330">
        <v>3.8</v>
      </c>
      <c r="U108" s="330">
        <v>31.7</v>
      </c>
      <c r="V108" s="332">
        <v>15</v>
      </c>
      <c r="W108" s="330">
        <v>37.1</v>
      </c>
      <c r="X108" s="331">
        <v>0.91800000000000004</v>
      </c>
      <c r="Y108" s="331">
        <v>2.5000000000000001E-2</v>
      </c>
      <c r="Z108" s="331">
        <v>0.20899999999999999</v>
      </c>
      <c r="AA108" s="330">
        <v>6.8</v>
      </c>
      <c r="AB108" s="332">
        <v>2166</v>
      </c>
      <c r="AC108" s="330">
        <v>4.3</v>
      </c>
      <c r="AD108" s="330">
        <v>10.4</v>
      </c>
      <c r="AE108" s="332">
        <v>13</v>
      </c>
      <c r="AF108" s="330">
        <v>21.9</v>
      </c>
      <c r="AG108" s="331">
        <v>1.4870000000000001</v>
      </c>
      <c r="AH108" s="331">
        <v>6.8000000000000005E-2</v>
      </c>
      <c r="AI108" s="330">
        <v>0</v>
      </c>
      <c r="AJ108" s="332">
        <v>14</v>
      </c>
      <c r="AK108" s="330">
        <v>278.10000000000002</v>
      </c>
      <c r="AL108" s="331">
        <v>7.101</v>
      </c>
      <c r="AM108" s="331">
        <v>2.5999999999999999E-2</v>
      </c>
      <c r="AN108" s="330">
        <v>38.6</v>
      </c>
      <c r="AO108" s="318">
        <f>Table2[[#This Row],[Inside_._time]]/Table2[[#This Row],[Duration]]</f>
        <v>7.2999999999999995E-2</v>
      </c>
      <c r="AP108" s="318">
        <f>Table2[[#This Row],[Outside_._time]]/Table2[[#This Row],[Duration]]</f>
        <v>0.92700000000000005</v>
      </c>
      <c r="AQ108" s="318">
        <f>Table2[[#This Row],[Inside_._distance]]/Table2[[#This Row],[Distance]]</f>
        <v>0.17316874344940028</v>
      </c>
      <c r="AR108" s="318">
        <f>Table2[[#This Row],[Outside_._distance]]/Table2[[#This Row],[Distance]]</f>
        <v>0.82694771165715619</v>
      </c>
      <c r="AS108" s="317"/>
      <c r="AT108" s="317"/>
      <c r="AU108" s="317"/>
      <c r="AV108" s="315"/>
      <c r="AW108" s="317"/>
      <c r="AX108" s="317"/>
      <c r="AY108" s="321" t="s">
        <v>486</v>
      </c>
      <c r="AZ108" s="321" t="s">
        <v>476</v>
      </c>
      <c r="BA108" s="321" t="s">
        <v>475</v>
      </c>
      <c r="BB108" s="332">
        <v>151</v>
      </c>
      <c r="BC108" s="330">
        <v>5.0333333333333332</v>
      </c>
      <c r="BD108" s="321" t="s">
        <v>477</v>
      </c>
      <c r="BE108" s="321">
        <v>6</v>
      </c>
      <c r="BF108" s="321"/>
      <c r="BG108" s="270"/>
      <c r="BH108" s="270"/>
      <c r="BI108" s="270"/>
      <c r="BJ108" s="270"/>
      <c r="BK108" s="270"/>
      <c r="BL108" s="270"/>
      <c r="BM108" s="270"/>
      <c r="BN108" s="270"/>
      <c r="BO108" s="270"/>
    </row>
    <row r="109" spans="1:98" ht="12" customHeight="1" x14ac:dyDescent="0.2">
      <c r="A109" s="321">
        <v>21</v>
      </c>
      <c r="B109" s="321" t="s">
        <v>98</v>
      </c>
      <c r="C109" s="321" t="s">
        <v>40</v>
      </c>
      <c r="D109" s="321" t="s">
        <v>46</v>
      </c>
      <c r="E109" s="321" t="s">
        <v>270</v>
      </c>
      <c r="F109" s="321" t="s">
        <v>300</v>
      </c>
      <c r="G109" s="321" t="s">
        <v>302</v>
      </c>
      <c r="H109" s="330">
        <v>300</v>
      </c>
      <c r="I109" s="331">
        <v>4.8360000000000003</v>
      </c>
      <c r="J109" s="331">
        <v>1.6E-2</v>
      </c>
      <c r="K109" s="331">
        <v>0.224</v>
      </c>
      <c r="L109" s="330">
        <v>96.8</v>
      </c>
      <c r="M109" s="332">
        <v>9</v>
      </c>
      <c r="N109" s="330">
        <v>24.6</v>
      </c>
      <c r="O109" s="331">
        <v>0.56299999999999994</v>
      </c>
      <c r="P109" s="331">
        <v>2.3E-2</v>
      </c>
      <c r="Q109" s="331">
        <v>0.224</v>
      </c>
      <c r="R109" s="330">
        <v>0.3</v>
      </c>
      <c r="S109" s="332">
        <v>632</v>
      </c>
      <c r="T109" s="330">
        <v>7.4</v>
      </c>
      <c r="U109" s="330">
        <v>7.8</v>
      </c>
      <c r="V109" s="332">
        <v>11</v>
      </c>
      <c r="W109" s="330">
        <v>6.4</v>
      </c>
      <c r="X109" s="331">
        <v>0.58199999999999996</v>
      </c>
      <c r="Y109" s="331">
        <v>9.0999999999999998E-2</v>
      </c>
      <c r="Z109" s="331">
        <v>0.16</v>
      </c>
      <c r="AA109" s="330">
        <v>0.8</v>
      </c>
      <c r="AB109" s="332">
        <v>464</v>
      </c>
      <c r="AC109" s="330">
        <v>0</v>
      </c>
      <c r="AD109" s="330">
        <v>1.2</v>
      </c>
      <c r="AE109" s="332">
        <v>5</v>
      </c>
      <c r="AF109" s="330">
        <v>7.9</v>
      </c>
      <c r="AG109" s="331">
        <v>0.63100000000000001</v>
      </c>
      <c r="AH109" s="331">
        <v>7.9000000000000001E-2</v>
      </c>
      <c r="AI109" s="330">
        <v>0</v>
      </c>
      <c r="AJ109" s="332">
        <v>6</v>
      </c>
      <c r="AK109" s="330">
        <v>292.10000000000002</v>
      </c>
      <c r="AL109" s="331">
        <v>4.2050000000000001</v>
      </c>
      <c r="AM109" s="331">
        <v>1.4E-2</v>
      </c>
      <c r="AN109" s="330">
        <v>96.8</v>
      </c>
      <c r="AO109" s="318">
        <f>Table2[[#This Row],[Inside_._time]]/Table2[[#This Row],[Duration]]</f>
        <v>2.6333333333333334E-2</v>
      </c>
      <c r="AP109" s="318">
        <f>Table2[[#This Row],[Outside_._time]]/Table2[[#This Row],[Duration]]</f>
        <v>0.97366666666666679</v>
      </c>
      <c r="AQ109" s="318">
        <f>Table2[[#This Row],[Inside_._distance]]/Table2[[#This Row],[Distance]]</f>
        <v>0.13047973531844498</v>
      </c>
      <c r="AR109" s="318">
        <f>Table2[[#This Row],[Outside_._distance]]/Table2[[#This Row],[Distance]]</f>
        <v>0.86952026468155497</v>
      </c>
      <c r="AS109" s="317"/>
      <c r="AT109" s="317"/>
      <c r="AU109" s="317"/>
      <c r="AV109" s="315"/>
      <c r="AW109" s="317"/>
      <c r="AX109" s="317"/>
      <c r="AY109" s="321" t="s">
        <v>486</v>
      </c>
      <c r="AZ109" s="321" t="s">
        <v>476</v>
      </c>
      <c r="BA109" s="321" t="s">
        <v>475</v>
      </c>
      <c r="BB109" s="332">
        <v>151</v>
      </c>
      <c r="BC109" s="330">
        <v>5.0333333333333332</v>
      </c>
      <c r="BD109" s="321" t="s">
        <v>474</v>
      </c>
      <c r="BE109" s="321">
        <v>5</v>
      </c>
      <c r="BF109" s="321"/>
      <c r="BG109" s="270"/>
      <c r="BH109" s="270"/>
      <c r="BI109" s="270"/>
      <c r="BJ109" s="270"/>
      <c r="BK109" s="270"/>
      <c r="BL109" s="270"/>
      <c r="BM109" s="270"/>
      <c r="BN109" s="270"/>
      <c r="BO109" s="270"/>
    </row>
    <row r="110" spans="1:98" ht="12" customHeight="1" x14ac:dyDescent="0.2">
      <c r="A110" s="321">
        <v>23</v>
      </c>
      <c r="B110" s="321" t="s">
        <v>103</v>
      </c>
      <c r="C110" s="321" t="s">
        <v>40</v>
      </c>
      <c r="D110" s="321" t="s">
        <v>49</v>
      </c>
      <c r="E110" s="321" t="s">
        <v>270</v>
      </c>
      <c r="F110" s="321" t="s">
        <v>300</v>
      </c>
      <c r="G110" s="321" t="s">
        <v>303</v>
      </c>
      <c r="H110" s="330">
        <v>300</v>
      </c>
      <c r="I110" s="331">
        <v>7.1840000000000002</v>
      </c>
      <c r="J110" s="331">
        <v>2.4E-2</v>
      </c>
      <c r="K110" s="331">
        <v>0.26100000000000001</v>
      </c>
      <c r="L110" s="330">
        <v>21</v>
      </c>
      <c r="M110" s="332">
        <v>23</v>
      </c>
      <c r="N110" s="330">
        <v>24.6</v>
      </c>
      <c r="O110" s="331">
        <v>0.45</v>
      </c>
      <c r="P110" s="331">
        <v>1.7999999999999999E-2</v>
      </c>
      <c r="Q110" s="331">
        <v>0.191</v>
      </c>
      <c r="R110" s="330">
        <v>8.6999999999999993</v>
      </c>
      <c r="S110" s="332">
        <v>1666</v>
      </c>
      <c r="T110" s="330">
        <v>2.9</v>
      </c>
      <c r="U110" s="330">
        <v>5</v>
      </c>
      <c r="V110" s="332">
        <v>27</v>
      </c>
      <c r="W110" s="330">
        <v>23.2</v>
      </c>
      <c r="X110" s="331">
        <v>0.755</v>
      </c>
      <c r="Y110" s="331">
        <v>3.2000000000000001E-2</v>
      </c>
      <c r="Z110" s="331">
        <v>0.19900000000000001</v>
      </c>
      <c r="AA110" s="330">
        <v>6.7</v>
      </c>
      <c r="AB110" s="332">
        <v>1796</v>
      </c>
      <c r="AC110" s="330">
        <v>1.9</v>
      </c>
      <c r="AD110" s="330">
        <v>15.2</v>
      </c>
      <c r="AE110" s="332">
        <v>18</v>
      </c>
      <c r="AF110" s="330">
        <v>42.8</v>
      </c>
      <c r="AG110" s="331">
        <v>1.3129999999999999</v>
      </c>
      <c r="AH110" s="331">
        <v>3.1E-2</v>
      </c>
      <c r="AI110" s="330">
        <v>2.9</v>
      </c>
      <c r="AJ110" s="332">
        <v>18</v>
      </c>
      <c r="AK110" s="330">
        <v>257.2</v>
      </c>
      <c r="AL110" s="331">
        <v>5.8710000000000004</v>
      </c>
      <c r="AM110" s="331">
        <v>2.3E-2</v>
      </c>
      <c r="AN110" s="330">
        <v>18.100000000000001</v>
      </c>
      <c r="AO110" s="318">
        <f>Table2[[#This Row],[Inside_._time]]/Table2[[#This Row],[Duration]]</f>
        <v>0.14266666666666666</v>
      </c>
      <c r="AP110" s="318">
        <f>Table2[[#This Row],[Outside_._time]]/Table2[[#This Row],[Duration]]</f>
        <v>0.85733333333333328</v>
      </c>
      <c r="AQ110" s="318">
        <f>Table2[[#This Row],[Inside_._distance]]/Table2[[#This Row],[Distance]]</f>
        <v>0.18276726057906459</v>
      </c>
      <c r="AR110" s="318">
        <f>Table2[[#This Row],[Outside_._distance]]/Table2[[#This Row],[Distance]]</f>
        <v>0.81723273942093544</v>
      </c>
      <c r="AS110" s="317"/>
      <c r="AT110" s="317"/>
      <c r="AU110" s="317"/>
      <c r="AV110" s="315"/>
      <c r="AW110" s="317"/>
      <c r="AX110" s="317"/>
      <c r="AY110" s="321" t="s">
        <v>486</v>
      </c>
      <c r="AZ110" s="321" t="s">
        <v>476</v>
      </c>
      <c r="BA110" s="321" t="s">
        <v>475</v>
      </c>
      <c r="BB110" s="332">
        <v>151</v>
      </c>
      <c r="BC110" s="330">
        <v>5.0333333333333332</v>
      </c>
      <c r="BD110" s="321" t="s">
        <v>477</v>
      </c>
      <c r="BE110" s="321">
        <v>6</v>
      </c>
      <c r="BF110" s="321"/>
      <c r="BG110" s="270"/>
      <c r="BH110" s="270"/>
      <c r="BI110" s="270"/>
      <c r="BJ110" s="270"/>
      <c r="BK110" s="270"/>
      <c r="BL110" s="270"/>
      <c r="BM110" s="270"/>
      <c r="BN110" s="270"/>
      <c r="BO110" s="270"/>
    </row>
    <row r="111" spans="1:98" ht="12" customHeight="1" x14ac:dyDescent="0.2">
      <c r="A111" s="321">
        <v>22</v>
      </c>
      <c r="B111" s="321" t="s">
        <v>105</v>
      </c>
      <c r="C111" s="321" t="s">
        <v>40</v>
      </c>
      <c r="D111" s="321" t="s">
        <v>53</v>
      </c>
      <c r="E111" s="321" t="s">
        <v>270</v>
      </c>
      <c r="F111" s="321" t="s">
        <v>300</v>
      </c>
      <c r="G111" s="321" t="s">
        <v>304</v>
      </c>
      <c r="H111" s="330">
        <v>300</v>
      </c>
      <c r="I111" s="331">
        <v>3.4529999999999998</v>
      </c>
      <c r="J111" s="331">
        <v>1.2E-2</v>
      </c>
      <c r="K111" s="331">
        <v>0.22900000000000001</v>
      </c>
      <c r="L111" s="330">
        <v>76.7</v>
      </c>
      <c r="M111" s="332">
        <v>14</v>
      </c>
      <c r="N111" s="330">
        <v>155.4</v>
      </c>
      <c r="O111" s="331">
        <v>0.51300000000000001</v>
      </c>
      <c r="P111" s="331">
        <v>3.0000000000000001E-3</v>
      </c>
      <c r="Q111" s="331">
        <v>0.22900000000000001</v>
      </c>
      <c r="R111" s="330">
        <v>58.9</v>
      </c>
      <c r="S111" s="332">
        <v>8033</v>
      </c>
      <c r="T111" s="330">
        <v>64.099999999999994</v>
      </c>
      <c r="U111" s="330">
        <v>8</v>
      </c>
      <c r="V111" s="332">
        <v>1</v>
      </c>
      <c r="W111" s="330">
        <v>0.3</v>
      </c>
      <c r="X111" s="331">
        <v>3.9E-2</v>
      </c>
      <c r="Y111" s="331">
        <v>0.11600000000000001</v>
      </c>
      <c r="Z111" s="331">
        <v>0.16200000000000001</v>
      </c>
      <c r="AA111" s="330">
        <v>0.2</v>
      </c>
      <c r="AB111" s="332">
        <v>17</v>
      </c>
      <c r="AC111" s="330">
        <v>0</v>
      </c>
      <c r="AD111" s="330">
        <v>0.3</v>
      </c>
      <c r="AE111" s="332">
        <v>3</v>
      </c>
      <c r="AF111" s="330">
        <v>26.4</v>
      </c>
      <c r="AG111" s="331">
        <v>0.20499999999999999</v>
      </c>
      <c r="AH111" s="331">
        <v>8.0000000000000002E-3</v>
      </c>
      <c r="AI111" s="330">
        <v>2.4</v>
      </c>
      <c r="AJ111" s="332">
        <v>4</v>
      </c>
      <c r="AK111" s="330">
        <v>273.60000000000002</v>
      </c>
      <c r="AL111" s="331">
        <v>3.2469999999999999</v>
      </c>
      <c r="AM111" s="331">
        <v>1.2E-2</v>
      </c>
      <c r="AN111" s="330">
        <v>74.3</v>
      </c>
      <c r="AO111" s="318">
        <f>Table2[[#This Row],[Inside_._time]]/Table2[[#This Row],[Duration]]</f>
        <v>8.7999999999999995E-2</v>
      </c>
      <c r="AP111" s="318">
        <f>Table2[[#This Row],[Outside_._time]]/Table2[[#This Row],[Duration]]</f>
        <v>0.91200000000000003</v>
      </c>
      <c r="AQ111" s="318">
        <f>Table2[[#This Row],[Inside_._distance]]/Table2[[#This Row],[Distance]]</f>
        <v>5.9368664929047202E-2</v>
      </c>
      <c r="AR111" s="318">
        <f>Table2[[#This Row],[Outside_._distance]]/Table2[[#This Row],[Distance]]</f>
        <v>0.94034173182739644</v>
      </c>
      <c r="AS111" s="317"/>
      <c r="AT111" s="317"/>
      <c r="AU111" s="317"/>
      <c r="AV111" s="315"/>
      <c r="AW111" s="317"/>
      <c r="AX111" s="317"/>
      <c r="AY111" s="321" t="s">
        <v>486</v>
      </c>
      <c r="AZ111" s="321" t="s">
        <v>476</v>
      </c>
      <c r="BA111" s="321" t="s">
        <v>473</v>
      </c>
      <c r="BB111" s="332">
        <v>151</v>
      </c>
      <c r="BC111" s="330">
        <v>5.0333333333333332</v>
      </c>
      <c r="BD111" s="321" t="s">
        <v>477</v>
      </c>
      <c r="BE111" s="321">
        <v>8</v>
      </c>
      <c r="BF111" s="321"/>
      <c r="BG111" s="270"/>
      <c r="BH111" s="270"/>
      <c r="BI111" s="270"/>
      <c r="BJ111" s="270"/>
      <c r="BK111" s="270"/>
      <c r="BL111" s="270"/>
      <c r="BM111" s="270"/>
      <c r="BN111" s="270"/>
      <c r="BO111" s="270"/>
    </row>
    <row r="112" spans="1:98" ht="12" customHeight="1" x14ac:dyDescent="0.2">
      <c r="A112" s="321">
        <v>26</v>
      </c>
      <c r="B112" s="321" t="s">
        <v>107</v>
      </c>
      <c r="C112" s="321" t="s">
        <v>40</v>
      </c>
      <c r="D112" s="321" t="s">
        <v>41</v>
      </c>
      <c r="E112" s="321" t="s">
        <v>270</v>
      </c>
      <c r="F112" s="321" t="s">
        <v>305</v>
      </c>
      <c r="G112" s="321" t="s">
        <v>306</v>
      </c>
      <c r="H112" s="330">
        <v>300</v>
      </c>
      <c r="I112" s="331">
        <v>3.383</v>
      </c>
      <c r="J112" s="331">
        <v>1.0999999999999999E-2</v>
      </c>
      <c r="K112" s="331">
        <v>0.27700000000000002</v>
      </c>
      <c r="L112" s="330">
        <v>143.6</v>
      </c>
      <c r="M112" s="332">
        <v>9</v>
      </c>
      <c r="N112" s="330">
        <v>105.8</v>
      </c>
      <c r="O112" s="331">
        <v>0.32800000000000001</v>
      </c>
      <c r="P112" s="331">
        <v>3.0000000000000001E-3</v>
      </c>
      <c r="Q112" s="331">
        <v>0.245</v>
      </c>
      <c r="R112" s="330">
        <v>85.6</v>
      </c>
      <c r="S112" s="332">
        <v>3083</v>
      </c>
      <c r="T112" s="330">
        <v>53.8</v>
      </c>
      <c r="U112" s="330">
        <v>100</v>
      </c>
      <c r="V112" s="332">
        <v>1</v>
      </c>
      <c r="W112" s="330">
        <v>0.7</v>
      </c>
      <c r="X112" s="331">
        <v>6.8000000000000005E-2</v>
      </c>
      <c r="Y112" s="331">
        <v>0.104</v>
      </c>
      <c r="Z112" s="331">
        <v>0.182</v>
      </c>
      <c r="AA112" s="330">
        <v>0.3</v>
      </c>
      <c r="AB112" s="332">
        <v>69</v>
      </c>
      <c r="AC112" s="330">
        <v>0</v>
      </c>
      <c r="AD112" s="330">
        <v>0.7</v>
      </c>
      <c r="AE112" s="332">
        <v>3</v>
      </c>
      <c r="AF112" s="330">
        <v>2.2999999999999998</v>
      </c>
      <c r="AG112" s="331">
        <v>0.64700000000000002</v>
      </c>
      <c r="AH112" s="331">
        <v>0.27700000000000002</v>
      </c>
      <c r="AI112" s="330">
        <v>0</v>
      </c>
      <c r="AJ112" s="332">
        <v>4</v>
      </c>
      <c r="AK112" s="330">
        <v>297.7</v>
      </c>
      <c r="AL112" s="331">
        <v>2.7360000000000002</v>
      </c>
      <c r="AM112" s="331">
        <v>8.9999999999999993E-3</v>
      </c>
      <c r="AN112" s="330">
        <v>143.6</v>
      </c>
      <c r="AO112" s="318">
        <f>Table2[[#This Row],[Inside_._time]]/Table2[[#This Row],[Duration]]</f>
        <v>7.6666666666666662E-3</v>
      </c>
      <c r="AP112" s="318">
        <f>Table2[[#This Row],[Outside_._time]]/Table2[[#This Row],[Duration]]</f>
        <v>0.99233333333333329</v>
      </c>
      <c r="AQ112" s="318">
        <f>Table2[[#This Row],[Inside_._distance]]/Table2[[#This Row],[Distance]]</f>
        <v>0.19125036949453147</v>
      </c>
      <c r="AR112" s="318">
        <f>Table2[[#This Row],[Outside_._distance]]/Table2[[#This Row],[Distance]]</f>
        <v>0.80874963050546855</v>
      </c>
      <c r="AS112" s="317"/>
      <c r="AT112" s="317"/>
      <c r="AU112" s="317"/>
      <c r="AV112" s="315"/>
      <c r="AW112" s="317"/>
      <c r="AX112" s="317"/>
      <c r="AY112" s="321" t="s">
        <v>486</v>
      </c>
      <c r="AZ112" s="321" t="s">
        <v>476</v>
      </c>
      <c r="BA112" s="321" t="s">
        <v>475</v>
      </c>
      <c r="BB112" s="332">
        <v>151</v>
      </c>
      <c r="BC112" s="330">
        <v>5.0333333333333332</v>
      </c>
      <c r="BD112" s="321" t="s">
        <v>474</v>
      </c>
      <c r="BE112" s="321">
        <v>5</v>
      </c>
      <c r="BF112" s="321" t="s">
        <v>464</v>
      </c>
      <c r="BG112" s="270"/>
      <c r="BH112" s="270"/>
      <c r="BI112" s="270"/>
      <c r="BJ112" s="270"/>
      <c r="BK112" s="270"/>
      <c r="BL112" s="270"/>
      <c r="BM112" s="270"/>
      <c r="BN112" s="270"/>
      <c r="BO112" s="270"/>
    </row>
    <row r="113" spans="1:67" ht="12" customHeight="1" x14ac:dyDescent="0.2">
      <c r="A113" s="321">
        <v>25</v>
      </c>
      <c r="B113" s="321" t="s">
        <v>109</v>
      </c>
      <c r="C113" s="321" t="s">
        <v>40</v>
      </c>
      <c r="D113" s="321" t="s">
        <v>46</v>
      </c>
      <c r="E113" s="321" t="s">
        <v>270</v>
      </c>
      <c r="F113" s="321" t="s">
        <v>305</v>
      </c>
      <c r="G113" s="321" t="s">
        <v>307</v>
      </c>
      <c r="H113" s="330">
        <v>300</v>
      </c>
      <c r="I113" s="331">
        <v>4.8289999999999997</v>
      </c>
      <c r="J113" s="331">
        <v>1.6E-2</v>
      </c>
      <c r="K113" s="331">
        <v>0.24199999999999999</v>
      </c>
      <c r="L113" s="330">
        <v>101.6</v>
      </c>
      <c r="M113" s="332">
        <v>3</v>
      </c>
      <c r="N113" s="330">
        <v>1.9</v>
      </c>
      <c r="O113" s="331">
        <v>0.23300000000000001</v>
      </c>
      <c r="P113" s="331">
        <v>0.126</v>
      </c>
      <c r="Q113" s="331">
        <v>0.219</v>
      </c>
      <c r="R113" s="330">
        <v>0.5</v>
      </c>
      <c r="S113" s="332">
        <v>174</v>
      </c>
      <c r="T113" s="330">
        <v>0</v>
      </c>
      <c r="U113" s="330">
        <v>0.3</v>
      </c>
      <c r="V113" s="332">
        <v>11</v>
      </c>
      <c r="W113" s="330">
        <v>28.1</v>
      </c>
      <c r="X113" s="331">
        <v>0.45900000000000002</v>
      </c>
      <c r="Y113" s="331">
        <v>1.6E-2</v>
      </c>
      <c r="Z113" s="331">
        <v>0.193</v>
      </c>
      <c r="AA113" s="330">
        <v>25.3</v>
      </c>
      <c r="AB113" s="332">
        <v>552</v>
      </c>
      <c r="AC113" s="330">
        <v>16.899999999999999</v>
      </c>
      <c r="AD113" s="330">
        <v>25.9</v>
      </c>
      <c r="AE113" s="332">
        <v>6</v>
      </c>
      <c r="AF113" s="330">
        <v>110.3</v>
      </c>
      <c r="AG113" s="331">
        <v>1.0149999999999999</v>
      </c>
      <c r="AH113" s="331">
        <v>8.9999999999999993E-3</v>
      </c>
      <c r="AI113" s="330">
        <v>51.2</v>
      </c>
      <c r="AJ113" s="332">
        <v>6</v>
      </c>
      <c r="AK113" s="330">
        <v>189.7</v>
      </c>
      <c r="AL113" s="331">
        <v>3.8130000000000002</v>
      </c>
      <c r="AM113" s="331">
        <v>0.02</v>
      </c>
      <c r="AN113" s="330">
        <v>50.4</v>
      </c>
      <c r="AO113" s="318">
        <f>Table2[[#This Row],[Inside_._time]]/Table2[[#This Row],[Duration]]</f>
        <v>0.36766666666666664</v>
      </c>
      <c r="AP113" s="318">
        <f>Table2[[#This Row],[Outside_._time]]/Table2[[#This Row],[Duration]]</f>
        <v>0.6323333333333333</v>
      </c>
      <c r="AQ113" s="318">
        <f>Table2[[#This Row],[Inside_._distance]]/Table2[[#This Row],[Distance]]</f>
        <v>0.21018844481259058</v>
      </c>
      <c r="AR113" s="318">
        <f>Table2[[#This Row],[Outside_._distance]]/Table2[[#This Row],[Distance]]</f>
        <v>0.78960447297577141</v>
      </c>
      <c r="AS113" s="317"/>
      <c r="AT113" s="317"/>
      <c r="AU113" s="317"/>
      <c r="AV113" s="315"/>
      <c r="AW113" s="317"/>
      <c r="AX113" s="317"/>
      <c r="AY113" s="321" t="s">
        <v>486</v>
      </c>
      <c r="AZ113" s="321" t="s">
        <v>476</v>
      </c>
      <c r="BA113" s="321" t="s">
        <v>473</v>
      </c>
      <c r="BB113" s="332">
        <v>151</v>
      </c>
      <c r="BC113" s="330">
        <v>5.0333333333333332</v>
      </c>
      <c r="BD113" s="321" t="s">
        <v>474</v>
      </c>
      <c r="BE113" s="321">
        <v>7</v>
      </c>
      <c r="BF113" s="321"/>
      <c r="BG113" s="270"/>
      <c r="BH113" s="270"/>
      <c r="BI113" s="270"/>
      <c r="BJ113" s="270"/>
      <c r="BK113" s="270"/>
      <c r="BL113" s="270"/>
      <c r="BM113" s="270"/>
      <c r="BN113" s="270"/>
      <c r="BO113" s="270"/>
    </row>
    <row r="114" spans="1:67" ht="12" customHeight="1" x14ac:dyDescent="0.2">
      <c r="A114" s="321">
        <v>27</v>
      </c>
      <c r="B114" s="321" t="s">
        <v>112</v>
      </c>
      <c r="C114" s="321" t="s">
        <v>40</v>
      </c>
      <c r="D114" s="321" t="s">
        <v>49</v>
      </c>
      <c r="E114" s="321" t="s">
        <v>270</v>
      </c>
      <c r="F114" s="321" t="s">
        <v>305</v>
      </c>
      <c r="G114" s="321" t="s">
        <v>308</v>
      </c>
      <c r="H114" s="330">
        <v>300</v>
      </c>
      <c r="I114" s="331">
        <v>4.3120000000000003</v>
      </c>
      <c r="J114" s="331">
        <v>1.4E-2</v>
      </c>
      <c r="K114" s="331">
        <v>0.192</v>
      </c>
      <c r="L114" s="330">
        <v>55.5</v>
      </c>
      <c r="M114" s="332">
        <v>42</v>
      </c>
      <c r="N114" s="330">
        <v>68.8</v>
      </c>
      <c r="O114" s="331">
        <v>0.38</v>
      </c>
      <c r="P114" s="331">
        <v>6.0000000000000001E-3</v>
      </c>
      <c r="Q114" s="331">
        <v>0.192</v>
      </c>
      <c r="R114" s="330">
        <v>10.9</v>
      </c>
      <c r="S114" s="332">
        <v>3244</v>
      </c>
      <c r="T114" s="330">
        <v>17.100000000000001</v>
      </c>
      <c r="U114" s="330">
        <v>6</v>
      </c>
      <c r="V114" s="332">
        <v>7</v>
      </c>
      <c r="W114" s="330">
        <v>5.0999999999999996</v>
      </c>
      <c r="X114" s="331">
        <v>0.32600000000000001</v>
      </c>
      <c r="Y114" s="331">
        <v>6.4000000000000001E-2</v>
      </c>
      <c r="Z114" s="331">
        <v>0.14299999999999999</v>
      </c>
      <c r="AA114" s="330">
        <v>1.1000000000000001</v>
      </c>
      <c r="AB114" s="332">
        <v>268</v>
      </c>
      <c r="AC114" s="330">
        <v>0</v>
      </c>
      <c r="AD114" s="330">
        <v>0.9</v>
      </c>
      <c r="AE114" s="332">
        <v>5</v>
      </c>
      <c r="AF114" s="330">
        <v>3.6</v>
      </c>
      <c r="AG114" s="331">
        <v>0.40699999999999997</v>
      </c>
      <c r="AH114" s="331">
        <v>0.115</v>
      </c>
      <c r="AI114" s="330">
        <v>0</v>
      </c>
      <c r="AJ114" s="332">
        <v>6</v>
      </c>
      <c r="AK114" s="330">
        <v>296.39999999999998</v>
      </c>
      <c r="AL114" s="331">
        <v>3.9049999999999998</v>
      </c>
      <c r="AM114" s="331">
        <v>1.2999999999999999E-2</v>
      </c>
      <c r="AN114" s="330">
        <v>55.5</v>
      </c>
      <c r="AO114" s="318">
        <f>Table2[[#This Row],[Inside_._time]]/Table2[[#This Row],[Duration]]</f>
        <v>1.2E-2</v>
      </c>
      <c r="AP114" s="318">
        <f>Table2[[#This Row],[Outside_._time]]/Table2[[#This Row],[Duration]]</f>
        <v>0.98799999999999988</v>
      </c>
      <c r="AQ114" s="318">
        <f>Table2[[#This Row],[Inside_._distance]]/Table2[[#This Row],[Distance]]</f>
        <v>9.438775510204081E-2</v>
      </c>
      <c r="AR114" s="318">
        <f>Table2[[#This Row],[Outside_._distance]]/Table2[[#This Row],[Distance]]</f>
        <v>0.90561224489795911</v>
      </c>
      <c r="AS114" s="317"/>
      <c r="AT114" s="317"/>
      <c r="AU114" s="317"/>
      <c r="AV114" s="315"/>
      <c r="AW114" s="317"/>
      <c r="AX114" s="317"/>
      <c r="AY114" s="321" t="s">
        <v>487</v>
      </c>
      <c r="AZ114" s="321" t="s">
        <v>476</v>
      </c>
      <c r="BA114" s="321" t="s">
        <v>475</v>
      </c>
      <c r="BB114" s="332">
        <v>151</v>
      </c>
      <c r="BC114" s="330">
        <v>5.0333333333333332</v>
      </c>
      <c r="BD114" s="321" t="s">
        <v>477</v>
      </c>
      <c r="BE114" s="321">
        <v>6</v>
      </c>
      <c r="BF114" s="321"/>
      <c r="BG114" s="270"/>
      <c r="BH114" s="270"/>
      <c r="BI114" s="270"/>
      <c r="BJ114" s="270"/>
      <c r="BK114" s="270"/>
      <c r="BL114" s="270"/>
      <c r="BM114" s="270"/>
      <c r="BN114" s="270"/>
      <c r="BO114" s="270"/>
    </row>
    <row r="115" spans="1:67" ht="12" customHeight="1" x14ac:dyDescent="0.2">
      <c r="A115" s="321">
        <v>28</v>
      </c>
      <c r="B115" s="321" t="s">
        <v>114</v>
      </c>
      <c r="C115" s="321" t="s">
        <v>40</v>
      </c>
      <c r="D115" s="321" t="s">
        <v>53</v>
      </c>
      <c r="E115" s="321" t="s">
        <v>270</v>
      </c>
      <c r="F115" s="321" t="s">
        <v>305</v>
      </c>
      <c r="G115" s="321" t="s">
        <v>309</v>
      </c>
      <c r="H115" s="330">
        <v>300</v>
      </c>
      <c r="I115" s="331">
        <v>11.646000000000001</v>
      </c>
      <c r="J115" s="331">
        <v>3.9E-2</v>
      </c>
      <c r="K115" s="331">
        <v>0.25800000000000001</v>
      </c>
      <c r="L115" s="330">
        <v>14.9</v>
      </c>
      <c r="M115" s="332">
        <v>24</v>
      </c>
      <c r="N115" s="330">
        <v>29</v>
      </c>
      <c r="O115" s="331">
        <v>1.2529999999999999</v>
      </c>
      <c r="P115" s="331">
        <v>4.2999999999999997E-2</v>
      </c>
      <c r="Q115" s="331">
        <v>0.247</v>
      </c>
      <c r="R115" s="330">
        <v>7.8</v>
      </c>
      <c r="S115" s="332">
        <v>2228</v>
      </c>
      <c r="T115" s="330">
        <v>1.8</v>
      </c>
      <c r="U115" s="330">
        <v>3.5</v>
      </c>
      <c r="V115" s="332">
        <v>15</v>
      </c>
      <c r="W115" s="330">
        <v>35.5</v>
      </c>
      <c r="X115" s="331">
        <v>0.54200000000000004</v>
      </c>
      <c r="Y115" s="331">
        <v>1.4999999999999999E-2</v>
      </c>
      <c r="Z115" s="331">
        <v>0.23499999999999999</v>
      </c>
      <c r="AA115" s="330">
        <v>13.5</v>
      </c>
      <c r="AB115" s="332">
        <v>2353</v>
      </c>
      <c r="AC115" s="330">
        <v>4.5999999999999996</v>
      </c>
      <c r="AD115" s="330">
        <v>17</v>
      </c>
      <c r="AE115" s="332">
        <v>12</v>
      </c>
      <c r="AF115" s="330">
        <v>9.8000000000000007</v>
      </c>
      <c r="AG115" s="331">
        <v>1.0569999999999999</v>
      </c>
      <c r="AH115" s="331">
        <v>0.108</v>
      </c>
      <c r="AI115" s="330">
        <v>0</v>
      </c>
      <c r="AJ115" s="332">
        <v>13</v>
      </c>
      <c r="AK115" s="330">
        <v>290.2</v>
      </c>
      <c r="AL115" s="331">
        <v>10.589</v>
      </c>
      <c r="AM115" s="331">
        <v>3.5999999999999997E-2</v>
      </c>
      <c r="AN115" s="330">
        <v>14.9</v>
      </c>
      <c r="AO115" s="318">
        <f>Table2[[#This Row],[Inside_._time]]/Table2[[#This Row],[Duration]]</f>
        <v>3.266666666666667E-2</v>
      </c>
      <c r="AP115" s="318">
        <f>Table2[[#This Row],[Outside_._time]]/Table2[[#This Row],[Duration]]</f>
        <v>0.96733333333333327</v>
      </c>
      <c r="AQ115" s="318">
        <f>Table2[[#This Row],[Inside_._distance]]/Table2[[#This Row],[Distance]]</f>
        <v>9.0760776232182719E-2</v>
      </c>
      <c r="AR115" s="318">
        <f>Table2[[#This Row],[Outside_._distance]]/Table2[[#This Row],[Distance]]</f>
        <v>0.9092392237678173</v>
      </c>
      <c r="AS115" s="317"/>
      <c r="AT115" s="317"/>
      <c r="AU115" s="317"/>
      <c r="AV115" s="315"/>
      <c r="AW115" s="317"/>
      <c r="AX115" s="317"/>
      <c r="AY115" s="321" t="s">
        <v>487</v>
      </c>
      <c r="AZ115" s="321" t="s">
        <v>476</v>
      </c>
      <c r="BA115" s="321" t="s">
        <v>473</v>
      </c>
      <c r="BB115" s="332">
        <v>151</v>
      </c>
      <c r="BC115" s="330">
        <v>5.0333333333333332</v>
      </c>
      <c r="BD115" s="321" t="s">
        <v>477</v>
      </c>
      <c r="BE115" s="321">
        <v>8</v>
      </c>
      <c r="BF115" s="321"/>
      <c r="BG115" s="270"/>
      <c r="BH115" s="270"/>
      <c r="BI115" s="270"/>
      <c r="BJ115" s="270"/>
      <c r="BK115" s="270"/>
      <c r="BL115" s="270"/>
      <c r="BM115" s="270"/>
      <c r="BN115" s="270"/>
      <c r="BO115" s="270"/>
    </row>
    <row r="116" spans="1:67" ht="12" customHeight="1" x14ac:dyDescent="0.2">
      <c r="A116" s="321">
        <v>29</v>
      </c>
      <c r="B116" s="321" t="s">
        <v>116</v>
      </c>
      <c r="C116" s="321" t="s">
        <v>40</v>
      </c>
      <c r="D116" s="321" t="s">
        <v>41</v>
      </c>
      <c r="E116" s="321" t="s">
        <v>270</v>
      </c>
      <c r="F116" s="321" t="s">
        <v>310</v>
      </c>
      <c r="G116" s="321" t="s">
        <v>311</v>
      </c>
      <c r="H116" s="330">
        <v>300</v>
      </c>
      <c r="I116" s="331">
        <v>6.43</v>
      </c>
      <c r="J116" s="331">
        <v>2.1000000000000001E-2</v>
      </c>
      <c r="K116" s="331">
        <v>0.30199999999999999</v>
      </c>
      <c r="L116" s="330">
        <v>77.2</v>
      </c>
      <c r="M116" s="332">
        <v>21</v>
      </c>
      <c r="N116" s="330">
        <v>25.9</v>
      </c>
      <c r="O116" s="331">
        <v>0.34300000000000003</v>
      </c>
      <c r="P116" s="331">
        <v>1.2999999999999999E-2</v>
      </c>
      <c r="Q116" s="331">
        <v>0.184</v>
      </c>
      <c r="R116" s="330">
        <v>11.2</v>
      </c>
      <c r="S116" s="332">
        <v>1577</v>
      </c>
      <c r="T116" s="330">
        <v>3.6</v>
      </c>
      <c r="U116" s="330">
        <v>20.100000000000001</v>
      </c>
      <c r="V116" s="332">
        <v>12</v>
      </c>
      <c r="W116" s="330">
        <v>6</v>
      </c>
      <c r="X116" s="331">
        <v>0.53500000000000003</v>
      </c>
      <c r="Y116" s="331">
        <v>8.8999999999999996E-2</v>
      </c>
      <c r="Z116" s="331">
        <v>0.17699999999999999</v>
      </c>
      <c r="AA116" s="330">
        <v>2</v>
      </c>
      <c r="AB116" s="332">
        <v>400</v>
      </c>
      <c r="AC116" s="330">
        <v>0</v>
      </c>
      <c r="AD116" s="330">
        <v>2.6</v>
      </c>
      <c r="AE116" s="332">
        <v>8</v>
      </c>
      <c r="AF116" s="330">
        <v>8.1</v>
      </c>
      <c r="AG116" s="331">
        <v>0.98299999999999998</v>
      </c>
      <c r="AH116" s="331">
        <v>0.121</v>
      </c>
      <c r="AI116" s="330">
        <v>0</v>
      </c>
      <c r="AJ116" s="332">
        <v>8</v>
      </c>
      <c r="AK116" s="330">
        <v>291.89999999999998</v>
      </c>
      <c r="AL116" s="331">
        <v>5.4480000000000004</v>
      </c>
      <c r="AM116" s="331">
        <v>1.9E-2</v>
      </c>
      <c r="AN116" s="330">
        <v>77.2</v>
      </c>
      <c r="AO116" s="318">
        <f>Table2[[#This Row],[Inside_._time]]/Table2[[#This Row],[Duration]]</f>
        <v>2.7E-2</v>
      </c>
      <c r="AP116" s="318">
        <f>Table2[[#This Row],[Outside_._time]]/Table2[[#This Row],[Duration]]</f>
        <v>0.97299999999999998</v>
      </c>
      <c r="AQ116" s="318">
        <f>Table2[[#This Row],[Inside_._distance]]/Table2[[#This Row],[Distance]]</f>
        <v>0.15287713841368586</v>
      </c>
      <c r="AR116" s="318">
        <f>Table2[[#This Row],[Outside_._distance]]/Table2[[#This Row],[Distance]]</f>
        <v>0.84727838258164867</v>
      </c>
      <c r="AS116" s="317"/>
      <c r="AT116" s="317"/>
      <c r="AU116" s="317"/>
      <c r="AV116" s="315"/>
      <c r="AW116" s="317"/>
      <c r="AX116" s="317"/>
      <c r="AY116" s="321" t="s">
        <v>487</v>
      </c>
      <c r="AZ116" s="321" t="s">
        <v>476</v>
      </c>
      <c r="BA116" s="321" t="s">
        <v>473</v>
      </c>
      <c r="BB116" s="332">
        <v>151</v>
      </c>
      <c r="BC116" s="330">
        <v>5.0333333333333332</v>
      </c>
      <c r="BD116" s="321" t="s">
        <v>474</v>
      </c>
      <c r="BE116" s="321">
        <v>7</v>
      </c>
      <c r="BF116" s="321"/>
      <c r="BG116" s="270"/>
      <c r="BH116" s="270"/>
      <c r="BI116" s="270"/>
      <c r="BJ116" s="270"/>
      <c r="BK116" s="270"/>
      <c r="BL116" s="270"/>
      <c r="BM116" s="270"/>
      <c r="BN116" s="270"/>
      <c r="BO116" s="270"/>
    </row>
    <row r="117" spans="1:67" ht="12" customHeight="1" x14ac:dyDescent="0.2">
      <c r="A117" s="321">
        <v>30</v>
      </c>
      <c r="B117" s="321" t="s">
        <v>118</v>
      </c>
      <c r="C117" s="321" t="s">
        <v>40</v>
      </c>
      <c r="D117" s="321" t="s">
        <v>46</v>
      </c>
      <c r="E117" s="321" t="s">
        <v>270</v>
      </c>
      <c r="F117" s="321" t="s">
        <v>310</v>
      </c>
      <c r="G117" s="321" t="s">
        <v>312</v>
      </c>
      <c r="H117" s="330">
        <v>300</v>
      </c>
      <c r="I117" s="331">
        <v>5.9749999999999996</v>
      </c>
      <c r="J117" s="331">
        <v>0.02</v>
      </c>
      <c r="K117" s="331">
        <v>0.23499999999999999</v>
      </c>
      <c r="L117" s="330">
        <v>63.5</v>
      </c>
      <c r="M117" s="332">
        <v>8</v>
      </c>
      <c r="N117" s="330">
        <v>10</v>
      </c>
      <c r="O117" s="331">
        <v>0.63200000000000001</v>
      </c>
      <c r="P117" s="331">
        <v>6.4000000000000001E-2</v>
      </c>
      <c r="Q117" s="331">
        <v>0.221</v>
      </c>
      <c r="R117" s="330">
        <v>1.9</v>
      </c>
      <c r="S117" s="332">
        <v>808</v>
      </c>
      <c r="T117" s="330">
        <v>0</v>
      </c>
      <c r="U117" s="330">
        <v>1.7</v>
      </c>
      <c r="V117" s="332">
        <v>33</v>
      </c>
      <c r="W117" s="330">
        <v>84.3</v>
      </c>
      <c r="X117" s="331">
        <v>0.41899999999999998</v>
      </c>
      <c r="Y117" s="331">
        <v>5.0000000000000001E-3</v>
      </c>
      <c r="Z117" s="331">
        <v>0.17799999999999999</v>
      </c>
      <c r="AA117" s="330">
        <v>71.5</v>
      </c>
      <c r="AB117" s="332">
        <v>3589</v>
      </c>
      <c r="AC117" s="330">
        <v>40.6</v>
      </c>
      <c r="AD117" s="330">
        <v>76.400000000000006</v>
      </c>
      <c r="AE117" s="332">
        <v>7</v>
      </c>
      <c r="AF117" s="330">
        <v>27.3</v>
      </c>
      <c r="AG117" s="331">
        <v>1.21</v>
      </c>
      <c r="AH117" s="331">
        <v>4.3999999999999997E-2</v>
      </c>
      <c r="AI117" s="330">
        <v>3.3</v>
      </c>
      <c r="AJ117" s="332">
        <v>8</v>
      </c>
      <c r="AK117" s="330">
        <v>272.7</v>
      </c>
      <c r="AL117" s="331">
        <v>4.7640000000000002</v>
      </c>
      <c r="AM117" s="331">
        <v>1.7000000000000001E-2</v>
      </c>
      <c r="AN117" s="330">
        <v>60.2</v>
      </c>
      <c r="AO117" s="318">
        <f>Table2[[#This Row],[Inside_._time]]/Table2[[#This Row],[Duration]]</f>
        <v>9.0999999999999998E-2</v>
      </c>
      <c r="AP117" s="318">
        <f>Table2[[#This Row],[Outside_._time]]/Table2[[#This Row],[Duration]]</f>
        <v>0.90899999999999992</v>
      </c>
      <c r="AQ117" s="318">
        <f>Table2[[#This Row],[Inside_._distance]]/Table2[[#This Row],[Distance]]</f>
        <v>0.20251046025104602</v>
      </c>
      <c r="AR117" s="318">
        <f>Table2[[#This Row],[Outside_._distance]]/Table2[[#This Row],[Distance]]</f>
        <v>0.79732217573221764</v>
      </c>
      <c r="AS117" s="317"/>
      <c r="AT117" s="317"/>
      <c r="AU117" s="317"/>
      <c r="AV117" s="315"/>
      <c r="AW117" s="317"/>
      <c r="AX117" s="317"/>
      <c r="AY117" s="321" t="s">
        <v>487</v>
      </c>
      <c r="AZ117" s="321" t="s">
        <v>476</v>
      </c>
      <c r="BA117" s="321" t="s">
        <v>475</v>
      </c>
      <c r="BB117" s="332">
        <v>151</v>
      </c>
      <c r="BC117" s="330">
        <v>5.0333333333333332</v>
      </c>
      <c r="BD117" s="321" t="s">
        <v>474</v>
      </c>
      <c r="BE117" s="321">
        <v>5</v>
      </c>
      <c r="BF117" s="321" t="s">
        <v>465</v>
      </c>
      <c r="BG117" s="270"/>
      <c r="BH117" s="270"/>
      <c r="BI117" s="270"/>
      <c r="BJ117" s="270"/>
      <c r="BK117" s="270"/>
      <c r="BL117" s="270"/>
      <c r="BM117" s="270"/>
      <c r="BN117" s="270"/>
      <c r="BO117" s="270"/>
    </row>
    <row r="118" spans="1:67" ht="12" customHeight="1" x14ac:dyDescent="0.2">
      <c r="A118" s="321">
        <v>31</v>
      </c>
      <c r="B118" s="321" t="s">
        <v>121</v>
      </c>
      <c r="C118" s="321" t="s">
        <v>40</v>
      </c>
      <c r="D118" s="321" t="s">
        <v>49</v>
      </c>
      <c r="E118" s="321" t="s">
        <v>270</v>
      </c>
      <c r="F118" s="321" t="s">
        <v>310</v>
      </c>
      <c r="G118" s="321" t="s">
        <v>313</v>
      </c>
      <c r="H118" s="330">
        <v>300</v>
      </c>
      <c r="I118" s="331">
        <v>10.555</v>
      </c>
      <c r="J118" s="331">
        <v>3.5000000000000003E-2</v>
      </c>
      <c r="K118" s="331">
        <v>0.26300000000000001</v>
      </c>
      <c r="L118" s="330">
        <v>14.1</v>
      </c>
      <c r="M118" s="332">
        <v>21</v>
      </c>
      <c r="N118" s="330">
        <v>36.9</v>
      </c>
      <c r="O118" s="331">
        <v>1.615</v>
      </c>
      <c r="P118" s="331">
        <v>4.3999999999999997E-2</v>
      </c>
      <c r="Q118" s="331">
        <v>0.254</v>
      </c>
      <c r="R118" s="330">
        <v>5</v>
      </c>
      <c r="S118" s="332">
        <v>2349</v>
      </c>
      <c r="T118" s="330">
        <v>6.5</v>
      </c>
      <c r="U118" s="330">
        <v>4.3</v>
      </c>
      <c r="V118" s="332">
        <v>12</v>
      </c>
      <c r="W118" s="330">
        <v>19.2</v>
      </c>
      <c r="X118" s="331">
        <v>0.61599999999999999</v>
      </c>
      <c r="Y118" s="331">
        <v>3.2000000000000001E-2</v>
      </c>
      <c r="Z118" s="331">
        <v>0.23200000000000001</v>
      </c>
      <c r="AA118" s="330">
        <v>2.2000000000000002</v>
      </c>
      <c r="AB118" s="332">
        <v>1479</v>
      </c>
      <c r="AC118" s="330">
        <v>0</v>
      </c>
      <c r="AD118" s="330">
        <v>0.8</v>
      </c>
      <c r="AE118" s="332">
        <v>7</v>
      </c>
      <c r="AF118" s="330">
        <v>8.5</v>
      </c>
      <c r="AG118" s="331">
        <v>1.2070000000000001</v>
      </c>
      <c r="AH118" s="331">
        <v>0.14299999999999999</v>
      </c>
      <c r="AI118" s="330">
        <v>0</v>
      </c>
      <c r="AJ118" s="332">
        <v>8</v>
      </c>
      <c r="AK118" s="330">
        <v>291.5</v>
      </c>
      <c r="AL118" s="331">
        <v>9.3480000000000008</v>
      </c>
      <c r="AM118" s="331">
        <v>3.2000000000000001E-2</v>
      </c>
      <c r="AN118" s="330">
        <v>14.1</v>
      </c>
      <c r="AO118" s="318">
        <f>Table2[[#This Row],[Inside_._time]]/Table2[[#This Row],[Duration]]</f>
        <v>2.8333333333333332E-2</v>
      </c>
      <c r="AP118" s="318">
        <f>Table2[[#This Row],[Outside_._time]]/Table2[[#This Row],[Duration]]</f>
        <v>0.97166666666666668</v>
      </c>
      <c r="AQ118" s="318">
        <f>Table2[[#This Row],[Inside_._distance]]/Table2[[#This Row],[Distance]]</f>
        <v>0.1143533870203695</v>
      </c>
      <c r="AR118" s="318">
        <f>Table2[[#This Row],[Outside_._distance]]/Table2[[#This Row],[Distance]]</f>
        <v>0.88564661297963065</v>
      </c>
      <c r="AS118" s="317"/>
      <c r="AT118" s="317"/>
      <c r="AU118" s="317"/>
      <c r="AV118" s="315"/>
      <c r="AW118" s="317"/>
      <c r="AX118" s="317"/>
      <c r="AY118" s="321" t="s">
        <v>486</v>
      </c>
      <c r="AZ118" s="321" t="s">
        <v>472</v>
      </c>
      <c r="BA118" s="321" t="s">
        <v>475</v>
      </c>
      <c r="BB118" s="332">
        <v>144</v>
      </c>
      <c r="BC118" s="330">
        <v>4.8</v>
      </c>
      <c r="BD118" s="321" t="s">
        <v>474</v>
      </c>
      <c r="BE118" s="321">
        <v>1</v>
      </c>
      <c r="BF118" s="321" t="s">
        <v>466</v>
      </c>
      <c r="BG118" s="270"/>
      <c r="BH118" s="270"/>
      <c r="BI118" s="270"/>
      <c r="BJ118" s="270"/>
      <c r="BK118" s="270"/>
      <c r="BL118" s="270"/>
      <c r="BM118" s="270"/>
      <c r="BN118" s="270"/>
      <c r="BO118" s="270"/>
    </row>
    <row r="119" spans="1:67" ht="12" customHeight="1" x14ac:dyDescent="0.2">
      <c r="A119" s="321">
        <v>32</v>
      </c>
      <c r="B119" s="321" t="s">
        <v>123</v>
      </c>
      <c r="C119" s="321" t="s">
        <v>40</v>
      </c>
      <c r="D119" s="321" t="s">
        <v>53</v>
      </c>
      <c r="E119" s="321" t="s">
        <v>270</v>
      </c>
      <c r="F119" s="321" t="s">
        <v>314</v>
      </c>
      <c r="G119" s="321" t="s">
        <v>315</v>
      </c>
      <c r="H119" s="330">
        <v>300</v>
      </c>
      <c r="I119" s="331">
        <v>64.700999999999993</v>
      </c>
      <c r="J119" s="331">
        <v>0.216</v>
      </c>
      <c r="K119" s="331">
        <v>0.503</v>
      </c>
      <c r="L119" s="330">
        <v>0</v>
      </c>
      <c r="M119" s="332">
        <v>83</v>
      </c>
      <c r="N119" s="330">
        <v>33.1</v>
      </c>
      <c r="O119" s="331">
        <v>8.6129999999999995</v>
      </c>
      <c r="P119" s="331">
        <v>0.26100000000000001</v>
      </c>
      <c r="Q119" s="331">
        <v>0.503</v>
      </c>
      <c r="R119" s="330">
        <v>6.2</v>
      </c>
      <c r="S119" s="332">
        <v>9208</v>
      </c>
      <c r="T119" s="330">
        <v>0</v>
      </c>
      <c r="U119" s="330">
        <v>9.3000000000000007</v>
      </c>
      <c r="V119" s="332">
        <v>91</v>
      </c>
      <c r="W119" s="330">
        <v>40</v>
      </c>
      <c r="X119" s="331">
        <v>9.0869999999999997</v>
      </c>
      <c r="Y119" s="331">
        <v>0.22700000000000001</v>
      </c>
      <c r="Z119" s="331">
        <v>0.439</v>
      </c>
      <c r="AA119" s="330">
        <v>6.7</v>
      </c>
      <c r="AB119" s="332">
        <v>10121</v>
      </c>
      <c r="AC119" s="330">
        <v>0</v>
      </c>
      <c r="AD119" s="330">
        <v>8.5</v>
      </c>
      <c r="AE119" s="332">
        <v>162</v>
      </c>
      <c r="AF119" s="330">
        <v>94.3</v>
      </c>
      <c r="AG119" s="331">
        <v>25.943000000000001</v>
      </c>
      <c r="AH119" s="331">
        <v>0.27500000000000002</v>
      </c>
      <c r="AI119" s="330">
        <v>0</v>
      </c>
      <c r="AJ119" s="332">
        <v>163</v>
      </c>
      <c r="AK119" s="330">
        <v>205.7</v>
      </c>
      <c r="AL119" s="331">
        <v>38.758000000000003</v>
      </c>
      <c r="AM119" s="331">
        <v>0.188</v>
      </c>
      <c r="AN119" s="330">
        <v>0</v>
      </c>
      <c r="AO119" s="318">
        <f>Table2[[#This Row],[Inside_._time]]/Table2[[#This Row],[Duration]]</f>
        <v>0.3143333333333333</v>
      </c>
      <c r="AP119" s="318">
        <f>Table2[[#This Row],[Outside_._time]]/Table2[[#This Row],[Duration]]</f>
        <v>0.68566666666666665</v>
      </c>
      <c r="AQ119" s="318">
        <f>Table2[[#This Row],[Inside_._distance]]/Table2[[#This Row],[Distance]]</f>
        <v>0.40096752754980608</v>
      </c>
      <c r="AR119" s="318">
        <f>Table2[[#This Row],[Outside_._distance]]/Table2[[#This Row],[Distance]]</f>
        <v>0.59903247245019409</v>
      </c>
      <c r="AS119" s="317"/>
      <c r="AT119" s="317"/>
      <c r="AU119" s="317"/>
      <c r="AV119" s="315"/>
      <c r="AW119" s="317"/>
      <c r="AX119" s="317"/>
      <c r="AY119" s="321" t="s">
        <v>486</v>
      </c>
      <c r="AZ119" s="321" t="s">
        <v>472</v>
      </c>
      <c r="BA119" s="321" t="s">
        <v>473</v>
      </c>
      <c r="BB119" s="332">
        <v>144</v>
      </c>
      <c r="BC119" s="330">
        <v>4.8</v>
      </c>
      <c r="BD119" s="321" t="s">
        <v>477</v>
      </c>
      <c r="BE119" s="321">
        <v>4</v>
      </c>
      <c r="BF119" s="321" t="s">
        <v>467</v>
      </c>
      <c r="BG119" s="270"/>
      <c r="BH119" s="270"/>
      <c r="BI119" s="270"/>
      <c r="BJ119" s="270"/>
      <c r="BK119" s="270"/>
      <c r="BL119" s="270"/>
      <c r="BM119" s="270"/>
      <c r="BN119" s="270"/>
      <c r="BO119" s="270"/>
    </row>
    <row r="120" spans="1:67" ht="12" customHeight="1" x14ac:dyDescent="0.2">
      <c r="A120" s="321">
        <v>36</v>
      </c>
      <c r="B120" s="321" t="s">
        <v>125</v>
      </c>
      <c r="C120" s="321" t="s">
        <v>40</v>
      </c>
      <c r="D120" s="321" t="s">
        <v>41</v>
      </c>
      <c r="E120" s="321" t="s">
        <v>270</v>
      </c>
      <c r="F120" s="321" t="s">
        <v>316</v>
      </c>
      <c r="G120" s="321" t="s">
        <v>317</v>
      </c>
      <c r="H120" s="330">
        <v>300</v>
      </c>
      <c r="I120" s="331">
        <v>12.557</v>
      </c>
      <c r="J120" s="331">
        <v>4.2000000000000003E-2</v>
      </c>
      <c r="K120" s="331">
        <v>0.34899999999999998</v>
      </c>
      <c r="L120" s="330">
        <v>4</v>
      </c>
      <c r="M120" s="332">
        <v>33</v>
      </c>
      <c r="N120" s="330">
        <v>30</v>
      </c>
      <c r="O120" s="331">
        <v>0.90800000000000003</v>
      </c>
      <c r="P120" s="331">
        <v>0.03</v>
      </c>
      <c r="Q120" s="331">
        <v>0.27500000000000002</v>
      </c>
      <c r="R120" s="330">
        <v>10.8</v>
      </c>
      <c r="S120" s="332">
        <v>2452</v>
      </c>
      <c r="T120" s="330">
        <v>0.1</v>
      </c>
      <c r="U120" s="330">
        <v>18.8</v>
      </c>
      <c r="V120" s="332">
        <v>14</v>
      </c>
      <c r="W120" s="330">
        <v>8.4</v>
      </c>
      <c r="X120" s="331">
        <v>0.85799999999999998</v>
      </c>
      <c r="Y120" s="331">
        <v>0.10199999999999999</v>
      </c>
      <c r="Z120" s="331">
        <v>0.33600000000000002</v>
      </c>
      <c r="AA120" s="330">
        <v>2</v>
      </c>
      <c r="AB120" s="332">
        <v>1147</v>
      </c>
      <c r="AC120" s="330">
        <v>0</v>
      </c>
      <c r="AD120" s="330">
        <v>2.8</v>
      </c>
      <c r="AE120" s="332">
        <v>20</v>
      </c>
      <c r="AF120" s="330">
        <v>109.6</v>
      </c>
      <c r="AG120" s="331">
        <v>2.665</v>
      </c>
      <c r="AH120" s="331">
        <v>2.4E-2</v>
      </c>
      <c r="AI120" s="330">
        <v>1.3</v>
      </c>
      <c r="AJ120" s="332">
        <v>19</v>
      </c>
      <c r="AK120" s="330">
        <v>190.4</v>
      </c>
      <c r="AL120" s="331">
        <v>9.8919999999999995</v>
      </c>
      <c r="AM120" s="331">
        <v>5.1999999999999998E-2</v>
      </c>
      <c r="AN120" s="330">
        <v>2.7</v>
      </c>
      <c r="AO120" s="318">
        <f>Table2[[#This Row],[Inside_._time]]/Table2[[#This Row],[Duration]]</f>
        <v>0.36533333333333329</v>
      </c>
      <c r="AP120" s="318">
        <f>Table2[[#This Row],[Outside_._time]]/Table2[[#This Row],[Duration]]</f>
        <v>0.63466666666666671</v>
      </c>
      <c r="AQ120" s="318">
        <f>Table2[[#This Row],[Inside_._distance]]/Table2[[#This Row],[Distance]]</f>
        <v>0.21223222107191209</v>
      </c>
      <c r="AR120" s="318">
        <f>Table2[[#This Row],[Outside_._distance]]/Table2[[#This Row],[Distance]]</f>
        <v>0.7877677789280878</v>
      </c>
      <c r="AS120" s="317"/>
      <c r="AT120" s="317"/>
      <c r="AU120" s="317"/>
      <c r="AV120" s="315"/>
      <c r="AW120" s="317"/>
      <c r="AX120" s="317"/>
      <c r="AY120" s="321" t="s">
        <v>486</v>
      </c>
      <c r="AZ120" s="321" t="s">
        <v>472</v>
      </c>
      <c r="BA120" s="321" t="s">
        <v>475</v>
      </c>
      <c r="BB120" s="332">
        <v>144</v>
      </c>
      <c r="BC120" s="330">
        <v>4.8</v>
      </c>
      <c r="BD120" s="321" t="s">
        <v>477</v>
      </c>
      <c r="BE120" s="321">
        <v>2</v>
      </c>
      <c r="BF120" s="321" t="s">
        <v>466</v>
      </c>
      <c r="BG120" s="270"/>
      <c r="BH120" s="270"/>
      <c r="BI120" s="270"/>
      <c r="BJ120" s="270"/>
      <c r="BK120" s="270"/>
      <c r="BL120" s="270"/>
      <c r="BM120" s="270"/>
      <c r="BN120" s="270"/>
      <c r="BO120" s="270"/>
    </row>
    <row r="121" spans="1:67" ht="12" customHeight="1" x14ac:dyDescent="0.2">
      <c r="A121" s="321">
        <v>35</v>
      </c>
      <c r="B121" s="321" t="s">
        <v>127</v>
      </c>
      <c r="C121" s="321" t="s">
        <v>40</v>
      </c>
      <c r="D121" s="321" t="s">
        <v>46</v>
      </c>
      <c r="E121" s="321" t="s">
        <v>270</v>
      </c>
      <c r="F121" s="321" t="s">
        <v>316</v>
      </c>
      <c r="G121" s="321" t="s">
        <v>318</v>
      </c>
      <c r="H121" s="330">
        <v>300</v>
      </c>
      <c r="I121" s="331">
        <v>9.6270000000000007</v>
      </c>
      <c r="J121" s="331">
        <v>3.2000000000000001E-2</v>
      </c>
      <c r="K121" s="331">
        <v>0.24199999999999999</v>
      </c>
      <c r="L121" s="330">
        <v>30.9</v>
      </c>
      <c r="M121" s="332">
        <v>17</v>
      </c>
      <c r="N121" s="330">
        <v>14.1</v>
      </c>
      <c r="O121" s="331">
        <v>1.0489999999999999</v>
      </c>
      <c r="P121" s="331">
        <v>7.4999999999999997E-2</v>
      </c>
      <c r="Q121" s="331">
        <v>0.24</v>
      </c>
      <c r="R121" s="330">
        <v>1.3</v>
      </c>
      <c r="S121" s="332">
        <v>1012</v>
      </c>
      <c r="T121" s="330">
        <v>0</v>
      </c>
      <c r="U121" s="330">
        <v>4.4000000000000004</v>
      </c>
      <c r="V121" s="332">
        <v>34</v>
      </c>
      <c r="W121" s="330">
        <v>66.8</v>
      </c>
      <c r="X121" s="331">
        <v>1.149</v>
      </c>
      <c r="Y121" s="331">
        <v>1.7000000000000001E-2</v>
      </c>
      <c r="Z121" s="331">
        <v>0.23799999999999999</v>
      </c>
      <c r="AA121" s="330">
        <v>4</v>
      </c>
      <c r="AB121" s="332">
        <v>4650</v>
      </c>
      <c r="AC121" s="330">
        <v>15.1</v>
      </c>
      <c r="AD121" s="330">
        <v>6.3</v>
      </c>
      <c r="AE121" s="332">
        <v>21</v>
      </c>
      <c r="AF121" s="330">
        <v>119.8</v>
      </c>
      <c r="AG121" s="331">
        <v>2.6579999999999999</v>
      </c>
      <c r="AH121" s="331">
        <v>2.1999999999999999E-2</v>
      </c>
      <c r="AI121" s="330">
        <v>19.600000000000001</v>
      </c>
      <c r="AJ121" s="332">
        <v>22</v>
      </c>
      <c r="AK121" s="330">
        <v>180.2</v>
      </c>
      <c r="AL121" s="331">
        <v>6.968</v>
      </c>
      <c r="AM121" s="331">
        <v>3.9E-2</v>
      </c>
      <c r="AN121" s="330">
        <v>11.3</v>
      </c>
      <c r="AO121" s="318">
        <f>Table2[[#This Row],[Inside_._time]]/Table2[[#This Row],[Duration]]</f>
        <v>0.39933333333333332</v>
      </c>
      <c r="AP121" s="318">
        <f>Table2[[#This Row],[Outside_._time]]/Table2[[#This Row],[Duration]]</f>
        <v>0.60066666666666668</v>
      </c>
      <c r="AQ121" s="318">
        <f>Table2[[#This Row],[Inside_._distance]]/Table2[[#This Row],[Distance]]</f>
        <v>0.27609847304456214</v>
      </c>
      <c r="AR121" s="318">
        <f>Table2[[#This Row],[Outside_._distance]]/Table2[[#This Row],[Distance]]</f>
        <v>0.72379765243585747</v>
      </c>
      <c r="AS121" s="317"/>
      <c r="AT121" s="317"/>
      <c r="AU121" s="317"/>
      <c r="AV121" s="315"/>
      <c r="AW121" s="317"/>
      <c r="AX121" s="317"/>
      <c r="AY121" s="321" t="s">
        <v>486</v>
      </c>
      <c r="AZ121" s="321" t="s">
        <v>472</v>
      </c>
      <c r="BA121" s="321" t="s">
        <v>473</v>
      </c>
      <c r="BB121" s="332">
        <v>144</v>
      </c>
      <c r="BC121" s="330">
        <v>4.8</v>
      </c>
      <c r="BD121" s="321" t="s">
        <v>477</v>
      </c>
      <c r="BE121" s="321">
        <v>4</v>
      </c>
      <c r="BF121" s="321"/>
      <c r="BG121" s="270"/>
      <c r="BH121" s="270"/>
      <c r="BI121" s="270"/>
      <c r="BJ121" s="270"/>
      <c r="BK121" s="270"/>
      <c r="BL121" s="270"/>
      <c r="BM121" s="270"/>
      <c r="BN121" s="270"/>
      <c r="BO121" s="270"/>
    </row>
    <row r="122" spans="1:67" ht="12" customHeight="1" x14ac:dyDescent="0.2">
      <c r="A122" s="321">
        <v>33</v>
      </c>
      <c r="B122" s="321" t="s">
        <v>130</v>
      </c>
      <c r="C122" s="321" t="s">
        <v>40</v>
      </c>
      <c r="D122" s="321" t="s">
        <v>49</v>
      </c>
      <c r="E122" s="321" t="s">
        <v>270</v>
      </c>
      <c r="F122" s="321" t="s">
        <v>316</v>
      </c>
      <c r="G122" s="321" t="s">
        <v>319</v>
      </c>
      <c r="H122" s="330">
        <v>300</v>
      </c>
      <c r="I122" s="331">
        <v>6.4279999999999999</v>
      </c>
      <c r="J122" s="331">
        <v>2.1000000000000001E-2</v>
      </c>
      <c r="K122" s="331">
        <v>0.29499999999999998</v>
      </c>
      <c r="L122" s="330">
        <v>36.6</v>
      </c>
      <c r="M122" s="332">
        <v>10</v>
      </c>
      <c r="N122" s="330">
        <v>8</v>
      </c>
      <c r="O122" s="331">
        <v>0.71699999999999997</v>
      </c>
      <c r="P122" s="331">
        <v>0.09</v>
      </c>
      <c r="Q122" s="331">
        <v>0.24299999999999999</v>
      </c>
      <c r="R122" s="330">
        <v>0.9</v>
      </c>
      <c r="S122" s="332">
        <v>747</v>
      </c>
      <c r="T122" s="330">
        <v>0</v>
      </c>
      <c r="U122" s="330">
        <v>1.3</v>
      </c>
      <c r="V122" s="332">
        <v>13</v>
      </c>
      <c r="W122" s="330">
        <v>52</v>
      </c>
      <c r="X122" s="331">
        <v>0.66300000000000003</v>
      </c>
      <c r="Y122" s="331">
        <v>1.2999999999999999E-2</v>
      </c>
      <c r="Z122" s="331">
        <v>0.19500000000000001</v>
      </c>
      <c r="AA122" s="330">
        <v>16.8</v>
      </c>
      <c r="AB122" s="332">
        <v>3947</v>
      </c>
      <c r="AC122" s="330">
        <v>4.0999999999999996</v>
      </c>
      <c r="AD122" s="330">
        <v>9.5</v>
      </c>
      <c r="AE122" s="332">
        <v>15</v>
      </c>
      <c r="AF122" s="330">
        <v>26.4</v>
      </c>
      <c r="AG122" s="331">
        <v>2.09</v>
      </c>
      <c r="AH122" s="331">
        <v>7.9000000000000001E-2</v>
      </c>
      <c r="AI122" s="330">
        <v>1.3</v>
      </c>
      <c r="AJ122" s="332">
        <v>16</v>
      </c>
      <c r="AK122" s="330">
        <v>273.60000000000002</v>
      </c>
      <c r="AL122" s="331">
        <v>4.3380000000000001</v>
      </c>
      <c r="AM122" s="331">
        <v>1.6E-2</v>
      </c>
      <c r="AN122" s="330">
        <v>35.200000000000003</v>
      </c>
      <c r="AO122" s="318">
        <f>Table2[[#This Row],[Inside_._time]]/Table2[[#This Row],[Duration]]</f>
        <v>8.7999999999999995E-2</v>
      </c>
      <c r="AP122" s="318">
        <f>Table2[[#This Row],[Outside_._time]]/Table2[[#This Row],[Duration]]</f>
        <v>0.91200000000000003</v>
      </c>
      <c r="AQ122" s="318">
        <f>Table2[[#This Row],[Inside_._distance]]/Table2[[#This Row],[Distance]]</f>
        <v>0.32514001244555069</v>
      </c>
      <c r="AR122" s="318">
        <f>Table2[[#This Row],[Outside_._distance]]/Table2[[#This Row],[Distance]]</f>
        <v>0.67485998755444931</v>
      </c>
      <c r="AS122" s="317"/>
      <c r="AT122" s="317"/>
      <c r="AU122" s="317"/>
      <c r="AV122" s="315"/>
      <c r="AW122" s="317"/>
      <c r="AX122" s="317"/>
      <c r="AY122" s="321" t="s">
        <v>486</v>
      </c>
      <c r="AZ122" s="321" t="s">
        <v>472</v>
      </c>
      <c r="BA122" s="321" t="s">
        <v>473</v>
      </c>
      <c r="BB122" s="332">
        <v>144</v>
      </c>
      <c r="BC122" s="330">
        <v>4.8</v>
      </c>
      <c r="BD122" s="321" t="s">
        <v>474</v>
      </c>
      <c r="BE122" s="321">
        <v>3</v>
      </c>
      <c r="BF122" s="321" t="s">
        <v>468</v>
      </c>
      <c r="BG122" s="270"/>
      <c r="BH122" s="270"/>
      <c r="BI122" s="270"/>
      <c r="BJ122" s="270"/>
      <c r="BK122" s="270"/>
      <c r="BL122" s="270"/>
      <c r="BM122" s="270"/>
      <c r="BN122" s="270"/>
      <c r="BO122" s="270"/>
    </row>
    <row r="123" spans="1:67" ht="12" customHeight="1" x14ac:dyDescent="0.2">
      <c r="A123" s="321">
        <v>34</v>
      </c>
      <c r="B123" s="321" t="s">
        <v>132</v>
      </c>
      <c r="C123" s="321" t="s">
        <v>40</v>
      </c>
      <c r="D123" s="321" t="s">
        <v>53</v>
      </c>
      <c r="E123" s="321" t="s">
        <v>270</v>
      </c>
      <c r="F123" s="321" t="s">
        <v>316</v>
      </c>
      <c r="G123" s="321" t="s">
        <v>320</v>
      </c>
      <c r="H123" s="330">
        <v>300</v>
      </c>
      <c r="I123" s="331">
        <v>5.742</v>
      </c>
      <c r="J123" s="331">
        <v>1.9E-2</v>
      </c>
      <c r="K123" s="331">
        <v>0.33500000000000002</v>
      </c>
      <c r="L123" s="330">
        <v>154.6</v>
      </c>
      <c r="M123" s="332">
        <v>7</v>
      </c>
      <c r="N123" s="330">
        <v>19.100000000000001</v>
      </c>
      <c r="O123" s="331">
        <v>0.53800000000000003</v>
      </c>
      <c r="P123" s="331">
        <v>2.8000000000000001E-2</v>
      </c>
      <c r="Q123" s="331">
        <v>0.21199999999999999</v>
      </c>
      <c r="R123" s="330">
        <v>9.1</v>
      </c>
      <c r="S123" s="332">
        <v>1332</v>
      </c>
      <c r="T123" s="330">
        <v>7.8</v>
      </c>
      <c r="U123" s="330">
        <v>15.5</v>
      </c>
      <c r="V123" s="332">
        <v>5</v>
      </c>
      <c r="W123" s="330">
        <v>65.900000000000006</v>
      </c>
      <c r="X123" s="331">
        <v>0.373</v>
      </c>
      <c r="Y123" s="331">
        <v>6.0000000000000001E-3</v>
      </c>
      <c r="Z123" s="331">
        <v>0.29499999999999998</v>
      </c>
      <c r="AA123" s="330">
        <v>61.4</v>
      </c>
      <c r="AB123" s="332">
        <v>2397</v>
      </c>
      <c r="AC123" s="330">
        <v>55.5</v>
      </c>
      <c r="AD123" s="330">
        <v>45.4</v>
      </c>
      <c r="AE123" s="332">
        <v>22</v>
      </c>
      <c r="AF123" s="330">
        <v>24.1</v>
      </c>
      <c r="AG123" s="331">
        <v>1.194</v>
      </c>
      <c r="AH123" s="331">
        <v>0.05</v>
      </c>
      <c r="AI123" s="330">
        <v>4.0999999999999996</v>
      </c>
      <c r="AJ123" s="332">
        <v>23</v>
      </c>
      <c r="AK123" s="330">
        <v>275.89999999999998</v>
      </c>
      <c r="AL123" s="331">
        <v>4.548</v>
      </c>
      <c r="AM123" s="331">
        <v>1.6E-2</v>
      </c>
      <c r="AN123" s="330">
        <v>150.4</v>
      </c>
      <c r="AO123" s="318">
        <f>Table2[[#This Row],[Inside_._time]]/Table2[[#This Row],[Duration]]</f>
        <v>8.033333333333334E-2</v>
      </c>
      <c r="AP123" s="318">
        <f>Table2[[#This Row],[Outside_._time]]/Table2[[#This Row],[Duration]]</f>
        <v>0.91966666666666663</v>
      </c>
      <c r="AQ123" s="318">
        <f>Table2[[#This Row],[Inside_._distance]]/Table2[[#This Row],[Distance]]</f>
        <v>0.20794148380355276</v>
      </c>
      <c r="AR123" s="318">
        <f>Table2[[#This Row],[Outside_._distance]]/Table2[[#This Row],[Distance]]</f>
        <v>0.79205851619644729</v>
      </c>
      <c r="AS123" s="317"/>
      <c r="AT123" s="317"/>
      <c r="AU123" s="317"/>
      <c r="AV123" s="315"/>
      <c r="AW123" s="317"/>
      <c r="AX123" s="317"/>
      <c r="AY123" s="321" t="s">
        <v>487</v>
      </c>
      <c r="AZ123" s="321" t="s">
        <v>472</v>
      </c>
      <c r="BA123" s="321" t="s">
        <v>475</v>
      </c>
      <c r="BB123" s="332">
        <v>144</v>
      </c>
      <c r="BC123" s="330">
        <v>4.8</v>
      </c>
      <c r="BD123" s="321" t="s">
        <v>474</v>
      </c>
      <c r="BE123" s="321">
        <v>1</v>
      </c>
      <c r="BF123" s="321" t="s">
        <v>469</v>
      </c>
      <c r="BG123" s="270"/>
      <c r="BH123" s="270"/>
      <c r="BI123" s="270"/>
      <c r="BJ123" s="270"/>
      <c r="BK123" s="270"/>
      <c r="BL123" s="270"/>
      <c r="BM123" s="270"/>
      <c r="BN123" s="270"/>
      <c r="BO123" s="270"/>
    </row>
    <row r="124" spans="1:67" ht="12" customHeight="1" x14ac:dyDescent="0.2">
      <c r="A124" s="321">
        <v>38</v>
      </c>
      <c r="B124" s="321" t="s">
        <v>134</v>
      </c>
      <c r="C124" s="321" t="s">
        <v>40</v>
      </c>
      <c r="D124" s="321" t="s">
        <v>41</v>
      </c>
      <c r="E124" s="321" t="s">
        <v>270</v>
      </c>
      <c r="F124" s="321" t="s">
        <v>321</v>
      </c>
      <c r="G124" s="321" t="s">
        <v>322</v>
      </c>
      <c r="H124" s="330">
        <v>300</v>
      </c>
      <c r="I124" s="331">
        <v>23.469000000000001</v>
      </c>
      <c r="J124" s="331">
        <v>7.8E-2</v>
      </c>
      <c r="K124" s="331">
        <v>0.31</v>
      </c>
      <c r="L124" s="330">
        <v>7.8</v>
      </c>
      <c r="M124" s="332">
        <v>29</v>
      </c>
      <c r="N124" s="330">
        <v>12.9</v>
      </c>
      <c r="O124" s="331">
        <v>1.702</v>
      </c>
      <c r="P124" s="331">
        <v>0.13200000000000001</v>
      </c>
      <c r="Q124" s="331">
        <v>0.27300000000000002</v>
      </c>
      <c r="R124" s="330">
        <v>1.5</v>
      </c>
      <c r="S124" s="332">
        <v>1277</v>
      </c>
      <c r="T124" s="330">
        <v>0</v>
      </c>
      <c r="U124" s="330">
        <v>5.9</v>
      </c>
      <c r="V124" s="332">
        <v>35</v>
      </c>
      <c r="W124" s="330">
        <v>28.6</v>
      </c>
      <c r="X124" s="331">
        <v>2.1949999999999998</v>
      </c>
      <c r="Y124" s="331">
        <v>7.6999999999999999E-2</v>
      </c>
      <c r="Z124" s="331">
        <v>0.31</v>
      </c>
      <c r="AA124" s="330">
        <v>1.7</v>
      </c>
      <c r="AB124" s="332">
        <v>2101</v>
      </c>
      <c r="AC124" s="330">
        <v>2</v>
      </c>
      <c r="AD124" s="330">
        <v>3.2</v>
      </c>
      <c r="AE124" s="332">
        <v>46</v>
      </c>
      <c r="AF124" s="330">
        <v>42.4</v>
      </c>
      <c r="AG124" s="331">
        <v>5.6070000000000002</v>
      </c>
      <c r="AH124" s="331">
        <v>0.13200000000000001</v>
      </c>
      <c r="AI124" s="330">
        <v>1.3</v>
      </c>
      <c r="AJ124" s="332">
        <v>45</v>
      </c>
      <c r="AK124" s="330">
        <v>257.60000000000002</v>
      </c>
      <c r="AL124" s="331">
        <v>17.861999999999998</v>
      </c>
      <c r="AM124" s="331">
        <v>6.9000000000000006E-2</v>
      </c>
      <c r="AN124" s="330">
        <v>6.5</v>
      </c>
      <c r="AO124" s="318">
        <f>Table2[[#This Row],[Inside_._time]]/Table2[[#This Row],[Duration]]</f>
        <v>0.14133333333333334</v>
      </c>
      <c r="AP124" s="318">
        <f>Table2[[#This Row],[Outside_._time]]/Table2[[#This Row],[Duration]]</f>
        <v>0.85866666666666669</v>
      </c>
      <c r="AQ124" s="318">
        <f>Table2[[#This Row],[Inside_._distance]]/Table2[[#This Row],[Distance]]</f>
        <v>0.23891090374536622</v>
      </c>
      <c r="AR124" s="318">
        <f>Table2[[#This Row],[Outside_._distance]]/Table2[[#This Row],[Distance]]</f>
        <v>0.76108909625463361</v>
      </c>
      <c r="AS124" s="317"/>
      <c r="AT124" s="317"/>
      <c r="AU124" s="317"/>
      <c r="AV124" s="315"/>
      <c r="AW124" s="317"/>
      <c r="AX124" s="317"/>
      <c r="AY124" s="321" t="s">
        <v>487</v>
      </c>
      <c r="AZ124" s="321" t="s">
        <v>472</v>
      </c>
      <c r="BA124" s="321" t="s">
        <v>473</v>
      </c>
      <c r="BB124" s="332">
        <v>144</v>
      </c>
      <c r="BC124" s="330">
        <v>4.8</v>
      </c>
      <c r="BD124" s="321" t="s">
        <v>477</v>
      </c>
      <c r="BE124" s="321">
        <v>4</v>
      </c>
      <c r="BF124" s="321"/>
      <c r="BG124" s="270"/>
      <c r="BH124" s="270"/>
      <c r="BI124" s="270"/>
      <c r="BJ124" s="270"/>
      <c r="BK124" s="270"/>
      <c r="BL124" s="270"/>
      <c r="BM124" s="270"/>
      <c r="BN124" s="270"/>
      <c r="BO124" s="270"/>
    </row>
    <row r="125" spans="1:67" ht="12" customHeight="1" x14ac:dyDescent="0.2">
      <c r="A125" s="321">
        <v>39</v>
      </c>
      <c r="B125" s="321" t="s">
        <v>136</v>
      </c>
      <c r="C125" s="321" t="s">
        <v>40</v>
      </c>
      <c r="D125" s="321" t="s">
        <v>46</v>
      </c>
      <c r="E125" s="321" t="s">
        <v>270</v>
      </c>
      <c r="F125" s="321" t="s">
        <v>321</v>
      </c>
      <c r="G125" s="321" t="s">
        <v>323</v>
      </c>
      <c r="H125" s="330">
        <v>300</v>
      </c>
      <c r="I125" s="331">
        <v>4.7080000000000002</v>
      </c>
      <c r="J125" s="331">
        <v>1.6E-2</v>
      </c>
      <c r="K125" s="331">
        <v>0.33700000000000002</v>
      </c>
      <c r="L125" s="330">
        <v>105.9</v>
      </c>
      <c r="M125" s="332">
        <v>42</v>
      </c>
      <c r="N125" s="330">
        <v>72.900000000000006</v>
      </c>
      <c r="O125" s="331">
        <v>0.64900000000000002</v>
      </c>
      <c r="P125" s="331">
        <v>8.9999999999999993E-3</v>
      </c>
      <c r="Q125" s="331">
        <v>0.20300000000000001</v>
      </c>
      <c r="R125" s="330">
        <v>10</v>
      </c>
      <c r="S125" s="332">
        <v>2989</v>
      </c>
      <c r="T125" s="330">
        <v>30.8</v>
      </c>
      <c r="U125" s="330">
        <v>18.7</v>
      </c>
      <c r="V125" s="332">
        <v>37</v>
      </c>
      <c r="W125" s="330">
        <v>110.3</v>
      </c>
      <c r="X125" s="331">
        <v>0.47099999999999997</v>
      </c>
      <c r="Y125" s="331">
        <v>4.0000000000000001E-3</v>
      </c>
      <c r="Z125" s="331">
        <v>0.30299999999999999</v>
      </c>
      <c r="AA125" s="330">
        <v>47.2</v>
      </c>
      <c r="AB125" s="332">
        <v>5379</v>
      </c>
      <c r="AC125" s="330">
        <v>46.1</v>
      </c>
      <c r="AD125" s="330">
        <v>75.3</v>
      </c>
      <c r="AE125" s="332">
        <v>9</v>
      </c>
      <c r="AF125" s="330">
        <v>66.099999999999994</v>
      </c>
      <c r="AG125" s="331">
        <v>1.655</v>
      </c>
      <c r="AH125" s="331">
        <v>2.5000000000000001E-2</v>
      </c>
      <c r="AI125" s="330">
        <v>21.2</v>
      </c>
      <c r="AJ125" s="332">
        <v>10</v>
      </c>
      <c r="AK125" s="330">
        <v>233.9</v>
      </c>
      <c r="AL125" s="331">
        <v>3.0529999999999999</v>
      </c>
      <c r="AM125" s="331">
        <v>1.2999999999999999E-2</v>
      </c>
      <c r="AN125" s="330">
        <v>84.7</v>
      </c>
      <c r="AO125" s="318">
        <f>Table2[[#This Row],[Inside_._time]]/Table2[[#This Row],[Duration]]</f>
        <v>0.22033333333333333</v>
      </c>
      <c r="AP125" s="318">
        <f>Table2[[#This Row],[Outside_._time]]/Table2[[#This Row],[Duration]]</f>
        <v>0.77966666666666673</v>
      </c>
      <c r="AQ125" s="318">
        <f>Table2[[#This Row],[Inside_._distance]]/Table2[[#This Row],[Distance]]</f>
        <v>0.35152931180968561</v>
      </c>
      <c r="AR125" s="318">
        <f>Table2[[#This Row],[Outside_._distance]]/Table2[[#This Row],[Distance]]</f>
        <v>0.64847068819031428</v>
      </c>
      <c r="AS125" s="317"/>
      <c r="AT125" s="317"/>
      <c r="AU125" s="317"/>
      <c r="AV125" s="315"/>
      <c r="AW125" s="317"/>
      <c r="AX125" s="317"/>
      <c r="AY125" s="321" t="s">
        <v>487</v>
      </c>
      <c r="AZ125" s="321" t="s">
        <v>472</v>
      </c>
      <c r="BA125" s="321" t="s">
        <v>475</v>
      </c>
      <c r="BB125" s="332">
        <v>144</v>
      </c>
      <c r="BC125" s="330">
        <v>4.8</v>
      </c>
      <c r="BD125" s="321" t="s">
        <v>477</v>
      </c>
      <c r="BE125" s="321">
        <v>2</v>
      </c>
      <c r="BF125" s="321"/>
      <c r="BG125" s="270"/>
      <c r="BH125" s="270"/>
      <c r="BI125" s="270"/>
      <c r="BJ125" s="270"/>
      <c r="BK125" s="270"/>
      <c r="BL125" s="270"/>
      <c r="BM125" s="270"/>
      <c r="BN125" s="270"/>
      <c r="BO125" s="270"/>
    </row>
    <row r="126" spans="1:67" ht="12" customHeight="1" x14ac:dyDescent="0.2">
      <c r="A126" s="321">
        <v>40</v>
      </c>
      <c r="B126" s="321" t="s">
        <v>139</v>
      </c>
      <c r="C126" s="321" t="s">
        <v>40</v>
      </c>
      <c r="D126" s="321" t="s">
        <v>49</v>
      </c>
      <c r="E126" s="321" t="s">
        <v>270</v>
      </c>
      <c r="F126" s="321" t="s">
        <v>321</v>
      </c>
      <c r="G126" s="321" t="s">
        <v>324</v>
      </c>
      <c r="H126" s="330">
        <v>300</v>
      </c>
      <c r="I126" s="331">
        <v>5.5449999999999999</v>
      </c>
      <c r="J126" s="331">
        <v>1.7999999999999999E-2</v>
      </c>
      <c r="K126" s="331">
        <v>0.247</v>
      </c>
      <c r="L126" s="330">
        <v>34.799999999999997</v>
      </c>
      <c r="M126" s="332">
        <v>10</v>
      </c>
      <c r="N126" s="330">
        <v>78.400000000000006</v>
      </c>
      <c r="O126" s="331">
        <v>0.48</v>
      </c>
      <c r="P126" s="331">
        <v>6.0000000000000001E-3</v>
      </c>
      <c r="Q126" s="331">
        <v>0.219</v>
      </c>
      <c r="R126" s="330">
        <v>4.8</v>
      </c>
      <c r="S126" s="332">
        <v>1720</v>
      </c>
      <c r="T126" s="330">
        <v>13</v>
      </c>
      <c r="U126" s="330">
        <v>1.7</v>
      </c>
      <c r="V126" s="332">
        <v>6</v>
      </c>
      <c r="W126" s="330">
        <v>8</v>
      </c>
      <c r="X126" s="331">
        <v>0.51700000000000002</v>
      </c>
      <c r="Y126" s="331">
        <v>6.5000000000000002E-2</v>
      </c>
      <c r="Z126" s="331">
        <v>0.23899999999999999</v>
      </c>
      <c r="AA126" s="330">
        <v>0.9</v>
      </c>
      <c r="AB126" s="332">
        <v>632</v>
      </c>
      <c r="AC126" s="330">
        <v>0</v>
      </c>
      <c r="AD126" s="330">
        <v>1.9</v>
      </c>
      <c r="AE126" s="332">
        <v>12</v>
      </c>
      <c r="AF126" s="330">
        <v>13</v>
      </c>
      <c r="AG126" s="331">
        <v>1.099</v>
      </c>
      <c r="AH126" s="331">
        <v>8.4000000000000005E-2</v>
      </c>
      <c r="AI126" s="330">
        <v>0</v>
      </c>
      <c r="AJ126" s="332">
        <v>13</v>
      </c>
      <c r="AK126" s="330">
        <v>287</v>
      </c>
      <c r="AL126" s="331">
        <v>4.4459999999999997</v>
      </c>
      <c r="AM126" s="331">
        <v>1.4999999999999999E-2</v>
      </c>
      <c r="AN126" s="330">
        <v>34.799999999999997</v>
      </c>
      <c r="AO126" s="318">
        <f>Table2[[#This Row],[Inside_._time]]/Table2[[#This Row],[Duration]]</f>
        <v>4.3333333333333335E-2</v>
      </c>
      <c r="AP126" s="318">
        <f>Table2[[#This Row],[Outside_._time]]/Table2[[#This Row],[Duration]]</f>
        <v>0.95666666666666667</v>
      </c>
      <c r="AQ126" s="318">
        <f>Table2[[#This Row],[Inside_._distance]]/Table2[[#This Row],[Distance]]</f>
        <v>0.1981965734896303</v>
      </c>
      <c r="AR126" s="318">
        <f>Table2[[#This Row],[Outside_._distance]]/Table2[[#This Row],[Distance]]</f>
        <v>0.80180342651036962</v>
      </c>
      <c r="AS126" s="317"/>
      <c r="AT126" s="317"/>
      <c r="AU126" s="317"/>
      <c r="AV126" s="315"/>
      <c r="AW126" s="317"/>
      <c r="AX126" s="317"/>
      <c r="AY126" s="321" t="s">
        <v>486</v>
      </c>
      <c r="AZ126" s="321" t="s">
        <v>472</v>
      </c>
      <c r="BA126" s="321" t="s">
        <v>475</v>
      </c>
      <c r="BB126" s="332">
        <v>143</v>
      </c>
      <c r="BC126" s="330">
        <v>4.7666666666666666</v>
      </c>
      <c r="BD126" s="321" t="s">
        <v>474</v>
      </c>
      <c r="BE126" s="321">
        <v>1</v>
      </c>
      <c r="BF126" s="321" t="s">
        <v>470</v>
      </c>
      <c r="BG126" s="270"/>
      <c r="BH126" s="270"/>
      <c r="BI126" s="270"/>
      <c r="BJ126" s="270"/>
      <c r="BK126" s="270"/>
      <c r="BL126" s="270"/>
      <c r="BM126" s="270"/>
      <c r="BN126" s="270"/>
      <c r="BO126" s="270"/>
    </row>
    <row r="127" spans="1:67" ht="12" customHeight="1" x14ac:dyDescent="0.2">
      <c r="A127" s="321">
        <v>37</v>
      </c>
      <c r="B127" s="321" t="s">
        <v>141</v>
      </c>
      <c r="C127" s="321" t="s">
        <v>40</v>
      </c>
      <c r="D127" s="321" t="s">
        <v>53</v>
      </c>
      <c r="E127" s="321" t="s">
        <v>270</v>
      </c>
      <c r="F127" s="321" t="s">
        <v>325</v>
      </c>
      <c r="G127" s="321" t="s">
        <v>326</v>
      </c>
      <c r="H127" s="330">
        <v>300</v>
      </c>
      <c r="I127" s="331">
        <v>27.202000000000002</v>
      </c>
      <c r="J127" s="331">
        <v>9.0999999999999998E-2</v>
      </c>
      <c r="K127" s="331">
        <v>0.27400000000000002</v>
      </c>
      <c r="L127" s="330">
        <v>6</v>
      </c>
      <c r="M127" s="332">
        <v>35</v>
      </c>
      <c r="N127" s="330">
        <v>24.4</v>
      </c>
      <c r="O127" s="331">
        <v>2.4689999999999999</v>
      </c>
      <c r="P127" s="331">
        <v>0.10100000000000001</v>
      </c>
      <c r="Q127" s="331">
        <v>0.27300000000000002</v>
      </c>
      <c r="R127" s="330">
        <v>3.4</v>
      </c>
      <c r="S127" s="332">
        <v>2217</v>
      </c>
      <c r="T127" s="330">
        <v>0</v>
      </c>
      <c r="U127" s="330">
        <v>5.2</v>
      </c>
      <c r="V127" s="332">
        <v>29</v>
      </c>
      <c r="W127" s="330">
        <v>16.899999999999999</v>
      </c>
      <c r="X127" s="331">
        <v>2.2000000000000002</v>
      </c>
      <c r="Y127" s="331">
        <v>0.13</v>
      </c>
      <c r="Z127" s="331">
        <v>0.25800000000000001</v>
      </c>
      <c r="AA127" s="330">
        <v>5.6</v>
      </c>
      <c r="AB127" s="332">
        <v>1378</v>
      </c>
      <c r="AC127" s="330">
        <v>0</v>
      </c>
      <c r="AD127" s="330">
        <v>7.4</v>
      </c>
      <c r="AE127" s="332">
        <v>33</v>
      </c>
      <c r="AF127" s="330">
        <v>45</v>
      </c>
      <c r="AG127" s="331">
        <v>5.4660000000000002</v>
      </c>
      <c r="AH127" s="331">
        <v>0.121</v>
      </c>
      <c r="AI127" s="330">
        <v>2.7</v>
      </c>
      <c r="AJ127" s="332">
        <v>33</v>
      </c>
      <c r="AK127" s="330">
        <v>255</v>
      </c>
      <c r="AL127" s="331">
        <v>21.736000000000001</v>
      </c>
      <c r="AM127" s="331">
        <v>8.5000000000000006E-2</v>
      </c>
      <c r="AN127" s="330">
        <v>3.3</v>
      </c>
      <c r="AO127" s="318">
        <f>Table2[[#This Row],[Inside_._time]]/Table2[[#This Row],[Duration]]</f>
        <v>0.15</v>
      </c>
      <c r="AP127" s="318">
        <f>Table2[[#This Row],[Outside_._time]]/Table2[[#This Row],[Duration]]</f>
        <v>0.85</v>
      </c>
      <c r="AQ127" s="318">
        <f>Table2[[#This Row],[Inside_._distance]]/Table2[[#This Row],[Distance]]</f>
        <v>0.20094110727152414</v>
      </c>
      <c r="AR127" s="318">
        <f>Table2[[#This Row],[Outside_._distance]]/Table2[[#This Row],[Distance]]</f>
        <v>0.79905889272847586</v>
      </c>
      <c r="AS127" s="317"/>
      <c r="AT127" s="317"/>
      <c r="AU127" s="317"/>
      <c r="AV127" s="315"/>
      <c r="AW127" s="317"/>
      <c r="AX127" s="317"/>
      <c r="AY127" s="321" t="s">
        <v>487</v>
      </c>
      <c r="AZ127" s="321" t="s">
        <v>472</v>
      </c>
      <c r="BA127" s="321" t="s">
        <v>475</v>
      </c>
      <c r="BB127" s="332">
        <v>136</v>
      </c>
      <c r="BC127" s="330">
        <v>4.5333333333333332</v>
      </c>
      <c r="BD127" s="321" t="s">
        <v>477</v>
      </c>
      <c r="BE127" s="321">
        <v>2</v>
      </c>
      <c r="BF127" s="321" t="s">
        <v>471</v>
      </c>
      <c r="BG127" s="270"/>
      <c r="BH127" s="270"/>
      <c r="BI127" s="270"/>
      <c r="BJ127" s="270"/>
      <c r="BK127" s="270"/>
      <c r="BL127" s="270"/>
      <c r="BM127" s="270"/>
      <c r="BN127" s="270"/>
      <c r="BO127" s="270"/>
    </row>
    <row r="128" spans="1:67" ht="12" customHeight="1" x14ac:dyDescent="0.2">
      <c r="A128" s="321">
        <v>41</v>
      </c>
      <c r="B128" s="321" t="s">
        <v>143</v>
      </c>
      <c r="C128" s="321" t="s">
        <v>40</v>
      </c>
      <c r="D128" s="321" t="s">
        <v>41</v>
      </c>
      <c r="E128" s="321" t="s">
        <v>270</v>
      </c>
      <c r="F128" s="321" t="s">
        <v>327</v>
      </c>
      <c r="G128" s="321" t="s">
        <v>328</v>
      </c>
      <c r="H128" s="330">
        <v>300</v>
      </c>
      <c r="I128" s="331">
        <v>14.189</v>
      </c>
      <c r="J128" s="331">
        <v>4.7E-2</v>
      </c>
      <c r="K128" s="331">
        <v>0.28399999999999997</v>
      </c>
      <c r="L128" s="330">
        <v>15</v>
      </c>
      <c r="M128" s="332">
        <v>14</v>
      </c>
      <c r="N128" s="330">
        <v>9.6999999999999993</v>
      </c>
      <c r="O128" s="331">
        <v>0.91200000000000003</v>
      </c>
      <c r="P128" s="331">
        <v>9.4E-2</v>
      </c>
      <c r="Q128" s="331">
        <v>0.24199999999999999</v>
      </c>
      <c r="R128" s="330">
        <v>1.8</v>
      </c>
      <c r="S128" s="332">
        <v>561</v>
      </c>
      <c r="T128" s="330">
        <v>0</v>
      </c>
      <c r="U128" s="330">
        <v>4.8</v>
      </c>
      <c r="V128" s="332">
        <v>30</v>
      </c>
      <c r="W128" s="330">
        <v>68</v>
      </c>
      <c r="X128" s="331">
        <v>1.036</v>
      </c>
      <c r="Y128" s="331">
        <v>1.4999999999999999E-2</v>
      </c>
      <c r="Z128" s="331">
        <v>0.249</v>
      </c>
      <c r="AA128" s="330">
        <v>20.3</v>
      </c>
      <c r="AB128" s="332">
        <v>4886</v>
      </c>
      <c r="AC128" s="330">
        <v>6</v>
      </c>
      <c r="AD128" s="330">
        <v>24.5</v>
      </c>
      <c r="AE128" s="332">
        <v>22</v>
      </c>
      <c r="AF128" s="330">
        <v>46.1</v>
      </c>
      <c r="AG128" s="331">
        <v>2.343</v>
      </c>
      <c r="AH128" s="331">
        <v>5.0999999999999997E-2</v>
      </c>
      <c r="AI128" s="330">
        <v>2.2000000000000002</v>
      </c>
      <c r="AJ128" s="332">
        <v>23</v>
      </c>
      <c r="AK128" s="330">
        <v>253.9</v>
      </c>
      <c r="AL128" s="331">
        <v>11.846</v>
      </c>
      <c r="AM128" s="331">
        <v>4.7E-2</v>
      </c>
      <c r="AN128" s="330">
        <v>12.8</v>
      </c>
      <c r="AO128" s="318">
        <f>Table2[[#This Row],[Inside_._time]]/Table2[[#This Row],[Duration]]</f>
        <v>0.15366666666666667</v>
      </c>
      <c r="AP128" s="318">
        <f>Table2[[#This Row],[Outside_._time]]/Table2[[#This Row],[Duration]]</f>
        <v>0.84633333333333338</v>
      </c>
      <c r="AQ128" s="318">
        <f>Table2[[#This Row],[Inside_._distance]]/Table2[[#This Row],[Distance]]</f>
        <v>0.16512791599126084</v>
      </c>
      <c r="AR128" s="318">
        <f>Table2[[#This Row],[Outside_._distance]]/Table2[[#This Row],[Distance]]</f>
        <v>0.83487208400873913</v>
      </c>
      <c r="AS128" s="317"/>
      <c r="AT128" s="317"/>
      <c r="AU128" s="317"/>
      <c r="AV128" s="315"/>
      <c r="AW128" s="317"/>
      <c r="AX128" s="317"/>
      <c r="AY128" s="321" t="s">
        <v>487</v>
      </c>
      <c r="AZ128" s="321" t="s">
        <v>476</v>
      </c>
      <c r="BA128" s="321" t="s">
        <v>475</v>
      </c>
      <c r="BB128" s="332">
        <v>125</v>
      </c>
      <c r="BC128" s="330">
        <v>4.166666666666667</v>
      </c>
      <c r="BD128" s="330" t="s">
        <v>474</v>
      </c>
      <c r="BE128" s="321">
        <v>5</v>
      </c>
      <c r="BF128" s="321"/>
      <c r="BG128" s="270"/>
      <c r="BH128" s="270"/>
      <c r="BI128" s="270"/>
      <c r="BJ128" s="270"/>
      <c r="BK128" s="270"/>
      <c r="BL128" s="270"/>
      <c r="BM128" s="270"/>
      <c r="BN128" s="270"/>
      <c r="BO128" s="270"/>
    </row>
    <row r="129" spans="1:67" ht="12" customHeight="1" x14ac:dyDescent="0.2">
      <c r="A129" s="321">
        <v>42</v>
      </c>
      <c r="B129" s="321" t="s">
        <v>145</v>
      </c>
      <c r="C129" s="321" t="s">
        <v>40</v>
      </c>
      <c r="D129" s="321" t="s">
        <v>46</v>
      </c>
      <c r="E129" s="321" t="s">
        <v>270</v>
      </c>
      <c r="F129" s="321" t="s">
        <v>327</v>
      </c>
      <c r="G129" s="321" t="s">
        <v>329</v>
      </c>
      <c r="H129" s="330">
        <v>300</v>
      </c>
      <c r="I129" s="331">
        <v>14.026</v>
      </c>
      <c r="J129" s="331">
        <v>4.7E-2</v>
      </c>
      <c r="K129" s="331">
        <v>0.247</v>
      </c>
      <c r="L129" s="330">
        <v>8.8000000000000007</v>
      </c>
      <c r="M129" s="332">
        <v>23</v>
      </c>
      <c r="N129" s="330">
        <v>26.3</v>
      </c>
      <c r="O129" s="331">
        <v>1.266</v>
      </c>
      <c r="P129" s="331">
        <v>4.8000000000000001E-2</v>
      </c>
      <c r="Q129" s="331">
        <v>0.246</v>
      </c>
      <c r="R129" s="330">
        <v>4.3</v>
      </c>
      <c r="S129" s="332">
        <v>2048</v>
      </c>
      <c r="T129" s="330">
        <v>1.1000000000000001</v>
      </c>
      <c r="U129" s="330">
        <v>10.3</v>
      </c>
      <c r="V129" s="332">
        <v>22</v>
      </c>
      <c r="W129" s="330">
        <v>16.5</v>
      </c>
      <c r="X129" s="331">
        <v>1.0960000000000001</v>
      </c>
      <c r="Y129" s="331">
        <v>6.6000000000000003E-2</v>
      </c>
      <c r="Z129" s="331">
        <v>0.193</v>
      </c>
      <c r="AA129" s="330">
        <v>1.3</v>
      </c>
      <c r="AB129" s="332">
        <v>1518</v>
      </c>
      <c r="AC129" s="330">
        <v>0</v>
      </c>
      <c r="AD129" s="330">
        <v>2.2999999999999998</v>
      </c>
      <c r="AE129" s="332">
        <v>14</v>
      </c>
      <c r="AF129" s="330">
        <v>27.8</v>
      </c>
      <c r="AG129" s="331">
        <v>2.0920000000000001</v>
      </c>
      <c r="AH129" s="331">
        <v>7.4999999999999997E-2</v>
      </c>
      <c r="AI129" s="330">
        <v>0</v>
      </c>
      <c r="AJ129" s="332">
        <v>15</v>
      </c>
      <c r="AK129" s="330">
        <v>272.2</v>
      </c>
      <c r="AL129" s="331">
        <v>11.933999999999999</v>
      </c>
      <c r="AM129" s="331">
        <v>4.3999999999999997E-2</v>
      </c>
      <c r="AN129" s="330">
        <v>8.8000000000000007</v>
      </c>
      <c r="AO129" s="318">
        <f>Table2[[#This Row],[Inside_._time]]/Table2[[#This Row],[Duration]]</f>
        <v>9.2666666666666675E-2</v>
      </c>
      <c r="AP129" s="318">
        <f>Table2[[#This Row],[Outside_._time]]/Table2[[#This Row],[Duration]]</f>
        <v>0.90733333333333333</v>
      </c>
      <c r="AQ129" s="318">
        <f>Table2[[#This Row],[Inside_._distance]]/Table2[[#This Row],[Distance]]</f>
        <v>0.14915157564523029</v>
      </c>
      <c r="AR129" s="318">
        <f>Table2[[#This Row],[Outside_._distance]]/Table2[[#This Row],[Distance]]</f>
        <v>0.85084842435476971</v>
      </c>
      <c r="AS129" s="317"/>
      <c r="AT129" s="317"/>
      <c r="AU129" s="317"/>
      <c r="AV129" s="315"/>
      <c r="AW129" s="317"/>
      <c r="AX129" s="317"/>
      <c r="AY129" s="321" t="s">
        <v>487</v>
      </c>
      <c r="AZ129" s="321" t="s">
        <v>476</v>
      </c>
      <c r="BA129" s="321" t="s">
        <v>473</v>
      </c>
      <c r="BB129" s="332">
        <v>125</v>
      </c>
      <c r="BC129" s="330">
        <v>4.166666666666667</v>
      </c>
      <c r="BD129" s="330" t="s">
        <v>477</v>
      </c>
      <c r="BE129" s="321">
        <v>8</v>
      </c>
      <c r="BF129" s="321"/>
      <c r="BG129" s="270"/>
      <c r="BH129" s="270"/>
      <c r="BI129" s="270"/>
      <c r="BJ129" s="270"/>
      <c r="BK129" s="270"/>
      <c r="BL129" s="270"/>
      <c r="BM129" s="270"/>
      <c r="BN129" s="270"/>
      <c r="BO129" s="270"/>
    </row>
    <row r="130" spans="1:67" ht="12" customHeight="1" x14ac:dyDescent="0.2">
      <c r="A130" s="321">
        <v>43</v>
      </c>
      <c r="B130" s="321" t="s">
        <v>148</v>
      </c>
      <c r="C130" s="321" t="s">
        <v>40</v>
      </c>
      <c r="D130" s="321" t="s">
        <v>49</v>
      </c>
      <c r="E130" s="321" t="s">
        <v>270</v>
      </c>
      <c r="F130" s="321" t="s">
        <v>327</v>
      </c>
      <c r="G130" s="321" t="s">
        <v>330</v>
      </c>
      <c r="H130" s="330">
        <v>300</v>
      </c>
      <c r="I130" s="331">
        <v>7.4340000000000002</v>
      </c>
      <c r="J130" s="331">
        <v>2.5000000000000001E-2</v>
      </c>
      <c r="K130" s="331">
        <v>0.22900000000000001</v>
      </c>
      <c r="L130" s="330">
        <v>44.9</v>
      </c>
      <c r="M130" s="332">
        <v>10</v>
      </c>
      <c r="N130" s="330">
        <v>12.6</v>
      </c>
      <c r="O130" s="331">
        <v>0.42799999999999999</v>
      </c>
      <c r="P130" s="331">
        <v>3.4000000000000002E-2</v>
      </c>
      <c r="Q130" s="331">
        <v>0.16400000000000001</v>
      </c>
      <c r="R130" s="330">
        <v>1.6</v>
      </c>
      <c r="S130" s="332">
        <v>954</v>
      </c>
      <c r="T130" s="330">
        <v>0</v>
      </c>
      <c r="U130" s="330">
        <v>3</v>
      </c>
      <c r="V130" s="332">
        <v>20</v>
      </c>
      <c r="W130" s="330">
        <v>99.6</v>
      </c>
      <c r="X130" s="331">
        <v>0.44600000000000001</v>
      </c>
      <c r="Y130" s="331">
        <v>4.0000000000000001E-3</v>
      </c>
      <c r="Z130" s="331">
        <v>0.104</v>
      </c>
      <c r="AA130" s="330">
        <v>34.299999999999997</v>
      </c>
      <c r="AB130" s="332">
        <v>4927</v>
      </c>
      <c r="AC130" s="330">
        <v>33</v>
      </c>
      <c r="AD130" s="330">
        <v>61.4</v>
      </c>
      <c r="AE130" s="332">
        <v>9</v>
      </c>
      <c r="AF130" s="330">
        <v>63.8</v>
      </c>
      <c r="AG130" s="331">
        <v>1.966</v>
      </c>
      <c r="AH130" s="331">
        <v>3.1E-2</v>
      </c>
      <c r="AI130" s="330">
        <v>15.4</v>
      </c>
      <c r="AJ130" s="332">
        <v>10</v>
      </c>
      <c r="AK130" s="330">
        <v>236.2</v>
      </c>
      <c r="AL130" s="331">
        <v>5.468</v>
      </c>
      <c r="AM130" s="331">
        <v>2.3E-2</v>
      </c>
      <c r="AN130" s="330">
        <v>29.6</v>
      </c>
      <c r="AO130" s="318">
        <f>Table2[[#This Row],[Inside_._time]]/Table2[[#This Row],[Duration]]</f>
        <v>0.21266666666666667</v>
      </c>
      <c r="AP130" s="318">
        <f>Table2[[#This Row],[Outside_._time]]/Table2[[#This Row],[Duration]]</f>
        <v>0.78733333333333333</v>
      </c>
      <c r="AQ130" s="318">
        <f>Table2[[#This Row],[Inside_._distance]]/Table2[[#This Row],[Distance]]</f>
        <v>0.26446058649448478</v>
      </c>
      <c r="AR130" s="318">
        <f>Table2[[#This Row],[Outside_._distance]]/Table2[[#This Row],[Distance]]</f>
        <v>0.73553941350551522</v>
      </c>
      <c r="AS130" s="317"/>
      <c r="AT130" s="317"/>
      <c r="AU130" s="317"/>
      <c r="AV130" s="315"/>
      <c r="AW130" s="317"/>
      <c r="AX130" s="317"/>
      <c r="AY130" s="321" t="s">
        <v>487</v>
      </c>
      <c r="AZ130" s="321" t="s">
        <v>476</v>
      </c>
      <c r="BA130" s="321" t="s">
        <v>473</v>
      </c>
      <c r="BB130" s="332">
        <v>125</v>
      </c>
      <c r="BC130" s="330">
        <v>4.166666666666667</v>
      </c>
      <c r="BD130" s="330" t="s">
        <v>474</v>
      </c>
      <c r="BE130" s="321">
        <v>7</v>
      </c>
      <c r="BF130" s="321"/>
      <c r="BG130" s="270"/>
      <c r="BH130" s="270"/>
      <c r="BI130" s="270"/>
      <c r="BJ130" s="270"/>
      <c r="BK130" s="270"/>
      <c r="BL130" s="270"/>
      <c r="BM130" s="270"/>
      <c r="BN130" s="270"/>
      <c r="BO130" s="270"/>
    </row>
  </sheetData>
  <phoneticPr fontId="22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6E5F-2427-C741-BC83-7ACE0E9E5A75}">
  <dimension ref="A1:AO157"/>
  <sheetViews>
    <sheetView workbookViewId="0">
      <selection activeCell="AR20" sqref="AR20"/>
    </sheetView>
  </sheetViews>
  <sheetFormatPr baseColWidth="10" defaultRowHeight="13" x14ac:dyDescent="0.15"/>
  <cols>
    <col min="9" max="9" width="18.5" style="91" customWidth="1"/>
    <col min="14" max="14" width="17.5" style="91" customWidth="1"/>
  </cols>
  <sheetData>
    <row r="1" spans="1:41" x14ac:dyDescent="0.15">
      <c r="A1" s="29" t="s">
        <v>488</v>
      </c>
      <c r="AC1" s="105"/>
      <c r="AD1" s="106"/>
      <c r="AE1" s="107"/>
      <c r="AG1" s="105"/>
      <c r="AH1" s="106"/>
      <c r="AI1" s="107"/>
      <c r="AN1" s="29"/>
    </row>
    <row r="2" spans="1:41" ht="15" x14ac:dyDescent="0.2">
      <c r="A2" s="30" t="s">
        <v>0</v>
      </c>
      <c r="B2" s="31" t="s">
        <v>2</v>
      </c>
      <c r="C2" s="31" t="s">
        <v>3</v>
      </c>
      <c r="D2" s="32" t="s">
        <v>7</v>
      </c>
      <c r="E2" s="32" t="s">
        <v>8</v>
      </c>
      <c r="F2" s="32" t="s">
        <v>9</v>
      </c>
      <c r="G2" s="33" t="s">
        <v>10</v>
      </c>
      <c r="H2" s="34" t="s">
        <v>29</v>
      </c>
      <c r="I2" s="92" t="s">
        <v>30</v>
      </c>
      <c r="J2" s="32" t="s">
        <v>31</v>
      </c>
      <c r="K2" s="32" t="s">
        <v>32</v>
      </c>
      <c r="L2" s="33" t="s">
        <v>33</v>
      </c>
      <c r="M2" s="34" t="s">
        <v>34</v>
      </c>
      <c r="N2" s="92" t="s">
        <v>35</v>
      </c>
      <c r="O2" s="32" t="s">
        <v>36</v>
      </c>
      <c r="P2" s="32" t="s">
        <v>37</v>
      </c>
      <c r="Q2" s="33" t="s">
        <v>38</v>
      </c>
      <c r="R2" s="35" t="s">
        <v>485</v>
      </c>
      <c r="S2" s="35" t="s">
        <v>478</v>
      </c>
      <c r="T2" s="35" t="s">
        <v>479</v>
      </c>
      <c r="U2" s="35" t="s">
        <v>480</v>
      </c>
      <c r="V2" s="35" t="s">
        <v>481</v>
      </c>
      <c r="W2" s="35" t="s">
        <v>482</v>
      </c>
      <c r="X2" s="35" t="s">
        <v>483</v>
      </c>
      <c r="Y2" s="36" t="s">
        <v>484</v>
      </c>
      <c r="AC2" s="108" t="s">
        <v>496</v>
      </c>
      <c r="AD2" s="109" t="s">
        <v>509</v>
      </c>
      <c r="AE2" s="110" t="s">
        <v>510</v>
      </c>
      <c r="AG2" s="108" t="s">
        <v>496</v>
      </c>
      <c r="AH2" s="109" t="s">
        <v>509</v>
      </c>
      <c r="AI2" s="110" t="s">
        <v>510</v>
      </c>
      <c r="AM2" s="108" t="s">
        <v>496</v>
      </c>
      <c r="AN2" s="109" t="s">
        <v>497</v>
      </c>
      <c r="AO2" s="110" t="s">
        <v>498</v>
      </c>
    </row>
    <row r="3" spans="1:41" ht="15" x14ac:dyDescent="0.2">
      <c r="A3" s="37">
        <v>2</v>
      </c>
      <c r="B3" s="38" t="s">
        <v>46</v>
      </c>
      <c r="C3" s="38" t="s">
        <v>42</v>
      </c>
      <c r="D3" s="39">
        <v>10.920999999999999</v>
      </c>
      <c r="E3" s="39">
        <v>3.5999999999999997E-2</v>
      </c>
      <c r="F3" s="39">
        <v>0.24299999999999999</v>
      </c>
      <c r="G3" s="40">
        <v>11.9</v>
      </c>
      <c r="H3" s="41">
        <v>26</v>
      </c>
      <c r="I3" s="93">
        <v>48.9</v>
      </c>
      <c r="J3" s="39">
        <v>3.4249999999999998</v>
      </c>
      <c r="K3" s="39">
        <v>7.0000000000000007E-2</v>
      </c>
      <c r="L3" s="40">
        <v>0</v>
      </c>
      <c r="M3" s="41">
        <v>27</v>
      </c>
      <c r="N3" s="93">
        <v>251.1</v>
      </c>
      <c r="O3" s="39">
        <v>7.4969999999999999</v>
      </c>
      <c r="P3" s="39">
        <v>0.03</v>
      </c>
      <c r="Q3" s="40">
        <v>11.9</v>
      </c>
      <c r="R3" s="42" t="s">
        <v>487</v>
      </c>
      <c r="S3" s="42" t="s">
        <v>472</v>
      </c>
      <c r="T3" s="41" t="s">
        <v>475</v>
      </c>
      <c r="U3" s="41">
        <v>99</v>
      </c>
      <c r="V3" s="40">
        <v>3.3</v>
      </c>
      <c r="W3" s="41" t="s">
        <v>474</v>
      </c>
      <c r="X3" s="41">
        <v>1</v>
      </c>
      <c r="Y3" s="43"/>
      <c r="AC3" s="111" t="s">
        <v>499</v>
      </c>
      <c r="AD3" s="114">
        <f>N8/300</f>
        <v>0.86286666666666667</v>
      </c>
      <c r="AE3" s="116">
        <f>I8/300</f>
        <v>0.13713333333333333</v>
      </c>
      <c r="AG3" s="111" t="s">
        <v>499</v>
      </c>
      <c r="AH3" s="114">
        <f>N17/300</f>
        <v>0.94746666666666646</v>
      </c>
      <c r="AI3" s="116">
        <f>I17/300</f>
        <v>5.2533333333333342E-2</v>
      </c>
      <c r="AM3" s="111" t="s">
        <v>499</v>
      </c>
      <c r="AN3" s="232">
        <f>D8</f>
        <v>15.182999999999998</v>
      </c>
      <c r="AO3" s="235">
        <f>D17</f>
        <v>8.0693999999999999</v>
      </c>
    </row>
    <row r="4" spans="1:41" ht="15" x14ac:dyDescent="0.2">
      <c r="A4" s="37">
        <v>15</v>
      </c>
      <c r="B4" s="38" t="s">
        <v>49</v>
      </c>
      <c r="C4" s="38" t="s">
        <v>42</v>
      </c>
      <c r="D4" s="39">
        <v>10.845000000000001</v>
      </c>
      <c r="E4" s="39">
        <v>3.5999999999999997E-2</v>
      </c>
      <c r="F4" s="39">
        <v>0.33</v>
      </c>
      <c r="G4" s="40">
        <v>83.9</v>
      </c>
      <c r="H4" s="41">
        <v>13</v>
      </c>
      <c r="I4" s="93">
        <v>14.6</v>
      </c>
      <c r="J4" s="39">
        <v>1.5920000000000001</v>
      </c>
      <c r="K4" s="39">
        <v>0.109</v>
      </c>
      <c r="L4" s="40">
        <v>0</v>
      </c>
      <c r="M4" s="41">
        <v>14</v>
      </c>
      <c r="N4" s="93">
        <v>285.39999999999998</v>
      </c>
      <c r="O4" s="39">
        <v>9.2530000000000001</v>
      </c>
      <c r="P4" s="39">
        <v>3.2000000000000001E-2</v>
      </c>
      <c r="Q4" s="40">
        <v>84.6</v>
      </c>
      <c r="R4" s="38" t="s">
        <v>487</v>
      </c>
      <c r="S4" s="38" t="s">
        <v>472</v>
      </c>
      <c r="T4" s="41" t="s">
        <v>475</v>
      </c>
      <c r="U4" s="41">
        <v>86</v>
      </c>
      <c r="V4" s="41">
        <v>3</v>
      </c>
      <c r="W4" s="41" t="s">
        <v>474</v>
      </c>
      <c r="X4" s="41">
        <v>1</v>
      </c>
      <c r="Y4" s="43"/>
      <c r="AC4" s="111" t="s">
        <v>500</v>
      </c>
      <c r="AD4" s="114">
        <f>N25/300</f>
        <v>0.73711111111111116</v>
      </c>
      <c r="AE4" s="116">
        <f>I25/300</f>
        <v>0.26288888888888889</v>
      </c>
      <c r="AG4" s="111" t="s">
        <v>500</v>
      </c>
      <c r="AH4" s="114">
        <f>N32/300</f>
        <v>0.75477777777777766</v>
      </c>
      <c r="AI4" s="116">
        <f>I32/300</f>
        <v>0.2452222222222222</v>
      </c>
      <c r="AM4" s="111" t="s">
        <v>500</v>
      </c>
      <c r="AN4" s="232">
        <f>D25</f>
        <v>18.833333333333332</v>
      </c>
      <c r="AO4" s="235">
        <f>D32</f>
        <v>14.822333333333333</v>
      </c>
    </row>
    <row r="5" spans="1:41" ht="15" x14ac:dyDescent="0.2">
      <c r="A5" s="37">
        <v>34</v>
      </c>
      <c r="B5" s="38" t="s">
        <v>46</v>
      </c>
      <c r="C5" s="38" t="s">
        <v>42</v>
      </c>
      <c r="D5" s="39">
        <v>20.928000000000001</v>
      </c>
      <c r="E5" s="39">
        <v>7.0000000000000007E-2</v>
      </c>
      <c r="F5" s="39">
        <v>0.28000000000000003</v>
      </c>
      <c r="G5" s="40">
        <v>2.5</v>
      </c>
      <c r="H5" s="41">
        <v>30</v>
      </c>
      <c r="I5" s="93">
        <v>52.6</v>
      </c>
      <c r="J5" s="39">
        <v>4.7590000000000003</v>
      </c>
      <c r="K5" s="39">
        <v>0.09</v>
      </c>
      <c r="L5" s="40">
        <v>1.3</v>
      </c>
      <c r="M5" s="41">
        <v>30</v>
      </c>
      <c r="N5" s="93">
        <v>247.4</v>
      </c>
      <c r="O5" s="39">
        <v>16.169</v>
      </c>
      <c r="P5" s="39">
        <v>6.5000000000000002E-2</v>
      </c>
      <c r="Q5" s="40">
        <v>1.3</v>
      </c>
      <c r="R5" s="38" t="s">
        <v>486</v>
      </c>
      <c r="S5" s="38" t="s">
        <v>472</v>
      </c>
      <c r="T5" s="41" t="s">
        <v>475</v>
      </c>
      <c r="U5" s="41">
        <v>61</v>
      </c>
      <c r="V5" s="41">
        <v>2</v>
      </c>
      <c r="W5" s="41" t="s">
        <v>474</v>
      </c>
      <c r="X5" s="41">
        <v>1</v>
      </c>
      <c r="Y5" s="43" t="s">
        <v>466</v>
      </c>
      <c r="AC5" s="111" t="s">
        <v>501</v>
      </c>
      <c r="AD5" s="114">
        <f>N42/300</f>
        <v>0.89693333333333325</v>
      </c>
      <c r="AE5" s="116">
        <f>I42/300</f>
        <v>0.10306666666666668</v>
      </c>
      <c r="AG5" s="111" t="s">
        <v>501</v>
      </c>
      <c r="AH5" s="114">
        <f>N51/300</f>
        <v>0.94079999999999986</v>
      </c>
      <c r="AI5" s="116">
        <f>I51/300</f>
        <v>5.9199999999999996E-2</v>
      </c>
      <c r="AM5" s="111" t="s">
        <v>501</v>
      </c>
      <c r="AN5" s="232">
        <f>D42</f>
        <v>11.118</v>
      </c>
      <c r="AO5" s="235">
        <f>D51</f>
        <v>5.5340000000000007</v>
      </c>
    </row>
    <row r="6" spans="1:41" ht="15" x14ac:dyDescent="0.2">
      <c r="A6" s="37">
        <v>39</v>
      </c>
      <c r="B6" s="38" t="s">
        <v>49</v>
      </c>
      <c r="C6" s="38" t="s">
        <v>42</v>
      </c>
      <c r="D6" s="39">
        <v>18.620999999999999</v>
      </c>
      <c r="E6" s="39">
        <v>6.2E-2</v>
      </c>
      <c r="F6" s="39">
        <v>0.33400000000000002</v>
      </c>
      <c r="G6" s="40">
        <v>15.3</v>
      </c>
      <c r="H6" s="41">
        <v>35</v>
      </c>
      <c r="I6" s="93">
        <v>28.7</v>
      </c>
      <c r="J6" s="39">
        <v>3.6349999999999998</v>
      </c>
      <c r="K6" s="39">
        <v>0.127</v>
      </c>
      <c r="L6" s="40">
        <v>0</v>
      </c>
      <c r="M6" s="41">
        <v>36</v>
      </c>
      <c r="N6" s="93">
        <v>271.3</v>
      </c>
      <c r="O6" s="39">
        <v>14.987</v>
      </c>
      <c r="P6" s="39">
        <v>5.5E-2</v>
      </c>
      <c r="Q6" s="40">
        <v>15.3</v>
      </c>
      <c r="R6" s="38" t="s">
        <v>487</v>
      </c>
      <c r="S6" s="38" t="s">
        <v>472</v>
      </c>
      <c r="T6" s="41" t="s">
        <v>475</v>
      </c>
      <c r="U6" s="41">
        <v>61</v>
      </c>
      <c r="V6" s="41">
        <v>2</v>
      </c>
      <c r="W6" s="41" t="s">
        <v>474</v>
      </c>
      <c r="X6" s="41">
        <v>1</v>
      </c>
      <c r="Y6" s="43" t="s">
        <v>469</v>
      </c>
      <c r="AC6" s="111" t="s">
        <v>502</v>
      </c>
      <c r="AD6" s="114">
        <f>N60/300</f>
        <v>0.76624999999999988</v>
      </c>
      <c r="AE6" s="116">
        <f>I60/300</f>
        <v>0.23375000000000001</v>
      </c>
      <c r="AG6" s="111" t="s">
        <v>502</v>
      </c>
      <c r="AH6" s="114">
        <f>N68/300</f>
        <v>0.73783333333333334</v>
      </c>
      <c r="AI6" s="116">
        <f>I68/300</f>
        <v>0.26216666666666666</v>
      </c>
      <c r="AM6" s="111" t="s">
        <v>502</v>
      </c>
      <c r="AN6" s="232">
        <f>D60</f>
        <v>28.651000000000003</v>
      </c>
      <c r="AO6" s="235">
        <f>D68</f>
        <v>28.022500000000001</v>
      </c>
    </row>
    <row r="7" spans="1:41" ht="16" thickBot="1" x14ac:dyDescent="0.25">
      <c r="A7" s="37">
        <v>42</v>
      </c>
      <c r="B7" s="38" t="s">
        <v>46</v>
      </c>
      <c r="C7" s="38" t="s">
        <v>42</v>
      </c>
      <c r="D7" s="39">
        <v>14.6</v>
      </c>
      <c r="E7" s="39">
        <v>4.9000000000000002E-2</v>
      </c>
      <c r="F7" s="39">
        <v>0.28999999999999998</v>
      </c>
      <c r="G7" s="40">
        <v>18.7</v>
      </c>
      <c r="H7" s="41">
        <v>23</v>
      </c>
      <c r="I7" s="93">
        <v>60.9</v>
      </c>
      <c r="J7" s="39">
        <v>2.9929999999999999</v>
      </c>
      <c r="K7" s="39">
        <v>4.9000000000000002E-2</v>
      </c>
      <c r="L7" s="40">
        <v>16.3</v>
      </c>
      <c r="M7" s="41">
        <v>24</v>
      </c>
      <c r="N7" s="93">
        <v>239.1</v>
      </c>
      <c r="O7" s="39">
        <v>11.606999999999999</v>
      </c>
      <c r="P7" s="39">
        <v>4.9000000000000002E-2</v>
      </c>
      <c r="Q7" s="40">
        <v>2.4</v>
      </c>
      <c r="R7" s="38" t="s">
        <v>486</v>
      </c>
      <c r="S7" s="38" t="s">
        <v>472</v>
      </c>
      <c r="T7" s="41" t="s">
        <v>475</v>
      </c>
      <c r="U7" s="41">
        <v>60</v>
      </c>
      <c r="V7" s="41">
        <v>2</v>
      </c>
      <c r="W7" s="41" t="s">
        <v>474</v>
      </c>
      <c r="X7" s="41">
        <v>1</v>
      </c>
      <c r="Y7" s="43" t="s">
        <v>470</v>
      </c>
      <c r="AC7" s="111" t="s">
        <v>503</v>
      </c>
      <c r="AD7" s="114">
        <f>N81/300</f>
        <v>0.89908333333333323</v>
      </c>
      <c r="AE7" s="116">
        <f>I81/300</f>
        <v>0.10091666666666667</v>
      </c>
      <c r="AG7" s="111" t="s">
        <v>503</v>
      </c>
      <c r="AH7" s="114">
        <f>N93/300</f>
        <v>0.89783333333333337</v>
      </c>
      <c r="AI7" s="116">
        <f>I93/300</f>
        <v>0.10216666666666667</v>
      </c>
      <c r="AM7" s="111" t="s">
        <v>503</v>
      </c>
      <c r="AN7" s="232">
        <f>D81</f>
        <v>14.484374999999998</v>
      </c>
      <c r="AO7" s="235">
        <f>D93</f>
        <v>7.1467500000000008</v>
      </c>
    </row>
    <row r="8" spans="1:41" ht="16" thickBot="1" x14ac:dyDescent="0.2">
      <c r="A8" s="84" t="s">
        <v>507</v>
      </c>
      <c r="B8" s="85"/>
      <c r="C8" s="85"/>
      <c r="D8" s="234">
        <f>AVERAGE(D3:D7)</f>
        <v>15.182999999999998</v>
      </c>
      <c r="E8" s="86"/>
      <c r="F8" s="86"/>
      <c r="G8" s="87"/>
      <c r="H8" s="86"/>
      <c r="I8" s="94">
        <f>AVERAGE(I3:I7)</f>
        <v>41.14</v>
      </c>
      <c r="J8" s="88"/>
      <c r="K8" s="88"/>
      <c r="L8" s="88"/>
      <c r="M8" s="88"/>
      <c r="N8" s="94">
        <f>AVERAGE(N3:N7)</f>
        <v>258.86</v>
      </c>
      <c r="O8" s="88"/>
      <c r="P8" s="88"/>
      <c r="Q8" s="88"/>
      <c r="R8" s="88"/>
      <c r="S8" s="88"/>
      <c r="T8" s="88"/>
      <c r="U8" s="89"/>
      <c r="V8" s="90"/>
      <c r="W8" s="88"/>
      <c r="X8" s="88"/>
      <c r="Y8" s="88"/>
      <c r="AC8" s="111" t="s">
        <v>504</v>
      </c>
      <c r="AD8" s="114">
        <f>N103/300</f>
        <v>0.81766666666666665</v>
      </c>
      <c r="AE8" s="116">
        <f>I103/300</f>
        <v>0.18233333333333335</v>
      </c>
      <c r="AG8" s="111" t="s">
        <v>504</v>
      </c>
      <c r="AH8" s="114">
        <f>N112/300</f>
        <v>0.69966666666666666</v>
      </c>
      <c r="AI8" s="116">
        <f>I112/300</f>
        <v>0.30033333333333334</v>
      </c>
      <c r="AM8" s="111" t="s">
        <v>504</v>
      </c>
      <c r="AN8" s="232">
        <f>D103</f>
        <v>13.163400000000001</v>
      </c>
      <c r="AO8" s="235">
        <f>D112</f>
        <v>6.6125000000000007</v>
      </c>
    </row>
    <row r="9" spans="1:41" ht="15" x14ac:dyDescent="0.15">
      <c r="A9" s="1" t="s">
        <v>508</v>
      </c>
      <c r="B9" s="1"/>
      <c r="C9" s="1"/>
      <c r="D9" s="1"/>
      <c r="E9" s="2"/>
      <c r="F9" s="3"/>
      <c r="G9" s="3"/>
      <c r="H9" s="3"/>
      <c r="I9" s="104"/>
      <c r="J9" s="4"/>
      <c r="K9" s="4"/>
      <c r="L9" s="4"/>
      <c r="M9" s="4"/>
      <c r="N9" s="9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AC9" s="111" t="s">
        <v>505</v>
      </c>
      <c r="AD9" s="114">
        <f>N124/300</f>
        <v>0.84550000000000003</v>
      </c>
      <c r="AE9" s="116">
        <f>I124/300</f>
        <v>0.15449999999999997</v>
      </c>
      <c r="AG9" s="111" t="s">
        <v>505</v>
      </c>
      <c r="AH9" s="114">
        <f>N134/300</f>
        <v>0.86133333333333328</v>
      </c>
      <c r="AI9" s="116">
        <f>I134/300</f>
        <v>0.13866666666666666</v>
      </c>
      <c r="AM9" s="111" t="s">
        <v>505</v>
      </c>
      <c r="AN9" s="232">
        <f>D124</f>
        <v>14.073999999999998</v>
      </c>
      <c r="AO9" s="235">
        <f>D134</f>
        <v>8.5809999999999995</v>
      </c>
    </row>
    <row r="10" spans="1:41" x14ac:dyDescent="0.15">
      <c r="A10" s="29"/>
      <c r="B10" s="29"/>
      <c r="C10" s="29"/>
      <c r="D10" s="29"/>
      <c r="E10" s="29"/>
      <c r="F10" s="29"/>
      <c r="G10" s="29"/>
      <c r="H10" s="29"/>
      <c r="I10" s="96"/>
      <c r="J10" s="29"/>
      <c r="K10" s="29"/>
      <c r="L10" s="29"/>
      <c r="M10" s="29"/>
      <c r="N10" s="96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AC10" s="113" t="s">
        <v>506</v>
      </c>
      <c r="AD10" s="115">
        <f>N146/300</f>
        <v>0.86495238095238092</v>
      </c>
      <c r="AE10" s="117">
        <f>I146/300</f>
        <v>0.13504761904761906</v>
      </c>
      <c r="AG10" s="113" t="s">
        <v>506</v>
      </c>
      <c r="AH10" s="115">
        <f>N157/300</f>
        <v>0.92500000000000004</v>
      </c>
      <c r="AI10" s="117">
        <f>I157/300</f>
        <v>7.4999999999999997E-2</v>
      </c>
      <c r="AM10" s="113" t="s">
        <v>506</v>
      </c>
      <c r="AN10" s="233">
        <f>D146</f>
        <v>13.270857142857142</v>
      </c>
      <c r="AO10" s="236">
        <f>D157</f>
        <v>9.346857142857143</v>
      </c>
    </row>
    <row r="11" spans="1:41" ht="15" x14ac:dyDescent="0.15">
      <c r="A11" s="44" t="s">
        <v>0</v>
      </c>
      <c r="B11" s="35" t="s">
        <v>2</v>
      </c>
      <c r="C11" s="35" t="s">
        <v>3</v>
      </c>
      <c r="D11" s="45" t="s">
        <v>7</v>
      </c>
      <c r="E11" s="45" t="s">
        <v>8</v>
      </c>
      <c r="F11" s="45" t="s">
        <v>9</v>
      </c>
      <c r="G11" s="46" t="s">
        <v>10</v>
      </c>
      <c r="H11" s="47" t="s">
        <v>29</v>
      </c>
      <c r="I11" s="97" t="s">
        <v>30</v>
      </c>
      <c r="J11" s="45" t="s">
        <v>31</v>
      </c>
      <c r="K11" s="45" t="s">
        <v>32</v>
      </c>
      <c r="L11" s="46" t="s">
        <v>33</v>
      </c>
      <c r="M11" s="47" t="s">
        <v>34</v>
      </c>
      <c r="N11" s="97" t="s">
        <v>35</v>
      </c>
      <c r="O11" s="45" t="s">
        <v>36</v>
      </c>
      <c r="P11" s="45" t="s">
        <v>37</v>
      </c>
      <c r="Q11" s="46" t="s">
        <v>38</v>
      </c>
      <c r="R11" s="47" t="s">
        <v>485</v>
      </c>
      <c r="S11" s="35" t="s">
        <v>478</v>
      </c>
      <c r="T11" s="35" t="s">
        <v>479</v>
      </c>
      <c r="U11" s="47" t="s">
        <v>480</v>
      </c>
      <c r="V11" s="46" t="s">
        <v>481</v>
      </c>
      <c r="W11" s="35" t="s">
        <v>482</v>
      </c>
      <c r="X11" s="35" t="s">
        <v>483</v>
      </c>
      <c r="Y11" s="36" t="s">
        <v>484</v>
      </c>
    </row>
    <row r="12" spans="1:41" ht="15" x14ac:dyDescent="0.15">
      <c r="A12" s="48">
        <v>2</v>
      </c>
      <c r="B12" s="42" t="s">
        <v>46</v>
      </c>
      <c r="C12" s="42" t="s">
        <v>270</v>
      </c>
      <c r="D12" s="49">
        <v>9.3179999999999996</v>
      </c>
      <c r="E12" s="49">
        <v>3.1E-2</v>
      </c>
      <c r="F12" s="49">
        <v>0.27100000000000002</v>
      </c>
      <c r="G12" s="50">
        <v>63.4</v>
      </c>
      <c r="H12" s="51">
        <v>12</v>
      </c>
      <c r="I12" s="98">
        <v>19</v>
      </c>
      <c r="J12" s="49">
        <v>1.528</v>
      </c>
      <c r="K12" s="49">
        <v>0.08</v>
      </c>
      <c r="L12" s="50">
        <v>0</v>
      </c>
      <c r="M12" s="51">
        <v>12</v>
      </c>
      <c r="N12" s="98">
        <v>281</v>
      </c>
      <c r="O12" s="49">
        <v>7.7889999999999997</v>
      </c>
      <c r="P12" s="49">
        <v>2.8000000000000001E-2</v>
      </c>
      <c r="Q12" s="50">
        <v>63.4</v>
      </c>
      <c r="R12" s="42" t="s">
        <v>487</v>
      </c>
      <c r="S12" s="42" t="s">
        <v>472</v>
      </c>
      <c r="T12" s="42" t="s">
        <v>475</v>
      </c>
      <c r="U12" s="51">
        <v>182</v>
      </c>
      <c r="V12" s="50">
        <v>6.1</v>
      </c>
      <c r="W12" s="42" t="s">
        <v>474</v>
      </c>
      <c r="X12" s="42">
        <v>1</v>
      </c>
      <c r="Y12" s="52"/>
    </row>
    <row r="13" spans="1:41" ht="15" x14ac:dyDescent="0.15">
      <c r="A13" s="53">
        <v>15</v>
      </c>
      <c r="B13" s="54" t="s">
        <v>46</v>
      </c>
      <c r="C13" s="54" t="s">
        <v>270</v>
      </c>
      <c r="D13" s="55">
        <v>9.1869999999999994</v>
      </c>
      <c r="E13" s="55">
        <v>3.1E-2</v>
      </c>
      <c r="F13" s="55">
        <v>0.28199999999999997</v>
      </c>
      <c r="G13" s="56">
        <v>68.7</v>
      </c>
      <c r="H13" s="57">
        <v>13</v>
      </c>
      <c r="I13" s="99">
        <v>14.2</v>
      </c>
      <c r="J13" s="55">
        <v>0.875</v>
      </c>
      <c r="K13" s="55">
        <v>6.2E-2</v>
      </c>
      <c r="L13" s="56">
        <v>0</v>
      </c>
      <c r="M13" s="57">
        <v>14</v>
      </c>
      <c r="N13" s="99">
        <v>285.8</v>
      </c>
      <c r="O13" s="55">
        <v>8.3109999999999999</v>
      </c>
      <c r="P13" s="55">
        <v>2.9000000000000001E-2</v>
      </c>
      <c r="Q13" s="56">
        <v>68.7</v>
      </c>
      <c r="R13" s="54" t="s">
        <v>487</v>
      </c>
      <c r="S13" s="54" t="s">
        <v>472</v>
      </c>
      <c r="T13" s="54" t="s">
        <v>475</v>
      </c>
      <c r="U13" s="57">
        <v>169</v>
      </c>
      <c r="V13" s="56">
        <v>5.6</v>
      </c>
      <c r="W13" s="54" t="s">
        <v>474</v>
      </c>
      <c r="X13" s="54">
        <v>1</v>
      </c>
      <c r="Y13" s="58"/>
    </row>
    <row r="14" spans="1:41" ht="15" x14ac:dyDescent="0.15">
      <c r="A14" s="48">
        <v>34</v>
      </c>
      <c r="B14" s="42" t="s">
        <v>49</v>
      </c>
      <c r="C14" s="42" t="s">
        <v>270</v>
      </c>
      <c r="D14" s="49">
        <v>10.555</v>
      </c>
      <c r="E14" s="49">
        <v>3.5000000000000003E-2</v>
      </c>
      <c r="F14" s="49">
        <v>0.26300000000000001</v>
      </c>
      <c r="G14" s="50">
        <v>14.1</v>
      </c>
      <c r="H14" s="51">
        <v>7</v>
      </c>
      <c r="I14" s="98">
        <v>8.5</v>
      </c>
      <c r="J14" s="49">
        <v>1.2070000000000001</v>
      </c>
      <c r="K14" s="49">
        <v>0.14299999999999999</v>
      </c>
      <c r="L14" s="50">
        <v>0</v>
      </c>
      <c r="M14" s="51">
        <v>8</v>
      </c>
      <c r="N14" s="98">
        <v>291.5</v>
      </c>
      <c r="O14" s="49">
        <v>9.3480000000000008</v>
      </c>
      <c r="P14" s="49">
        <v>3.2000000000000001E-2</v>
      </c>
      <c r="Q14" s="50">
        <v>14.1</v>
      </c>
      <c r="R14" s="42" t="s">
        <v>486</v>
      </c>
      <c r="S14" s="42" t="s">
        <v>472</v>
      </c>
      <c r="T14" s="42" t="s">
        <v>475</v>
      </c>
      <c r="U14" s="51">
        <v>144</v>
      </c>
      <c r="V14" s="50">
        <v>4.8</v>
      </c>
      <c r="W14" s="42" t="s">
        <v>474</v>
      </c>
      <c r="X14" s="42">
        <v>1</v>
      </c>
      <c r="Y14" s="52" t="s">
        <v>466</v>
      </c>
    </row>
    <row r="15" spans="1:41" ht="15" x14ac:dyDescent="0.15">
      <c r="A15" s="53">
        <v>39</v>
      </c>
      <c r="B15" s="54" t="s">
        <v>53</v>
      </c>
      <c r="C15" s="54" t="s">
        <v>270</v>
      </c>
      <c r="D15" s="55">
        <v>5.742</v>
      </c>
      <c r="E15" s="55">
        <v>1.9E-2</v>
      </c>
      <c r="F15" s="55">
        <v>0.33500000000000002</v>
      </c>
      <c r="G15" s="56">
        <v>154.6</v>
      </c>
      <c r="H15" s="57">
        <v>22</v>
      </c>
      <c r="I15" s="99">
        <v>24.1</v>
      </c>
      <c r="J15" s="55">
        <v>1.194</v>
      </c>
      <c r="K15" s="55">
        <v>0.05</v>
      </c>
      <c r="L15" s="56">
        <v>4.0999999999999996</v>
      </c>
      <c r="M15" s="57">
        <v>23</v>
      </c>
      <c r="N15" s="99">
        <v>275.89999999999998</v>
      </c>
      <c r="O15" s="55">
        <v>4.548</v>
      </c>
      <c r="P15" s="55">
        <v>1.6E-2</v>
      </c>
      <c r="Q15" s="56">
        <v>150.4</v>
      </c>
      <c r="R15" s="54" t="s">
        <v>487</v>
      </c>
      <c r="S15" s="54" t="s">
        <v>472</v>
      </c>
      <c r="T15" s="54" t="s">
        <v>475</v>
      </c>
      <c r="U15" s="57">
        <v>144</v>
      </c>
      <c r="V15" s="56">
        <v>4.8</v>
      </c>
      <c r="W15" s="54" t="s">
        <v>474</v>
      </c>
      <c r="X15" s="54">
        <v>1</v>
      </c>
      <c r="Y15" s="58" t="s">
        <v>469</v>
      </c>
    </row>
    <row r="16" spans="1:41" ht="16" thickBot="1" x14ac:dyDescent="0.2">
      <c r="A16" s="48">
        <v>42</v>
      </c>
      <c r="B16" s="42" t="s">
        <v>49</v>
      </c>
      <c r="C16" s="42" t="s">
        <v>270</v>
      </c>
      <c r="D16" s="49">
        <v>5.5449999999999999</v>
      </c>
      <c r="E16" s="49">
        <v>1.7999999999999999E-2</v>
      </c>
      <c r="F16" s="49">
        <v>0.247</v>
      </c>
      <c r="G16" s="50">
        <v>34.799999999999997</v>
      </c>
      <c r="H16" s="51">
        <v>12</v>
      </c>
      <c r="I16" s="98">
        <v>13</v>
      </c>
      <c r="J16" s="49">
        <v>1.099</v>
      </c>
      <c r="K16" s="49">
        <v>8.4000000000000005E-2</v>
      </c>
      <c r="L16" s="50">
        <v>0</v>
      </c>
      <c r="M16" s="51">
        <v>13</v>
      </c>
      <c r="N16" s="98">
        <v>287</v>
      </c>
      <c r="O16" s="49">
        <v>4.4459999999999997</v>
      </c>
      <c r="P16" s="49">
        <v>1.4999999999999999E-2</v>
      </c>
      <c r="Q16" s="50">
        <v>34.799999999999997</v>
      </c>
      <c r="R16" s="42" t="s">
        <v>486</v>
      </c>
      <c r="S16" s="42" t="s">
        <v>472</v>
      </c>
      <c r="T16" s="42" t="s">
        <v>475</v>
      </c>
      <c r="U16" s="51">
        <v>143</v>
      </c>
      <c r="V16" s="50">
        <v>4.8</v>
      </c>
      <c r="W16" s="42" t="s">
        <v>474</v>
      </c>
      <c r="X16" s="42">
        <v>1</v>
      </c>
      <c r="Y16" s="52" t="s">
        <v>470</v>
      </c>
    </row>
    <row r="17" spans="1:25" ht="16" thickBot="1" x14ac:dyDescent="0.2">
      <c r="A17" s="84" t="s">
        <v>507</v>
      </c>
      <c r="B17" s="85"/>
      <c r="C17" s="85"/>
      <c r="D17" s="234">
        <f>AVERAGE(D12:D16)</f>
        <v>8.0693999999999999</v>
      </c>
      <c r="E17" s="86"/>
      <c r="F17" s="86"/>
      <c r="G17" s="87"/>
      <c r="H17" s="86"/>
      <c r="I17" s="94">
        <f>AVERAGE(I12:I16)</f>
        <v>15.760000000000002</v>
      </c>
      <c r="J17" s="88"/>
      <c r="K17" s="88"/>
      <c r="L17" s="88"/>
      <c r="M17" s="88"/>
      <c r="N17" s="94">
        <f>AVERAGE(N12:N16)</f>
        <v>284.23999999999995</v>
      </c>
      <c r="O17" s="88"/>
      <c r="P17" s="88"/>
      <c r="Q17" s="88"/>
      <c r="R17" s="88"/>
      <c r="S17" s="88"/>
      <c r="T17" s="88"/>
      <c r="U17" s="89"/>
      <c r="V17" s="90"/>
      <c r="W17" s="88"/>
      <c r="X17" s="88"/>
      <c r="Y17" s="88"/>
    </row>
    <row r="20" spans="1:25" x14ac:dyDescent="0.15">
      <c r="A20" s="29" t="s">
        <v>489</v>
      </c>
    </row>
    <row r="21" spans="1:25" ht="15" x14ac:dyDescent="0.2">
      <c r="A21" s="30" t="s">
        <v>0</v>
      </c>
      <c r="B21" s="31" t="s">
        <v>2</v>
      </c>
      <c r="C21" s="31" t="s">
        <v>3</v>
      </c>
      <c r="D21" s="32" t="s">
        <v>7</v>
      </c>
      <c r="E21" s="32" t="s">
        <v>8</v>
      </c>
      <c r="F21" s="32" t="s">
        <v>9</v>
      </c>
      <c r="G21" s="33" t="s">
        <v>10</v>
      </c>
      <c r="H21" s="34" t="s">
        <v>29</v>
      </c>
      <c r="I21" s="92" t="s">
        <v>30</v>
      </c>
      <c r="J21" s="32" t="s">
        <v>31</v>
      </c>
      <c r="K21" s="32" t="s">
        <v>32</v>
      </c>
      <c r="L21" s="33" t="s">
        <v>33</v>
      </c>
      <c r="M21" s="34" t="s">
        <v>34</v>
      </c>
      <c r="N21" s="92" t="s">
        <v>35</v>
      </c>
      <c r="O21" s="32" t="s">
        <v>36</v>
      </c>
      <c r="P21" s="32" t="s">
        <v>37</v>
      </c>
      <c r="Q21" s="33" t="s">
        <v>38</v>
      </c>
      <c r="R21" s="35" t="s">
        <v>485</v>
      </c>
      <c r="S21" s="35" t="s">
        <v>478</v>
      </c>
      <c r="T21" s="35" t="s">
        <v>479</v>
      </c>
      <c r="U21" s="35" t="s">
        <v>480</v>
      </c>
      <c r="V21" s="35" t="s">
        <v>481</v>
      </c>
      <c r="W21" s="35" t="s">
        <v>482</v>
      </c>
      <c r="X21" s="35" t="s">
        <v>483</v>
      </c>
      <c r="Y21" s="36" t="s">
        <v>484</v>
      </c>
    </row>
    <row r="22" spans="1:25" ht="15" x14ac:dyDescent="0.2">
      <c r="A22" s="37">
        <v>36</v>
      </c>
      <c r="B22" s="38" t="s">
        <v>53</v>
      </c>
      <c r="C22" s="38" t="s">
        <v>42</v>
      </c>
      <c r="D22" s="39">
        <v>31.896999999999998</v>
      </c>
      <c r="E22" s="39">
        <v>0.106</v>
      </c>
      <c r="F22" s="39">
        <v>0.35299999999999998</v>
      </c>
      <c r="G22" s="40">
        <v>2.2999999999999998</v>
      </c>
      <c r="H22" s="41">
        <v>31</v>
      </c>
      <c r="I22" s="93">
        <v>25.5</v>
      </c>
      <c r="J22" s="39">
        <v>4.1550000000000002</v>
      </c>
      <c r="K22" s="39">
        <v>0.16300000000000001</v>
      </c>
      <c r="L22" s="40">
        <v>0</v>
      </c>
      <c r="M22" s="41">
        <v>32</v>
      </c>
      <c r="N22" s="93">
        <v>274.5</v>
      </c>
      <c r="O22" s="39">
        <v>27.742000000000001</v>
      </c>
      <c r="P22" s="39">
        <v>0.10100000000000001</v>
      </c>
      <c r="Q22" s="40">
        <v>2.2999999999999998</v>
      </c>
      <c r="R22" s="38" t="s">
        <v>486</v>
      </c>
      <c r="S22" s="38" t="s">
        <v>472</v>
      </c>
      <c r="T22" s="41" t="s">
        <v>475</v>
      </c>
      <c r="U22" s="41">
        <v>61</v>
      </c>
      <c r="V22" s="41">
        <v>2</v>
      </c>
      <c r="W22" s="41" t="s">
        <v>477</v>
      </c>
      <c r="X22" s="41">
        <v>2</v>
      </c>
      <c r="Y22" s="43" t="s">
        <v>466</v>
      </c>
    </row>
    <row r="23" spans="1:25" ht="15" x14ac:dyDescent="0.2">
      <c r="A23" s="37">
        <v>41</v>
      </c>
      <c r="B23" s="38" t="s">
        <v>41</v>
      </c>
      <c r="C23" s="38" t="s">
        <v>42</v>
      </c>
      <c r="D23" s="39">
        <v>11.308999999999999</v>
      </c>
      <c r="E23" s="39">
        <v>3.7999999999999999E-2</v>
      </c>
      <c r="F23" s="39">
        <v>0.27600000000000002</v>
      </c>
      <c r="G23" s="40">
        <v>44.1</v>
      </c>
      <c r="H23" s="41">
        <v>17</v>
      </c>
      <c r="I23" s="93">
        <v>132.4</v>
      </c>
      <c r="J23" s="39">
        <v>1.7230000000000001</v>
      </c>
      <c r="K23" s="39">
        <v>1.2999999999999999E-2</v>
      </c>
      <c r="L23" s="40">
        <v>38</v>
      </c>
      <c r="M23" s="41">
        <v>17</v>
      </c>
      <c r="N23" s="93">
        <v>167.6</v>
      </c>
      <c r="O23" s="39">
        <v>9.5860000000000003</v>
      </c>
      <c r="P23" s="39">
        <v>5.7000000000000002E-2</v>
      </c>
      <c r="Q23" s="40">
        <v>6.1</v>
      </c>
      <c r="R23" s="38" t="s">
        <v>487</v>
      </c>
      <c r="S23" s="38" t="s">
        <v>472</v>
      </c>
      <c r="T23" s="41" t="s">
        <v>475</v>
      </c>
      <c r="U23" s="41">
        <v>61</v>
      </c>
      <c r="V23" s="41">
        <v>2</v>
      </c>
      <c r="W23" s="41" t="s">
        <v>477</v>
      </c>
      <c r="X23" s="41">
        <v>2</v>
      </c>
      <c r="Y23" s="43"/>
    </row>
    <row r="24" spans="1:25" ht="16" thickBot="1" x14ac:dyDescent="0.25">
      <c r="A24" s="37">
        <v>43</v>
      </c>
      <c r="B24" s="38" t="s">
        <v>49</v>
      </c>
      <c r="C24" s="38" t="s">
        <v>42</v>
      </c>
      <c r="D24" s="39">
        <v>13.294</v>
      </c>
      <c r="E24" s="39">
        <v>4.3999999999999997E-2</v>
      </c>
      <c r="F24" s="39">
        <v>0.27</v>
      </c>
      <c r="G24" s="40">
        <v>5.3</v>
      </c>
      <c r="H24" s="41">
        <v>24</v>
      </c>
      <c r="I24" s="93">
        <v>78.7</v>
      </c>
      <c r="J24" s="39">
        <v>3.0609999999999999</v>
      </c>
      <c r="K24" s="39">
        <v>3.9E-2</v>
      </c>
      <c r="L24" s="40">
        <v>4.2</v>
      </c>
      <c r="M24" s="41">
        <v>24</v>
      </c>
      <c r="N24" s="93">
        <v>221.3</v>
      </c>
      <c r="O24" s="39">
        <v>10.233000000000001</v>
      </c>
      <c r="P24" s="39">
        <v>4.5999999999999999E-2</v>
      </c>
      <c r="Q24" s="40">
        <v>0.1</v>
      </c>
      <c r="R24" s="38" t="s">
        <v>487</v>
      </c>
      <c r="S24" s="38" t="s">
        <v>472</v>
      </c>
      <c r="T24" s="41" t="s">
        <v>475</v>
      </c>
      <c r="U24" s="41">
        <v>53</v>
      </c>
      <c r="V24" s="41">
        <v>2</v>
      </c>
      <c r="W24" s="41" t="s">
        <v>477</v>
      </c>
      <c r="X24" s="41">
        <v>2</v>
      </c>
      <c r="Y24" s="43" t="s">
        <v>471</v>
      </c>
    </row>
    <row r="25" spans="1:25" ht="16" thickBot="1" x14ac:dyDescent="0.2">
      <c r="A25" s="84" t="s">
        <v>507</v>
      </c>
      <c r="B25" s="85"/>
      <c r="C25" s="85"/>
      <c r="D25" s="234">
        <f>AVERAGE(D22:D24)</f>
        <v>18.833333333333332</v>
      </c>
      <c r="E25" s="86"/>
      <c r="F25" s="86"/>
      <c r="G25" s="87"/>
      <c r="H25" s="86"/>
      <c r="I25" s="94">
        <f>AVERAGE(I22:I24)</f>
        <v>78.866666666666674</v>
      </c>
      <c r="J25" s="88"/>
      <c r="K25" s="88"/>
      <c r="L25" s="88"/>
      <c r="M25" s="88"/>
      <c r="N25" s="94">
        <f>AVERAGE(N22:N24)</f>
        <v>221.13333333333335</v>
      </c>
      <c r="O25" s="88"/>
      <c r="P25" s="88"/>
      <c r="Q25" s="88"/>
      <c r="R25" s="88"/>
      <c r="S25" s="88"/>
      <c r="T25" s="88"/>
      <c r="U25" s="89"/>
      <c r="V25" s="90"/>
      <c r="W25" s="88"/>
      <c r="X25" s="88"/>
      <c r="Y25" s="88"/>
    </row>
    <row r="26" spans="1:25" x14ac:dyDescent="0.15">
      <c r="A26" s="29"/>
      <c r="B26" s="29"/>
      <c r="C26" s="29"/>
      <c r="D26" s="29"/>
      <c r="E26" s="29"/>
      <c r="F26" s="29"/>
      <c r="G26" s="29"/>
      <c r="H26" s="29"/>
      <c r="I26" s="96"/>
      <c r="J26" s="29"/>
      <c r="K26" s="29"/>
      <c r="L26" s="29"/>
      <c r="M26" s="29"/>
      <c r="N26" s="96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x14ac:dyDescent="0.15">
      <c r="A27" s="29"/>
      <c r="B27" s="29"/>
      <c r="C27" s="29"/>
      <c r="D27" s="29"/>
      <c r="E27" s="29"/>
      <c r="F27" s="29"/>
      <c r="G27" s="29"/>
      <c r="H27" s="29"/>
      <c r="I27" s="96"/>
      <c r="J27" s="29"/>
      <c r="K27" s="29"/>
      <c r="L27" s="29"/>
      <c r="M27" s="29"/>
      <c r="N27" s="96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5" x14ac:dyDescent="0.15">
      <c r="A28" s="44" t="s">
        <v>0</v>
      </c>
      <c r="B28" s="35" t="s">
        <v>2</v>
      </c>
      <c r="C28" s="35" t="s">
        <v>3</v>
      </c>
      <c r="D28" s="45" t="s">
        <v>7</v>
      </c>
      <c r="E28" s="45" t="s">
        <v>8</v>
      </c>
      <c r="F28" s="45" t="s">
        <v>9</v>
      </c>
      <c r="G28" s="46" t="s">
        <v>10</v>
      </c>
      <c r="H28" s="47" t="s">
        <v>29</v>
      </c>
      <c r="I28" s="97" t="s">
        <v>30</v>
      </c>
      <c r="J28" s="45" t="s">
        <v>31</v>
      </c>
      <c r="K28" s="45" t="s">
        <v>32</v>
      </c>
      <c r="L28" s="46" t="s">
        <v>33</v>
      </c>
      <c r="M28" s="47" t="s">
        <v>34</v>
      </c>
      <c r="N28" s="97" t="s">
        <v>35</v>
      </c>
      <c r="O28" s="45" t="s">
        <v>36</v>
      </c>
      <c r="P28" s="45" t="s">
        <v>37</v>
      </c>
      <c r="Q28" s="46" t="s">
        <v>38</v>
      </c>
      <c r="R28" s="47" t="s">
        <v>485</v>
      </c>
      <c r="S28" s="35" t="s">
        <v>478</v>
      </c>
      <c r="T28" s="35" t="s">
        <v>479</v>
      </c>
      <c r="U28" s="47" t="s">
        <v>480</v>
      </c>
      <c r="V28" s="46" t="s">
        <v>481</v>
      </c>
      <c r="W28" s="35" t="s">
        <v>482</v>
      </c>
      <c r="X28" s="35" t="s">
        <v>483</v>
      </c>
      <c r="Y28" s="36" t="s">
        <v>484</v>
      </c>
    </row>
    <row r="29" spans="1:25" ht="15" x14ac:dyDescent="0.15">
      <c r="A29" s="48">
        <v>36</v>
      </c>
      <c r="B29" s="42" t="s">
        <v>41</v>
      </c>
      <c r="C29" s="42" t="s">
        <v>270</v>
      </c>
      <c r="D29" s="49">
        <v>12.557</v>
      </c>
      <c r="E29" s="49">
        <v>4.2000000000000003E-2</v>
      </c>
      <c r="F29" s="49">
        <v>0.34899999999999998</v>
      </c>
      <c r="G29" s="50">
        <v>4</v>
      </c>
      <c r="H29" s="51">
        <v>20</v>
      </c>
      <c r="I29" s="98">
        <v>109.6</v>
      </c>
      <c r="J29" s="49">
        <v>2.665</v>
      </c>
      <c r="K29" s="49">
        <v>2.4E-2</v>
      </c>
      <c r="L29" s="50">
        <v>1.3</v>
      </c>
      <c r="M29" s="51">
        <v>19</v>
      </c>
      <c r="N29" s="98">
        <v>190.4</v>
      </c>
      <c r="O29" s="49">
        <v>9.8919999999999995</v>
      </c>
      <c r="P29" s="49">
        <v>5.1999999999999998E-2</v>
      </c>
      <c r="Q29" s="50">
        <v>2.7</v>
      </c>
      <c r="R29" s="42" t="s">
        <v>486</v>
      </c>
      <c r="S29" s="42" t="s">
        <v>472</v>
      </c>
      <c r="T29" s="42" t="s">
        <v>475</v>
      </c>
      <c r="U29" s="51">
        <v>144</v>
      </c>
      <c r="V29" s="50">
        <v>4.8</v>
      </c>
      <c r="W29" s="42" t="s">
        <v>477</v>
      </c>
      <c r="X29" s="42">
        <v>2</v>
      </c>
      <c r="Y29" s="52" t="s">
        <v>466</v>
      </c>
    </row>
    <row r="30" spans="1:25" ht="15" x14ac:dyDescent="0.15">
      <c r="A30" s="53">
        <v>41</v>
      </c>
      <c r="B30" s="54" t="s">
        <v>46</v>
      </c>
      <c r="C30" s="54" t="s">
        <v>270</v>
      </c>
      <c r="D30" s="55">
        <v>4.7080000000000002</v>
      </c>
      <c r="E30" s="55">
        <v>1.6E-2</v>
      </c>
      <c r="F30" s="55">
        <v>0.33700000000000002</v>
      </c>
      <c r="G30" s="56">
        <v>105.9</v>
      </c>
      <c r="H30" s="57">
        <v>9</v>
      </c>
      <c r="I30" s="99">
        <v>66.099999999999994</v>
      </c>
      <c r="J30" s="55">
        <v>1.655</v>
      </c>
      <c r="K30" s="55">
        <v>2.5000000000000001E-2</v>
      </c>
      <c r="L30" s="56">
        <v>21.2</v>
      </c>
      <c r="M30" s="57">
        <v>10</v>
      </c>
      <c r="N30" s="99">
        <v>233.9</v>
      </c>
      <c r="O30" s="55">
        <v>3.0529999999999999</v>
      </c>
      <c r="P30" s="55">
        <v>1.2999999999999999E-2</v>
      </c>
      <c r="Q30" s="56">
        <v>84.7</v>
      </c>
      <c r="R30" s="54" t="s">
        <v>487</v>
      </c>
      <c r="S30" s="54" t="s">
        <v>472</v>
      </c>
      <c r="T30" s="54" t="s">
        <v>475</v>
      </c>
      <c r="U30" s="57">
        <v>144</v>
      </c>
      <c r="V30" s="56">
        <v>4.8</v>
      </c>
      <c r="W30" s="54" t="s">
        <v>477</v>
      </c>
      <c r="X30" s="54">
        <v>2</v>
      </c>
      <c r="Y30" s="58"/>
    </row>
    <row r="31" spans="1:25" ht="16" thickBot="1" x14ac:dyDescent="0.2">
      <c r="A31" s="48">
        <v>43</v>
      </c>
      <c r="B31" s="42" t="s">
        <v>53</v>
      </c>
      <c r="C31" s="42" t="s">
        <v>270</v>
      </c>
      <c r="D31" s="49">
        <v>27.202000000000002</v>
      </c>
      <c r="E31" s="49">
        <v>9.0999999999999998E-2</v>
      </c>
      <c r="F31" s="49">
        <v>0.27400000000000002</v>
      </c>
      <c r="G31" s="50">
        <v>6</v>
      </c>
      <c r="H31" s="51">
        <v>33</v>
      </c>
      <c r="I31" s="98">
        <v>45</v>
      </c>
      <c r="J31" s="49">
        <v>5.4660000000000002</v>
      </c>
      <c r="K31" s="49">
        <v>0.121</v>
      </c>
      <c r="L31" s="50">
        <v>2.7</v>
      </c>
      <c r="M31" s="51">
        <v>33</v>
      </c>
      <c r="N31" s="98">
        <v>255</v>
      </c>
      <c r="O31" s="49">
        <v>21.736000000000001</v>
      </c>
      <c r="P31" s="49">
        <v>8.5000000000000006E-2</v>
      </c>
      <c r="Q31" s="50">
        <v>3.3</v>
      </c>
      <c r="R31" s="42" t="s">
        <v>487</v>
      </c>
      <c r="S31" s="42" t="s">
        <v>472</v>
      </c>
      <c r="T31" s="42" t="s">
        <v>475</v>
      </c>
      <c r="U31" s="51">
        <v>136</v>
      </c>
      <c r="V31" s="50">
        <v>4.5</v>
      </c>
      <c r="W31" s="42" t="s">
        <v>477</v>
      </c>
      <c r="X31" s="42">
        <v>2</v>
      </c>
      <c r="Y31" s="52" t="s">
        <v>471</v>
      </c>
    </row>
    <row r="32" spans="1:25" ht="16" thickBot="1" x14ac:dyDescent="0.2">
      <c r="A32" s="84" t="s">
        <v>507</v>
      </c>
      <c r="B32" s="85"/>
      <c r="C32" s="85"/>
      <c r="D32" s="234">
        <f>AVERAGE(D29:D31)</f>
        <v>14.822333333333333</v>
      </c>
      <c r="E32" s="86"/>
      <c r="F32" s="86"/>
      <c r="G32" s="87"/>
      <c r="H32" s="86"/>
      <c r="I32" s="94">
        <f>AVERAGE(I29:I31)</f>
        <v>73.566666666666663</v>
      </c>
      <c r="J32" s="88"/>
      <c r="K32" s="88"/>
      <c r="L32" s="88"/>
      <c r="M32" s="88"/>
      <c r="N32" s="94">
        <f>AVERAGE(N29:N31)</f>
        <v>226.43333333333331</v>
      </c>
      <c r="O32" s="88"/>
      <c r="P32" s="88"/>
      <c r="Q32" s="88"/>
      <c r="R32" s="88"/>
      <c r="S32" s="88"/>
      <c r="T32" s="88"/>
      <c r="U32" s="89"/>
      <c r="V32" s="90"/>
      <c r="W32" s="88"/>
      <c r="X32" s="88"/>
      <c r="Y32" s="88"/>
    </row>
    <row r="35" spans="1:25" x14ac:dyDescent="0.15">
      <c r="A35" s="29" t="s">
        <v>490</v>
      </c>
    </row>
    <row r="36" spans="1:25" ht="15" x14ac:dyDescent="0.2">
      <c r="A36" s="30" t="s">
        <v>0</v>
      </c>
      <c r="B36" s="31" t="s">
        <v>2</v>
      </c>
      <c r="C36" s="31" t="s">
        <v>3</v>
      </c>
      <c r="D36" s="32" t="s">
        <v>7</v>
      </c>
      <c r="E36" s="32" t="s">
        <v>8</v>
      </c>
      <c r="F36" s="32" t="s">
        <v>9</v>
      </c>
      <c r="G36" s="33" t="s">
        <v>10</v>
      </c>
      <c r="H36" s="34" t="s">
        <v>29</v>
      </c>
      <c r="I36" s="92" t="s">
        <v>30</v>
      </c>
      <c r="J36" s="32" t="s">
        <v>31</v>
      </c>
      <c r="K36" s="32" t="s">
        <v>32</v>
      </c>
      <c r="L36" s="33" t="s">
        <v>33</v>
      </c>
      <c r="M36" s="34" t="s">
        <v>34</v>
      </c>
      <c r="N36" s="92" t="s">
        <v>35</v>
      </c>
      <c r="O36" s="32" t="s">
        <v>36</v>
      </c>
      <c r="P36" s="32" t="s">
        <v>37</v>
      </c>
      <c r="Q36" s="33" t="s">
        <v>38</v>
      </c>
      <c r="R36" s="35" t="s">
        <v>485</v>
      </c>
      <c r="S36" s="35" t="s">
        <v>478</v>
      </c>
      <c r="T36" s="35" t="s">
        <v>479</v>
      </c>
      <c r="U36" s="35" t="s">
        <v>480</v>
      </c>
      <c r="V36" s="35" t="s">
        <v>481</v>
      </c>
      <c r="W36" s="35" t="s">
        <v>482</v>
      </c>
      <c r="X36" s="35" t="s">
        <v>483</v>
      </c>
      <c r="Y36" s="36" t="s">
        <v>484</v>
      </c>
    </row>
    <row r="37" spans="1:25" ht="15" x14ac:dyDescent="0.2">
      <c r="A37" s="37">
        <v>1</v>
      </c>
      <c r="B37" s="38" t="s">
        <v>41</v>
      </c>
      <c r="C37" s="38" t="s">
        <v>42</v>
      </c>
      <c r="D37" s="39">
        <v>10.212</v>
      </c>
      <c r="E37" s="39">
        <v>3.4000000000000002E-2</v>
      </c>
      <c r="F37" s="39">
        <v>0.32300000000000001</v>
      </c>
      <c r="G37" s="40">
        <v>35.9</v>
      </c>
      <c r="H37" s="41">
        <v>7</v>
      </c>
      <c r="I37" s="93">
        <v>7.3</v>
      </c>
      <c r="J37" s="39">
        <v>1.19</v>
      </c>
      <c r="K37" s="39">
        <v>0.16200000000000001</v>
      </c>
      <c r="L37" s="40">
        <v>0</v>
      </c>
      <c r="M37" s="41">
        <v>8</v>
      </c>
      <c r="N37" s="93">
        <v>292.7</v>
      </c>
      <c r="O37" s="39">
        <v>9.0220000000000002</v>
      </c>
      <c r="P37" s="39">
        <v>3.1E-2</v>
      </c>
      <c r="Q37" s="40">
        <v>35.9</v>
      </c>
      <c r="R37" s="42" t="s">
        <v>486</v>
      </c>
      <c r="S37" s="42" t="s">
        <v>472</v>
      </c>
      <c r="T37" s="41" t="s">
        <v>473</v>
      </c>
      <c r="U37" s="41">
        <v>99</v>
      </c>
      <c r="V37" s="40">
        <v>3.3</v>
      </c>
      <c r="W37" s="41" t="s">
        <v>474</v>
      </c>
      <c r="X37" s="41">
        <v>3</v>
      </c>
      <c r="Y37" s="43"/>
    </row>
    <row r="38" spans="1:25" ht="15" x14ac:dyDescent="0.2">
      <c r="A38" s="37">
        <v>17</v>
      </c>
      <c r="B38" s="38" t="s">
        <v>41</v>
      </c>
      <c r="C38" s="38" t="s">
        <v>42</v>
      </c>
      <c r="D38" s="39">
        <v>6.7290000000000001</v>
      </c>
      <c r="E38" s="39">
        <v>2.1999999999999999E-2</v>
      </c>
      <c r="F38" s="39">
        <v>0.29399999999999998</v>
      </c>
      <c r="G38" s="40">
        <v>38</v>
      </c>
      <c r="H38" s="41">
        <v>10</v>
      </c>
      <c r="I38" s="93">
        <v>25.1</v>
      </c>
      <c r="J38" s="39">
        <v>1.48</v>
      </c>
      <c r="K38" s="39">
        <v>5.8999999999999997E-2</v>
      </c>
      <c r="L38" s="40">
        <v>0</v>
      </c>
      <c r="M38" s="41">
        <v>10</v>
      </c>
      <c r="N38" s="93">
        <v>274.89999999999998</v>
      </c>
      <c r="O38" s="39">
        <v>5.25</v>
      </c>
      <c r="P38" s="39">
        <v>1.9E-2</v>
      </c>
      <c r="Q38" s="40">
        <v>38</v>
      </c>
      <c r="R38" s="38" t="s">
        <v>487</v>
      </c>
      <c r="S38" s="38" t="s">
        <v>472</v>
      </c>
      <c r="T38" s="41" t="s">
        <v>473</v>
      </c>
      <c r="U38" s="41">
        <v>86</v>
      </c>
      <c r="V38" s="41">
        <v>3</v>
      </c>
      <c r="W38" s="41" t="s">
        <v>474</v>
      </c>
      <c r="X38" s="41">
        <v>3</v>
      </c>
      <c r="Y38" s="43"/>
    </row>
    <row r="39" spans="1:25" ht="15" x14ac:dyDescent="0.2">
      <c r="A39" s="37">
        <v>18</v>
      </c>
      <c r="B39" s="38" t="s">
        <v>46</v>
      </c>
      <c r="C39" s="38" t="s">
        <v>42</v>
      </c>
      <c r="D39" s="39">
        <v>12.122999999999999</v>
      </c>
      <c r="E39" s="39">
        <v>0.04</v>
      </c>
      <c r="F39" s="39">
        <v>0.27</v>
      </c>
      <c r="G39" s="40">
        <v>31.6</v>
      </c>
      <c r="H39" s="41">
        <v>30</v>
      </c>
      <c r="I39" s="93">
        <v>50</v>
      </c>
      <c r="J39" s="39">
        <v>3.7109999999999999</v>
      </c>
      <c r="K39" s="39">
        <v>7.3999999999999996E-2</v>
      </c>
      <c r="L39" s="40">
        <v>3.8</v>
      </c>
      <c r="M39" s="41">
        <v>31</v>
      </c>
      <c r="N39" s="93">
        <v>250</v>
      </c>
      <c r="O39" s="39">
        <v>8.4120000000000008</v>
      </c>
      <c r="P39" s="39">
        <v>3.4000000000000002E-2</v>
      </c>
      <c r="Q39" s="40">
        <v>27.8</v>
      </c>
      <c r="R39" s="38" t="s">
        <v>486</v>
      </c>
      <c r="S39" s="38" t="s">
        <v>472</v>
      </c>
      <c r="T39" s="41" t="s">
        <v>473</v>
      </c>
      <c r="U39" s="41">
        <v>76</v>
      </c>
      <c r="V39" s="41">
        <v>3</v>
      </c>
      <c r="W39" s="41" t="s">
        <v>474</v>
      </c>
      <c r="X39" s="41">
        <v>3</v>
      </c>
      <c r="Y39" s="43"/>
    </row>
    <row r="40" spans="1:25" ht="15" x14ac:dyDescent="0.2">
      <c r="A40" s="59">
        <v>20</v>
      </c>
      <c r="B40" s="60" t="s">
        <v>53</v>
      </c>
      <c r="C40" s="60" t="s">
        <v>42</v>
      </c>
      <c r="D40" s="61">
        <v>14.231999999999999</v>
      </c>
      <c r="E40" s="61">
        <v>4.7E-2</v>
      </c>
      <c r="F40" s="61">
        <v>0.27200000000000002</v>
      </c>
      <c r="G40" s="62">
        <v>26.3</v>
      </c>
      <c r="H40" s="63">
        <v>19</v>
      </c>
      <c r="I40" s="100">
        <v>53.9</v>
      </c>
      <c r="J40" s="61">
        <v>2.8079999999999998</v>
      </c>
      <c r="K40" s="61">
        <v>5.1999999999999998E-2</v>
      </c>
      <c r="L40" s="62">
        <v>14.9</v>
      </c>
      <c r="M40" s="63">
        <v>19</v>
      </c>
      <c r="N40" s="100">
        <v>246.1</v>
      </c>
      <c r="O40" s="61">
        <v>11.423999999999999</v>
      </c>
      <c r="P40" s="61">
        <v>4.5999999999999999E-2</v>
      </c>
      <c r="Q40" s="62">
        <v>11.5</v>
      </c>
      <c r="R40" s="60" t="s">
        <v>487</v>
      </c>
      <c r="S40" s="60" t="s">
        <v>472</v>
      </c>
      <c r="T40" s="63" t="s">
        <v>473</v>
      </c>
      <c r="U40" s="63">
        <v>76</v>
      </c>
      <c r="V40" s="63">
        <v>3</v>
      </c>
      <c r="W40" s="63" t="s">
        <v>474</v>
      </c>
      <c r="X40" s="63">
        <v>3</v>
      </c>
      <c r="Y40" s="64"/>
    </row>
    <row r="41" spans="1:25" ht="16" thickBot="1" x14ac:dyDescent="0.25">
      <c r="A41" s="37">
        <v>38</v>
      </c>
      <c r="B41" s="38" t="s">
        <v>46</v>
      </c>
      <c r="C41" s="38" t="s">
        <v>42</v>
      </c>
      <c r="D41" s="39">
        <v>12.294</v>
      </c>
      <c r="E41" s="39">
        <v>4.1000000000000002E-2</v>
      </c>
      <c r="F41" s="39">
        <v>0.219</v>
      </c>
      <c r="G41" s="40">
        <v>15.7</v>
      </c>
      <c r="H41" s="41">
        <v>15</v>
      </c>
      <c r="I41" s="93">
        <v>18.3</v>
      </c>
      <c r="J41" s="39">
        <v>2.157</v>
      </c>
      <c r="K41" s="39">
        <v>0.11799999999999999</v>
      </c>
      <c r="L41" s="40">
        <v>0</v>
      </c>
      <c r="M41" s="41">
        <v>15</v>
      </c>
      <c r="N41" s="93">
        <v>281.7</v>
      </c>
      <c r="O41" s="39">
        <v>10.137</v>
      </c>
      <c r="P41" s="39">
        <v>3.5999999999999997E-2</v>
      </c>
      <c r="Q41" s="40">
        <v>15.7</v>
      </c>
      <c r="R41" s="38" t="s">
        <v>486</v>
      </c>
      <c r="S41" s="38" t="s">
        <v>472</v>
      </c>
      <c r="T41" s="41" t="s">
        <v>473</v>
      </c>
      <c r="U41" s="41">
        <v>61</v>
      </c>
      <c r="V41" s="41">
        <v>2</v>
      </c>
      <c r="W41" s="41" t="s">
        <v>474</v>
      </c>
      <c r="X41" s="41">
        <v>3</v>
      </c>
      <c r="Y41" s="43" t="s">
        <v>468</v>
      </c>
    </row>
    <row r="42" spans="1:25" ht="16" thickBot="1" x14ac:dyDescent="0.2">
      <c r="A42" s="84" t="s">
        <v>507</v>
      </c>
      <c r="B42" s="85"/>
      <c r="C42" s="85"/>
      <c r="D42" s="234">
        <f>AVERAGE(D37:D41)</f>
        <v>11.118</v>
      </c>
      <c r="E42" s="86"/>
      <c r="F42" s="86"/>
      <c r="G42" s="87"/>
      <c r="H42" s="86"/>
      <c r="I42" s="94">
        <f>AVERAGE(I37:I41)</f>
        <v>30.920000000000005</v>
      </c>
      <c r="J42" s="88"/>
      <c r="K42" s="88"/>
      <c r="L42" s="88"/>
      <c r="M42" s="88"/>
      <c r="N42" s="94">
        <f>AVERAGE(N37:N41)</f>
        <v>269.08</v>
      </c>
      <c r="O42" s="88"/>
      <c r="P42" s="88"/>
      <c r="Q42" s="88"/>
      <c r="R42" s="88"/>
      <c r="S42" s="88"/>
      <c r="T42" s="88"/>
      <c r="U42" s="89"/>
      <c r="V42" s="90"/>
      <c r="W42" s="88"/>
      <c r="X42" s="88"/>
      <c r="Y42" s="88"/>
    </row>
    <row r="43" spans="1:25" x14ac:dyDescent="0.15">
      <c r="A43" s="29"/>
      <c r="B43" s="29"/>
      <c r="C43" s="29"/>
      <c r="D43" s="29"/>
      <c r="E43" s="29"/>
      <c r="F43" s="29"/>
      <c r="G43" s="29"/>
      <c r="H43" s="29"/>
      <c r="I43" s="96"/>
      <c r="J43" s="29"/>
      <c r="K43" s="29"/>
      <c r="L43" s="29"/>
      <c r="M43" s="29"/>
      <c r="N43" s="96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spans="1:25" x14ac:dyDescent="0.15">
      <c r="A44" s="29"/>
      <c r="B44" s="29"/>
      <c r="C44" s="29"/>
      <c r="D44" s="29"/>
      <c r="E44" s="29"/>
      <c r="F44" s="29"/>
      <c r="G44" s="29"/>
      <c r="H44" s="29"/>
      <c r="I44" s="96"/>
      <c r="J44" s="29"/>
      <c r="K44" s="29"/>
      <c r="L44" s="29"/>
      <c r="M44" s="29"/>
      <c r="N44" s="96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spans="1:25" ht="15" x14ac:dyDescent="0.15">
      <c r="A45" s="44" t="s">
        <v>0</v>
      </c>
      <c r="B45" s="35" t="s">
        <v>2</v>
      </c>
      <c r="C45" s="35" t="s">
        <v>3</v>
      </c>
      <c r="D45" s="45" t="s">
        <v>7</v>
      </c>
      <c r="E45" s="45" t="s">
        <v>8</v>
      </c>
      <c r="F45" s="45" t="s">
        <v>9</v>
      </c>
      <c r="G45" s="46" t="s">
        <v>10</v>
      </c>
      <c r="H45" s="47" t="s">
        <v>29</v>
      </c>
      <c r="I45" s="97" t="s">
        <v>30</v>
      </c>
      <c r="J45" s="45" t="s">
        <v>31</v>
      </c>
      <c r="K45" s="45" t="s">
        <v>32</v>
      </c>
      <c r="L45" s="46" t="s">
        <v>33</v>
      </c>
      <c r="M45" s="47" t="s">
        <v>34</v>
      </c>
      <c r="N45" s="97" t="s">
        <v>35</v>
      </c>
      <c r="O45" s="45" t="s">
        <v>36</v>
      </c>
      <c r="P45" s="45" t="s">
        <v>37</v>
      </c>
      <c r="Q45" s="46" t="s">
        <v>38</v>
      </c>
      <c r="R45" s="47" t="s">
        <v>485</v>
      </c>
      <c r="S45" s="35" t="s">
        <v>478</v>
      </c>
      <c r="T45" s="35" t="s">
        <v>479</v>
      </c>
      <c r="U45" s="47" t="s">
        <v>480</v>
      </c>
      <c r="V45" s="46" t="s">
        <v>481</v>
      </c>
      <c r="W45" s="35" t="s">
        <v>482</v>
      </c>
      <c r="X45" s="35" t="s">
        <v>483</v>
      </c>
      <c r="Y45" s="36" t="s">
        <v>484</v>
      </c>
    </row>
    <row r="46" spans="1:25" ht="15" x14ac:dyDescent="0.15">
      <c r="A46" s="48">
        <v>1</v>
      </c>
      <c r="B46" s="42" t="s">
        <v>41</v>
      </c>
      <c r="C46" s="42" t="s">
        <v>270</v>
      </c>
      <c r="D46" s="49">
        <v>5.1130000000000004</v>
      </c>
      <c r="E46" s="49">
        <v>1.7000000000000001E-2</v>
      </c>
      <c r="F46" s="49">
        <v>0.27300000000000002</v>
      </c>
      <c r="G46" s="50">
        <v>120.7</v>
      </c>
      <c r="H46" s="51">
        <v>13</v>
      </c>
      <c r="I46" s="98">
        <v>10.9</v>
      </c>
      <c r="J46" s="49">
        <v>1.379</v>
      </c>
      <c r="K46" s="49">
        <v>0.127</v>
      </c>
      <c r="L46" s="50">
        <v>0</v>
      </c>
      <c r="M46" s="51">
        <v>14</v>
      </c>
      <c r="N46" s="98">
        <v>289.10000000000002</v>
      </c>
      <c r="O46" s="49">
        <v>3.734</v>
      </c>
      <c r="P46" s="49">
        <v>1.2999999999999999E-2</v>
      </c>
      <c r="Q46" s="50">
        <v>120.7</v>
      </c>
      <c r="R46" s="42" t="s">
        <v>486</v>
      </c>
      <c r="S46" s="42" t="s">
        <v>472</v>
      </c>
      <c r="T46" s="42" t="s">
        <v>473</v>
      </c>
      <c r="U46" s="51">
        <v>182</v>
      </c>
      <c r="V46" s="50">
        <v>6.1</v>
      </c>
      <c r="W46" s="42" t="s">
        <v>474</v>
      </c>
      <c r="X46" s="42">
        <v>3</v>
      </c>
      <c r="Y46" s="52"/>
    </row>
    <row r="47" spans="1:25" ht="15" x14ac:dyDescent="0.15">
      <c r="A47" s="53">
        <v>17</v>
      </c>
      <c r="B47" s="54" t="s">
        <v>53</v>
      </c>
      <c r="C47" s="54" t="s">
        <v>270</v>
      </c>
      <c r="D47" s="55">
        <v>5.4660000000000002</v>
      </c>
      <c r="E47" s="55">
        <v>1.7999999999999999E-2</v>
      </c>
      <c r="F47" s="55">
        <v>0.249</v>
      </c>
      <c r="G47" s="56">
        <v>45.5</v>
      </c>
      <c r="H47" s="57">
        <v>18</v>
      </c>
      <c r="I47" s="99">
        <v>24</v>
      </c>
      <c r="J47" s="55">
        <v>0.78</v>
      </c>
      <c r="K47" s="55">
        <v>3.2000000000000001E-2</v>
      </c>
      <c r="L47" s="56">
        <v>1.2</v>
      </c>
      <c r="M47" s="57">
        <v>19</v>
      </c>
      <c r="N47" s="99">
        <v>276</v>
      </c>
      <c r="O47" s="55">
        <v>4.6859999999999999</v>
      </c>
      <c r="P47" s="55">
        <v>1.7000000000000001E-2</v>
      </c>
      <c r="Q47" s="56">
        <v>44.3</v>
      </c>
      <c r="R47" s="54" t="s">
        <v>487</v>
      </c>
      <c r="S47" s="54" t="s">
        <v>472</v>
      </c>
      <c r="T47" s="54" t="s">
        <v>473</v>
      </c>
      <c r="U47" s="57">
        <v>169</v>
      </c>
      <c r="V47" s="56">
        <v>5.6</v>
      </c>
      <c r="W47" s="54" t="s">
        <v>474</v>
      </c>
      <c r="X47" s="54">
        <v>3</v>
      </c>
      <c r="Y47" s="58"/>
    </row>
    <row r="48" spans="1:25" ht="15" x14ac:dyDescent="0.15">
      <c r="A48" s="48">
        <v>18</v>
      </c>
      <c r="B48" s="42" t="s">
        <v>41</v>
      </c>
      <c r="C48" s="42" t="s">
        <v>270</v>
      </c>
      <c r="D48" s="49">
        <v>3.9990000000000001</v>
      </c>
      <c r="E48" s="49">
        <v>1.2999999999999999E-2</v>
      </c>
      <c r="F48" s="49">
        <v>0.221</v>
      </c>
      <c r="G48" s="50">
        <v>120</v>
      </c>
      <c r="H48" s="51">
        <v>8</v>
      </c>
      <c r="I48" s="98">
        <v>14.4</v>
      </c>
      <c r="J48" s="49">
        <v>0.621</v>
      </c>
      <c r="K48" s="49">
        <v>4.2999999999999997E-2</v>
      </c>
      <c r="L48" s="50">
        <v>1.9</v>
      </c>
      <c r="M48" s="51">
        <v>9</v>
      </c>
      <c r="N48" s="98">
        <v>285.60000000000002</v>
      </c>
      <c r="O48" s="49">
        <v>3.3780000000000001</v>
      </c>
      <c r="P48" s="49">
        <v>1.2E-2</v>
      </c>
      <c r="Q48" s="50">
        <v>118</v>
      </c>
      <c r="R48" s="42" t="s">
        <v>486</v>
      </c>
      <c r="S48" s="42" t="s">
        <v>472</v>
      </c>
      <c r="T48" s="42" t="s">
        <v>473</v>
      </c>
      <c r="U48" s="51">
        <v>159</v>
      </c>
      <c r="V48" s="50">
        <v>5.3</v>
      </c>
      <c r="W48" s="42" t="s">
        <v>474</v>
      </c>
      <c r="X48" s="42">
        <v>3</v>
      </c>
      <c r="Y48" s="52"/>
    </row>
    <row r="49" spans="1:25" ht="15" x14ac:dyDescent="0.15">
      <c r="A49" s="48">
        <v>20</v>
      </c>
      <c r="B49" s="42" t="s">
        <v>49</v>
      </c>
      <c r="C49" s="42" t="s">
        <v>270</v>
      </c>
      <c r="D49" s="49">
        <v>6.6639999999999997</v>
      </c>
      <c r="E49" s="49">
        <v>2.1999999999999999E-2</v>
      </c>
      <c r="F49" s="49">
        <v>0.255</v>
      </c>
      <c r="G49" s="50">
        <v>107.8</v>
      </c>
      <c r="H49" s="51">
        <v>10</v>
      </c>
      <c r="I49" s="98">
        <v>13.1</v>
      </c>
      <c r="J49" s="49">
        <v>1.3080000000000001</v>
      </c>
      <c r="K49" s="49">
        <v>0.1</v>
      </c>
      <c r="L49" s="50">
        <v>0</v>
      </c>
      <c r="M49" s="51">
        <v>11</v>
      </c>
      <c r="N49" s="98">
        <v>286.89999999999998</v>
      </c>
      <c r="O49" s="49">
        <v>5.3559999999999999</v>
      </c>
      <c r="P49" s="49">
        <v>1.9E-2</v>
      </c>
      <c r="Q49" s="50">
        <v>107.8</v>
      </c>
      <c r="R49" s="42" t="s">
        <v>487</v>
      </c>
      <c r="S49" s="42" t="s">
        <v>472</v>
      </c>
      <c r="T49" s="42" t="s">
        <v>473</v>
      </c>
      <c r="U49" s="51">
        <v>159</v>
      </c>
      <c r="V49" s="50">
        <v>5.3</v>
      </c>
      <c r="W49" s="42" t="s">
        <v>474</v>
      </c>
      <c r="X49" s="42">
        <v>3</v>
      </c>
      <c r="Y49" s="52"/>
    </row>
    <row r="50" spans="1:25" ht="16" thickBot="1" x14ac:dyDescent="0.2">
      <c r="A50" s="48">
        <v>38</v>
      </c>
      <c r="B50" s="42" t="s">
        <v>49</v>
      </c>
      <c r="C50" s="42" t="s">
        <v>270</v>
      </c>
      <c r="D50" s="49">
        <v>6.4279999999999999</v>
      </c>
      <c r="E50" s="49">
        <v>2.1000000000000001E-2</v>
      </c>
      <c r="F50" s="49">
        <v>0.29499999999999998</v>
      </c>
      <c r="G50" s="50">
        <v>36.6</v>
      </c>
      <c r="H50" s="51">
        <v>15</v>
      </c>
      <c r="I50" s="98">
        <v>26.4</v>
      </c>
      <c r="J50" s="49">
        <v>2.09</v>
      </c>
      <c r="K50" s="49">
        <v>7.9000000000000001E-2</v>
      </c>
      <c r="L50" s="50">
        <v>1.3</v>
      </c>
      <c r="M50" s="51">
        <v>16</v>
      </c>
      <c r="N50" s="98">
        <v>273.60000000000002</v>
      </c>
      <c r="O50" s="49">
        <v>4.3380000000000001</v>
      </c>
      <c r="P50" s="49">
        <v>1.6E-2</v>
      </c>
      <c r="Q50" s="50">
        <v>35.200000000000003</v>
      </c>
      <c r="R50" s="42" t="s">
        <v>486</v>
      </c>
      <c r="S50" s="42" t="s">
        <v>472</v>
      </c>
      <c r="T50" s="42" t="s">
        <v>473</v>
      </c>
      <c r="U50" s="51">
        <v>144</v>
      </c>
      <c r="V50" s="50">
        <v>4.8</v>
      </c>
      <c r="W50" s="42" t="s">
        <v>474</v>
      </c>
      <c r="X50" s="42">
        <v>3</v>
      </c>
      <c r="Y50" s="52" t="s">
        <v>468</v>
      </c>
    </row>
    <row r="51" spans="1:25" ht="16" thickBot="1" x14ac:dyDescent="0.2">
      <c r="A51" s="84" t="s">
        <v>507</v>
      </c>
      <c r="B51" s="85"/>
      <c r="C51" s="85"/>
      <c r="D51" s="234">
        <f>AVERAGE(D46:D50)</f>
        <v>5.5340000000000007</v>
      </c>
      <c r="E51" s="86"/>
      <c r="F51" s="86"/>
      <c r="G51" s="87"/>
      <c r="H51" s="86"/>
      <c r="I51" s="94">
        <f>AVERAGE(I46:I50)</f>
        <v>17.759999999999998</v>
      </c>
      <c r="J51" s="88"/>
      <c r="K51" s="88"/>
      <c r="L51" s="88"/>
      <c r="M51" s="88"/>
      <c r="N51" s="94">
        <f>AVERAGE(N46:N50)</f>
        <v>282.23999999999995</v>
      </c>
      <c r="O51" s="88"/>
      <c r="P51" s="88"/>
      <c r="Q51" s="88"/>
      <c r="R51" s="88"/>
      <c r="S51" s="88"/>
      <c r="T51" s="88"/>
      <c r="U51" s="89"/>
      <c r="V51" s="90"/>
      <c r="W51" s="88"/>
      <c r="X51" s="88"/>
      <c r="Y51" s="88"/>
    </row>
    <row r="54" spans="1:25" x14ac:dyDescent="0.15">
      <c r="A54" s="29" t="s">
        <v>491</v>
      </c>
    </row>
    <row r="55" spans="1:25" ht="15" x14ac:dyDescent="0.2">
      <c r="A55" s="30" t="s">
        <v>0</v>
      </c>
      <c r="B55" s="31" t="s">
        <v>2</v>
      </c>
      <c r="C55" s="31" t="s">
        <v>3</v>
      </c>
      <c r="D55" s="32" t="s">
        <v>7</v>
      </c>
      <c r="E55" s="32" t="s">
        <v>8</v>
      </c>
      <c r="F55" s="32" t="s">
        <v>9</v>
      </c>
      <c r="G55" s="33" t="s">
        <v>10</v>
      </c>
      <c r="H55" s="34" t="s">
        <v>29</v>
      </c>
      <c r="I55" s="92" t="s">
        <v>30</v>
      </c>
      <c r="J55" s="32" t="s">
        <v>31</v>
      </c>
      <c r="K55" s="32" t="s">
        <v>32</v>
      </c>
      <c r="L55" s="33" t="s">
        <v>33</v>
      </c>
      <c r="M55" s="34" t="s">
        <v>34</v>
      </c>
      <c r="N55" s="92" t="s">
        <v>35</v>
      </c>
      <c r="O55" s="32" t="s">
        <v>36</v>
      </c>
      <c r="P55" s="32" t="s">
        <v>37</v>
      </c>
      <c r="Q55" s="33" t="s">
        <v>38</v>
      </c>
      <c r="R55" s="35" t="s">
        <v>485</v>
      </c>
      <c r="S55" s="35" t="s">
        <v>478</v>
      </c>
      <c r="T55" s="35" t="s">
        <v>479</v>
      </c>
      <c r="U55" s="35" t="s">
        <v>480</v>
      </c>
      <c r="V55" s="35" t="s">
        <v>481</v>
      </c>
      <c r="W55" s="35" t="s">
        <v>482</v>
      </c>
      <c r="X55" s="35" t="s">
        <v>483</v>
      </c>
      <c r="Y55" s="36" t="s">
        <v>484</v>
      </c>
    </row>
    <row r="56" spans="1:25" ht="15" x14ac:dyDescent="0.2">
      <c r="A56" s="37">
        <v>14</v>
      </c>
      <c r="B56" s="38" t="s">
        <v>46</v>
      </c>
      <c r="C56" s="38" t="s">
        <v>42</v>
      </c>
      <c r="D56" s="39">
        <v>9.9090000000000007</v>
      </c>
      <c r="E56" s="39">
        <v>3.3000000000000002E-2</v>
      </c>
      <c r="F56" s="39">
        <v>0.28999999999999998</v>
      </c>
      <c r="G56" s="40">
        <v>49.3</v>
      </c>
      <c r="H56" s="41">
        <v>17</v>
      </c>
      <c r="I56" s="93">
        <v>54.4</v>
      </c>
      <c r="J56" s="39">
        <v>2.8330000000000002</v>
      </c>
      <c r="K56" s="39">
        <v>5.1999999999999998E-2</v>
      </c>
      <c r="L56" s="40">
        <v>2.4</v>
      </c>
      <c r="M56" s="41">
        <v>18</v>
      </c>
      <c r="N56" s="93">
        <v>245.6</v>
      </c>
      <c r="O56" s="39">
        <v>7.0759999999999996</v>
      </c>
      <c r="P56" s="39">
        <v>2.9000000000000001E-2</v>
      </c>
      <c r="Q56" s="40">
        <v>34.299999999999997</v>
      </c>
      <c r="R56" s="38" t="s">
        <v>486</v>
      </c>
      <c r="S56" s="38" t="s">
        <v>472</v>
      </c>
      <c r="T56" s="41" t="s">
        <v>473</v>
      </c>
      <c r="U56" s="41">
        <v>86</v>
      </c>
      <c r="V56" s="41">
        <v>3</v>
      </c>
      <c r="W56" s="41" t="s">
        <v>477</v>
      </c>
      <c r="X56" s="41">
        <v>4</v>
      </c>
      <c r="Y56" s="43" t="s">
        <v>463</v>
      </c>
    </row>
    <row r="57" spans="1:25" ht="15" x14ac:dyDescent="0.2">
      <c r="A57" s="37">
        <v>35</v>
      </c>
      <c r="B57" s="38" t="s">
        <v>49</v>
      </c>
      <c r="C57" s="38" t="s">
        <v>42</v>
      </c>
      <c r="D57" s="39">
        <v>65.501000000000005</v>
      </c>
      <c r="E57" s="39">
        <v>0.218</v>
      </c>
      <c r="F57" s="39">
        <v>0.48399999999999999</v>
      </c>
      <c r="G57" s="40">
        <v>0</v>
      </c>
      <c r="H57" s="41">
        <v>139</v>
      </c>
      <c r="I57" s="93">
        <v>78.8</v>
      </c>
      <c r="J57" s="39">
        <v>25.369</v>
      </c>
      <c r="K57" s="39">
        <v>0.32200000000000001</v>
      </c>
      <c r="L57" s="40">
        <v>0</v>
      </c>
      <c r="M57" s="41">
        <v>139</v>
      </c>
      <c r="N57" s="93">
        <v>221.2</v>
      </c>
      <c r="O57" s="39">
        <v>40.131999999999998</v>
      </c>
      <c r="P57" s="39">
        <v>0.18099999999999999</v>
      </c>
      <c r="Q57" s="40">
        <v>0</v>
      </c>
      <c r="R57" s="38" t="s">
        <v>486</v>
      </c>
      <c r="S57" s="38" t="s">
        <v>472</v>
      </c>
      <c r="T57" s="41" t="s">
        <v>473</v>
      </c>
      <c r="U57" s="41">
        <v>61</v>
      </c>
      <c r="V57" s="41">
        <v>2</v>
      </c>
      <c r="W57" s="41" t="s">
        <v>477</v>
      </c>
      <c r="X57" s="41">
        <v>4</v>
      </c>
      <c r="Y57" s="43" t="s">
        <v>467</v>
      </c>
    </row>
    <row r="58" spans="1:25" ht="15" x14ac:dyDescent="0.2">
      <c r="A58" s="37">
        <v>37</v>
      </c>
      <c r="B58" s="38" t="s">
        <v>41</v>
      </c>
      <c r="C58" s="38" t="s">
        <v>42</v>
      </c>
      <c r="D58" s="39">
        <v>15.635999999999999</v>
      </c>
      <c r="E58" s="39">
        <v>5.1999999999999998E-2</v>
      </c>
      <c r="F58" s="39">
        <v>0.26</v>
      </c>
      <c r="G58" s="40">
        <v>5.8</v>
      </c>
      <c r="H58" s="41">
        <v>24</v>
      </c>
      <c r="I58" s="93">
        <v>36.700000000000003</v>
      </c>
      <c r="J58" s="39">
        <v>3.3969999999999998</v>
      </c>
      <c r="K58" s="39">
        <v>9.2999999999999999E-2</v>
      </c>
      <c r="L58" s="40">
        <v>0</v>
      </c>
      <c r="M58" s="41">
        <v>24</v>
      </c>
      <c r="N58" s="93">
        <v>263.3</v>
      </c>
      <c r="O58" s="39">
        <v>12.239000000000001</v>
      </c>
      <c r="P58" s="39">
        <v>4.5999999999999999E-2</v>
      </c>
      <c r="Q58" s="40">
        <v>5.8</v>
      </c>
      <c r="R58" s="38" t="s">
        <v>486</v>
      </c>
      <c r="S58" s="38" t="s">
        <v>472</v>
      </c>
      <c r="T58" s="41" t="s">
        <v>473</v>
      </c>
      <c r="U58" s="41">
        <v>61</v>
      </c>
      <c r="V58" s="41">
        <v>2</v>
      </c>
      <c r="W58" s="41" t="s">
        <v>477</v>
      </c>
      <c r="X58" s="41">
        <v>4</v>
      </c>
      <c r="Y58" s="43"/>
    </row>
    <row r="59" spans="1:25" ht="16" thickBot="1" x14ac:dyDescent="0.25">
      <c r="A59" s="59">
        <v>40</v>
      </c>
      <c r="B59" s="60" t="s">
        <v>53</v>
      </c>
      <c r="C59" s="60" t="s">
        <v>42</v>
      </c>
      <c r="D59" s="61">
        <v>23.558</v>
      </c>
      <c r="E59" s="61">
        <v>7.9000000000000001E-2</v>
      </c>
      <c r="F59" s="61">
        <v>0.29299999999999998</v>
      </c>
      <c r="G59" s="62">
        <v>13.3</v>
      </c>
      <c r="H59" s="63">
        <v>36</v>
      </c>
      <c r="I59" s="100">
        <v>110.6</v>
      </c>
      <c r="J59" s="61">
        <v>5.6779999999999999</v>
      </c>
      <c r="K59" s="61">
        <v>5.0999999999999997E-2</v>
      </c>
      <c r="L59" s="62">
        <v>12.1</v>
      </c>
      <c r="M59" s="63">
        <v>37</v>
      </c>
      <c r="N59" s="100">
        <v>189.4</v>
      </c>
      <c r="O59" s="61">
        <v>17.88</v>
      </c>
      <c r="P59" s="61">
        <v>9.4E-2</v>
      </c>
      <c r="Q59" s="62">
        <v>1.2</v>
      </c>
      <c r="R59" s="60" t="s">
        <v>487</v>
      </c>
      <c r="S59" s="60" t="s">
        <v>472</v>
      </c>
      <c r="T59" s="63" t="s">
        <v>473</v>
      </c>
      <c r="U59" s="63">
        <v>61</v>
      </c>
      <c r="V59" s="63">
        <v>2</v>
      </c>
      <c r="W59" s="63" t="s">
        <v>477</v>
      </c>
      <c r="X59" s="63">
        <v>4</v>
      </c>
      <c r="Y59" s="64"/>
    </row>
    <row r="60" spans="1:25" ht="16" thickBot="1" x14ac:dyDescent="0.2">
      <c r="A60" s="84" t="s">
        <v>507</v>
      </c>
      <c r="B60" s="85"/>
      <c r="C60" s="85"/>
      <c r="D60" s="234">
        <f>AVERAGE(D56:D59)</f>
        <v>28.651000000000003</v>
      </c>
      <c r="E60" s="86"/>
      <c r="F60" s="86"/>
      <c r="G60" s="87"/>
      <c r="H60" s="86"/>
      <c r="I60" s="94">
        <f>AVERAGE(I56:I59)</f>
        <v>70.125</v>
      </c>
      <c r="J60" s="88"/>
      <c r="K60" s="88"/>
      <c r="L60" s="88"/>
      <c r="M60" s="88"/>
      <c r="N60" s="94">
        <f>AVERAGE(N56:N59)</f>
        <v>229.87499999999997</v>
      </c>
      <c r="O60" s="88"/>
      <c r="P60" s="88"/>
      <c r="Q60" s="88"/>
      <c r="R60" s="88"/>
      <c r="S60" s="88"/>
      <c r="T60" s="88"/>
      <c r="U60" s="89"/>
      <c r="V60" s="90"/>
      <c r="W60" s="88"/>
      <c r="X60" s="88"/>
      <c r="Y60" s="88"/>
    </row>
    <row r="61" spans="1:25" x14ac:dyDescent="0.15">
      <c r="A61" s="29"/>
      <c r="B61" s="29"/>
      <c r="C61" s="29"/>
      <c r="D61" s="29"/>
      <c r="E61" s="29"/>
      <c r="F61" s="29"/>
      <c r="G61" s="29"/>
      <c r="H61" s="29"/>
      <c r="I61" s="96"/>
      <c r="J61" s="29"/>
      <c r="K61" s="29"/>
      <c r="L61" s="29"/>
      <c r="M61" s="29"/>
      <c r="N61" s="96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spans="1:25" x14ac:dyDescent="0.15">
      <c r="A62" s="29"/>
      <c r="B62" s="29"/>
      <c r="C62" s="29"/>
      <c r="D62" s="29"/>
      <c r="E62" s="29"/>
      <c r="F62" s="29"/>
      <c r="G62" s="29"/>
      <c r="H62" s="29"/>
      <c r="I62" s="96"/>
      <c r="J62" s="29"/>
      <c r="K62" s="29"/>
      <c r="L62" s="29"/>
      <c r="M62" s="29"/>
      <c r="N62" s="96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5" x14ac:dyDescent="0.15">
      <c r="A63" s="44" t="s">
        <v>0</v>
      </c>
      <c r="B63" s="35" t="s">
        <v>2</v>
      </c>
      <c r="C63" s="35" t="s">
        <v>3</v>
      </c>
      <c r="D63" s="45" t="s">
        <v>7</v>
      </c>
      <c r="E63" s="45" t="s">
        <v>8</v>
      </c>
      <c r="F63" s="45" t="s">
        <v>9</v>
      </c>
      <c r="G63" s="46" t="s">
        <v>10</v>
      </c>
      <c r="H63" s="47" t="s">
        <v>29</v>
      </c>
      <c r="I63" s="97" t="s">
        <v>30</v>
      </c>
      <c r="J63" s="45" t="s">
        <v>31</v>
      </c>
      <c r="K63" s="45" t="s">
        <v>32</v>
      </c>
      <c r="L63" s="46" t="s">
        <v>33</v>
      </c>
      <c r="M63" s="47" t="s">
        <v>34</v>
      </c>
      <c r="N63" s="97" t="s">
        <v>35</v>
      </c>
      <c r="O63" s="45" t="s">
        <v>36</v>
      </c>
      <c r="P63" s="45" t="s">
        <v>37</v>
      </c>
      <c r="Q63" s="46" t="s">
        <v>38</v>
      </c>
      <c r="R63" s="47" t="s">
        <v>485</v>
      </c>
      <c r="S63" s="35" t="s">
        <v>478</v>
      </c>
      <c r="T63" s="35" t="s">
        <v>479</v>
      </c>
      <c r="U63" s="47" t="s">
        <v>480</v>
      </c>
      <c r="V63" s="46" t="s">
        <v>481</v>
      </c>
      <c r="W63" s="35" t="s">
        <v>482</v>
      </c>
      <c r="X63" s="35" t="s">
        <v>483</v>
      </c>
      <c r="Y63" s="36" t="s">
        <v>484</v>
      </c>
    </row>
    <row r="64" spans="1:25" ht="15" x14ac:dyDescent="0.15">
      <c r="A64" s="48">
        <v>14</v>
      </c>
      <c r="B64" s="42" t="s">
        <v>41</v>
      </c>
      <c r="C64" s="42" t="s">
        <v>270</v>
      </c>
      <c r="D64" s="49">
        <v>14.292999999999999</v>
      </c>
      <c r="E64" s="49">
        <v>4.8000000000000001E-2</v>
      </c>
      <c r="F64" s="49">
        <v>0.29499999999999998</v>
      </c>
      <c r="G64" s="50">
        <v>25.9</v>
      </c>
      <c r="H64" s="51">
        <v>34</v>
      </c>
      <c r="I64" s="98">
        <v>58.1</v>
      </c>
      <c r="J64" s="49">
        <v>3.6819999999999999</v>
      </c>
      <c r="K64" s="49">
        <v>6.3E-2</v>
      </c>
      <c r="L64" s="50">
        <v>7.8</v>
      </c>
      <c r="M64" s="51">
        <v>33</v>
      </c>
      <c r="N64" s="98">
        <v>241.9</v>
      </c>
      <c r="O64" s="49">
        <v>10.611000000000001</v>
      </c>
      <c r="P64" s="49">
        <v>4.3999999999999997E-2</v>
      </c>
      <c r="Q64" s="50">
        <v>18.100000000000001</v>
      </c>
      <c r="R64" s="42" t="s">
        <v>486</v>
      </c>
      <c r="S64" s="42" t="s">
        <v>472</v>
      </c>
      <c r="T64" s="42" t="s">
        <v>473</v>
      </c>
      <c r="U64" s="51">
        <v>169</v>
      </c>
      <c r="V64" s="50">
        <v>5.6</v>
      </c>
      <c r="W64" s="42" t="s">
        <v>477</v>
      </c>
      <c r="X64" s="42">
        <v>4</v>
      </c>
      <c r="Y64" s="52" t="s">
        <v>463</v>
      </c>
    </row>
    <row r="65" spans="1:25" ht="15" x14ac:dyDescent="0.15">
      <c r="A65" s="53">
        <v>35</v>
      </c>
      <c r="B65" s="54" t="s">
        <v>53</v>
      </c>
      <c r="C65" s="54" t="s">
        <v>270</v>
      </c>
      <c r="D65" s="55">
        <v>64.700999999999993</v>
      </c>
      <c r="E65" s="55">
        <v>0.216</v>
      </c>
      <c r="F65" s="55">
        <v>0.503</v>
      </c>
      <c r="G65" s="56">
        <v>0</v>
      </c>
      <c r="H65" s="57">
        <v>162</v>
      </c>
      <c r="I65" s="99">
        <v>94.3</v>
      </c>
      <c r="J65" s="55">
        <v>25.943000000000001</v>
      </c>
      <c r="K65" s="55">
        <v>0.27500000000000002</v>
      </c>
      <c r="L65" s="56">
        <v>0</v>
      </c>
      <c r="M65" s="57">
        <v>163</v>
      </c>
      <c r="N65" s="99">
        <v>205.7</v>
      </c>
      <c r="O65" s="55">
        <v>38.758000000000003</v>
      </c>
      <c r="P65" s="55">
        <v>0.188</v>
      </c>
      <c r="Q65" s="56">
        <v>0</v>
      </c>
      <c r="R65" s="54" t="s">
        <v>486</v>
      </c>
      <c r="S65" s="54" t="s">
        <v>472</v>
      </c>
      <c r="T65" s="54" t="s">
        <v>473</v>
      </c>
      <c r="U65" s="57">
        <v>144</v>
      </c>
      <c r="V65" s="56">
        <v>4.8</v>
      </c>
      <c r="W65" s="54" t="s">
        <v>477</v>
      </c>
      <c r="X65" s="54">
        <v>4</v>
      </c>
      <c r="Y65" s="58" t="s">
        <v>467</v>
      </c>
    </row>
    <row r="66" spans="1:25" ht="15" x14ac:dyDescent="0.15">
      <c r="A66" s="48">
        <v>37</v>
      </c>
      <c r="B66" s="42" t="s">
        <v>46</v>
      </c>
      <c r="C66" s="42" t="s">
        <v>270</v>
      </c>
      <c r="D66" s="49">
        <v>9.6270000000000007</v>
      </c>
      <c r="E66" s="49">
        <v>3.2000000000000001E-2</v>
      </c>
      <c r="F66" s="49">
        <v>0.24199999999999999</v>
      </c>
      <c r="G66" s="50">
        <v>30.9</v>
      </c>
      <c r="H66" s="51">
        <v>21</v>
      </c>
      <c r="I66" s="98">
        <v>119.8</v>
      </c>
      <c r="J66" s="49">
        <v>2.6579999999999999</v>
      </c>
      <c r="K66" s="49">
        <v>2.1999999999999999E-2</v>
      </c>
      <c r="L66" s="50">
        <v>19.600000000000001</v>
      </c>
      <c r="M66" s="51">
        <v>22</v>
      </c>
      <c r="N66" s="98">
        <v>180.2</v>
      </c>
      <c r="O66" s="49">
        <v>6.968</v>
      </c>
      <c r="P66" s="49">
        <v>3.9E-2</v>
      </c>
      <c r="Q66" s="50">
        <v>11.3</v>
      </c>
      <c r="R66" s="42" t="s">
        <v>486</v>
      </c>
      <c r="S66" s="42" t="s">
        <v>472</v>
      </c>
      <c r="T66" s="42" t="s">
        <v>473</v>
      </c>
      <c r="U66" s="51">
        <v>144</v>
      </c>
      <c r="V66" s="50">
        <v>4.8</v>
      </c>
      <c r="W66" s="42" t="s">
        <v>477</v>
      </c>
      <c r="X66" s="42">
        <v>4</v>
      </c>
      <c r="Y66" s="52"/>
    </row>
    <row r="67" spans="1:25" ht="16" thickBot="1" x14ac:dyDescent="0.2">
      <c r="A67" s="48">
        <v>40</v>
      </c>
      <c r="B67" s="42" t="s">
        <v>41</v>
      </c>
      <c r="C67" s="42" t="s">
        <v>270</v>
      </c>
      <c r="D67" s="49">
        <v>23.469000000000001</v>
      </c>
      <c r="E67" s="49">
        <v>7.8E-2</v>
      </c>
      <c r="F67" s="49">
        <v>0.31</v>
      </c>
      <c r="G67" s="50">
        <v>7.8</v>
      </c>
      <c r="H67" s="51">
        <v>46</v>
      </c>
      <c r="I67" s="98">
        <v>42.4</v>
      </c>
      <c r="J67" s="49">
        <v>5.6070000000000002</v>
      </c>
      <c r="K67" s="49">
        <v>0.13200000000000001</v>
      </c>
      <c r="L67" s="50">
        <v>1.3</v>
      </c>
      <c r="M67" s="51">
        <v>45</v>
      </c>
      <c r="N67" s="98">
        <v>257.60000000000002</v>
      </c>
      <c r="O67" s="49">
        <v>17.861999999999998</v>
      </c>
      <c r="P67" s="49">
        <v>6.9000000000000006E-2</v>
      </c>
      <c r="Q67" s="50">
        <v>6.5</v>
      </c>
      <c r="R67" s="42" t="s">
        <v>487</v>
      </c>
      <c r="S67" s="42" t="s">
        <v>472</v>
      </c>
      <c r="T67" s="42" t="s">
        <v>473</v>
      </c>
      <c r="U67" s="51">
        <v>144</v>
      </c>
      <c r="V67" s="50">
        <v>4.8</v>
      </c>
      <c r="W67" s="42" t="s">
        <v>477</v>
      </c>
      <c r="X67" s="42">
        <v>4</v>
      </c>
      <c r="Y67" s="52"/>
    </row>
    <row r="68" spans="1:25" ht="16" thickBot="1" x14ac:dyDescent="0.2">
      <c r="A68" s="84" t="s">
        <v>507</v>
      </c>
      <c r="B68" s="85"/>
      <c r="C68" s="85"/>
      <c r="D68" s="234">
        <f>AVERAGE(D64:D67)</f>
        <v>28.022500000000001</v>
      </c>
      <c r="E68" s="86"/>
      <c r="F68" s="86"/>
      <c r="G68" s="87"/>
      <c r="H68" s="86"/>
      <c r="I68" s="94">
        <f>AVERAGE(I64:I67)</f>
        <v>78.649999999999991</v>
      </c>
      <c r="J68" s="88"/>
      <c r="K68" s="88"/>
      <c r="L68" s="88"/>
      <c r="M68" s="88"/>
      <c r="N68" s="94">
        <f>AVERAGE(N64:N67)</f>
        <v>221.35</v>
      </c>
      <c r="O68" s="88"/>
      <c r="P68" s="88"/>
      <c r="Q68" s="88"/>
      <c r="R68" s="88"/>
      <c r="S68" s="88"/>
      <c r="T68" s="88"/>
      <c r="U68" s="89"/>
      <c r="V68" s="90"/>
      <c r="W68" s="88"/>
      <c r="X68" s="88"/>
      <c r="Y68" s="88"/>
    </row>
    <row r="71" spans="1:25" x14ac:dyDescent="0.15">
      <c r="A71" s="29" t="s">
        <v>492</v>
      </c>
    </row>
    <row r="72" spans="1:25" ht="15" x14ac:dyDescent="0.2">
      <c r="A72" s="30" t="s">
        <v>0</v>
      </c>
      <c r="B72" s="31" t="s">
        <v>2</v>
      </c>
      <c r="C72" s="31" t="s">
        <v>3</v>
      </c>
      <c r="D72" s="32" t="s">
        <v>7</v>
      </c>
      <c r="E72" s="32" t="s">
        <v>8</v>
      </c>
      <c r="F72" s="32" t="s">
        <v>9</v>
      </c>
      <c r="G72" s="33" t="s">
        <v>10</v>
      </c>
      <c r="H72" s="34" t="s">
        <v>29</v>
      </c>
      <c r="I72" s="92" t="s">
        <v>30</v>
      </c>
      <c r="J72" s="32" t="s">
        <v>31</v>
      </c>
      <c r="K72" s="32" t="s">
        <v>32</v>
      </c>
      <c r="L72" s="33" t="s">
        <v>33</v>
      </c>
      <c r="M72" s="34" t="s">
        <v>34</v>
      </c>
      <c r="N72" s="92" t="s">
        <v>35</v>
      </c>
      <c r="O72" s="32" t="s">
        <v>36</v>
      </c>
      <c r="P72" s="32" t="s">
        <v>37</v>
      </c>
      <c r="Q72" s="33" t="s">
        <v>38</v>
      </c>
      <c r="R72" s="35" t="s">
        <v>485</v>
      </c>
      <c r="S72" s="35" t="s">
        <v>478</v>
      </c>
      <c r="T72" s="35" t="s">
        <v>479</v>
      </c>
      <c r="U72" s="35" t="s">
        <v>480</v>
      </c>
      <c r="V72" s="35" t="s">
        <v>481</v>
      </c>
      <c r="W72" s="35" t="s">
        <v>482</v>
      </c>
      <c r="X72" s="35" t="s">
        <v>483</v>
      </c>
      <c r="Y72" s="36" t="s">
        <v>484</v>
      </c>
    </row>
    <row r="73" spans="1:25" ht="15" x14ac:dyDescent="0.2">
      <c r="A73" s="37">
        <v>3</v>
      </c>
      <c r="B73" s="38" t="s">
        <v>49</v>
      </c>
      <c r="C73" s="38" t="s">
        <v>42</v>
      </c>
      <c r="D73" s="39">
        <v>7.4870000000000001</v>
      </c>
      <c r="E73" s="39">
        <v>2.5000000000000001E-2</v>
      </c>
      <c r="F73" s="39">
        <v>0.248</v>
      </c>
      <c r="G73" s="40">
        <v>95.7</v>
      </c>
      <c r="H73" s="41">
        <v>9</v>
      </c>
      <c r="I73" s="93">
        <v>26.5</v>
      </c>
      <c r="J73" s="39">
        <v>1.234</v>
      </c>
      <c r="K73" s="39">
        <v>4.7E-2</v>
      </c>
      <c r="L73" s="40">
        <v>6.7</v>
      </c>
      <c r="M73" s="41">
        <v>10</v>
      </c>
      <c r="N73" s="93">
        <v>273.5</v>
      </c>
      <c r="O73" s="39">
        <v>6.2539999999999996</v>
      </c>
      <c r="P73" s="39">
        <v>2.3E-2</v>
      </c>
      <c r="Q73" s="40">
        <v>89.1</v>
      </c>
      <c r="R73" s="42" t="s">
        <v>486</v>
      </c>
      <c r="S73" s="42" t="s">
        <v>476</v>
      </c>
      <c r="T73" s="41" t="s">
        <v>475</v>
      </c>
      <c r="U73" s="41">
        <v>94</v>
      </c>
      <c r="V73" s="40">
        <v>3.1</v>
      </c>
      <c r="W73" s="41" t="s">
        <v>474</v>
      </c>
      <c r="X73" s="41">
        <v>5</v>
      </c>
      <c r="Y73" s="43" t="s">
        <v>458</v>
      </c>
    </row>
    <row r="74" spans="1:25" ht="15" x14ac:dyDescent="0.2">
      <c r="A74" s="37">
        <v>7</v>
      </c>
      <c r="B74" s="38" t="s">
        <v>49</v>
      </c>
      <c r="C74" s="38" t="s">
        <v>42</v>
      </c>
      <c r="D74" s="39">
        <v>10.189</v>
      </c>
      <c r="E74" s="39">
        <v>3.4000000000000002E-2</v>
      </c>
      <c r="F74" s="39">
        <v>0.24</v>
      </c>
      <c r="G74" s="40">
        <v>13.7</v>
      </c>
      <c r="H74" s="41">
        <v>21</v>
      </c>
      <c r="I74" s="93">
        <v>28.5</v>
      </c>
      <c r="J74" s="39">
        <v>1.865</v>
      </c>
      <c r="K74" s="39">
        <v>6.5000000000000002E-2</v>
      </c>
      <c r="L74" s="40">
        <v>0</v>
      </c>
      <c r="M74" s="41">
        <v>22</v>
      </c>
      <c r="N74" s="93">
        <v>271.5</v>
      </c>
      <c r="O74" s="39">
        <v>8.3230000000000004</v>
      </c>
      <c r="P74" s="39">
        <v>3.1E-2</v>
      </c>
      <c r="Q74" s="40">
        <v>13.7</v>
      </c>
      <c r="R74" s="42" t="s">
        <v>487</v>
      </c>
      <c r="S74" s="42" t="s">
        <v>476</v>
      </c>
      <c r="T74" s="41" t="s">
        <v>475</v>
      </c>
      <c r="U74" s="41">
        <v>94</v>
      </c>
      <c r="V74" s="40">
        <v>3.1</v>
      </c>
      <c r="W74" s="41" t="s">
        <v>474</v>
      </c>
      <c r="X74" s="41">
        <v>5</v>
      </c>
      <c r="Y74" s="43"/>
    </row>
    <row r="75" spans="1:25" ht="15" x14ac:dyDescent="0.2">
      <c r="A75" s="37">
        <v>11</v>
      </c>
      <c r="B75" s="38" t="s">
        <v>49</v>
      </c>
      <c r="C75" s="38" t="s">
        <v>42</v>
      </c>
      <c r="D75" s="39">
        <v>8.3290000000000006</v>
      </c>
      <c r="E75" s="39">
        <v>2.8000000000000001E-2</v>
      </c>
      <c r="F75" s="39">
        <v>0.218</v>
      </c>
      <c r="G75" s="40">
        <v>42.3</v>
      </c>
      <c r="H75" s="41">
        <v>20</v>
      </c>
      <c r="I75" s="93">
        <v>48.7</v>
      </c>
      <c r="J75" s="39">
        <v>1.67</v>
      </c>
      <c r="K75" s="39">
        <v>3.4000000000000002E-2</v>
      </c>
      <c r="L75" s="40">
        <v>10.8</v>
      </c>
      <c r="M75" s="41">
        <v>20</v>
      </c>
      <c r="N75" s="93">
        <v>251.3</v>
      </c>
      <c r="O75" s="39">
        <v>6.66</v>
      </c>
      <c r="P75" s="39">
        <v>2.7E-2</v>
      </c>
      <c r="Q75" s="40">
        <v>31.4</v>
      </c>
      <c r="R75" s="42" t="s">
        <v>487</v>
      </c>
      <c r="S75" s="42" t="s">
        <v>476</v>
      </c>
      <c r="T75" s="41" t="s">
        <v>475</v>
      </c>
      <c r="U75" s="41">
        <v>94</v>
      </c>
      <c r="V75" s="40">
        <v>3.1</v>
      </c>
      <c r="W75" s="41" t="s">
        <v>474</v>
      </c>
      <c r="X75" s="41">
        <v>5</v>
      </c>
      <c r="Y75" s="43" t="s">
        <v>462</v>
      </c>
    </row>
    <row r="76" spans="1:25" ht="15" x14ac:dyDescent="0.2">
      <c r="A76" s="37">
        <v>21</v>
      </c>
      <c r="B76" s="38" t="s">
        <v>41</v>
      </c>
      <c r="C76" s="38" t="s">
        <v>42</v>
      </c>
      <c r="D76" s="39">
        <v>20.986000000000001</v>
      </c>
      <c r="E76" s="39">
        <v>7.0000000000000007E-2</v>
      </c>
      <c r="F76" s="39">
        <v>0.33700000000000002</v>
      </c>
      <c r="G76" s="40">
        <v>2.2000000000000002</v>
      </c>
      <c r="H76" s="41">
        <v>32</v>
      </c>
      <c r="I76" s="93">
        <v>34.6</v>
      </c>
      <c r="J76" s="39">
        <v>5.4160000000000004</v>
      </c>
      <c r="K76" s="39">
        <v>0.156</v>
      </c>
      <c r="L76" s="40">
        <v>0</v>
      </c>
      <c r="M76" s="41">
        <v>33</v>
      </c>
      <c r="N76" s="93">
        <v>265.39999999999998</v>
      </c>
      <c r="O76" s="39">
        <v>15.57</v>
      </c>
      <c r="P76" s="39">
        <v>5.8999999999999997E-2</v>
      </c>
      <c r="Q76" s="40">
        <v>2.2000000000000002</v>
      </c>
      <c r="R76" s="38" t="s">
        <v>487</v>
      </c>
      <c r="S76" s="38" t="s">
        <v>476</v>
      </c>
      <c r="T76" s="41" t="s">
        <v>475</v>
      </c>
      <c r="U76" s="41">
        <v>76</v>
      </c>
      <c r="V76" s="41">
        <v>3</v>
      </c>
      <c r="W76" s="41" t="s">
        <v>474</v>
      </c>
      <c r="X76" s="41">
        <v>5</v>
      </c>
      <c r="Y76" s="43"/>
    </row>
    <row r="77" spans="1:25" ht="15" x14ac:dyDescent="0.2">
      <c r="A77" s="37">
        <v>24</v>
      </c>
      <c r="B77" s="38" t="s">
        <v>53</v>
      </c>
      <c r="C77" s="38" t="s">
        <v>42</v>
      </c>
      <c r="D77" s="39">
        <v>17.585000000000001</v>
      </c>
      <c r="E77" s="39">
        <v>5.8999999999999997E-2</v>
      </c>
      <c r="F77" s="39">
        <v>0.27200000000000002</v>
      </c>
      <c r="G77" s="40">
        <v>8.9</v>
      </c>
      <c r="H77" s="41">
        <v>27</v>
      </c>
      <c r="I77" s="93">
        <v>31.5</v>
      </c>
      <c r="J77" s="39">
        <v>3.3980000000000001</v>
      </c>
      <c r="K77" s="39">
        <v>0.108</v>
      </c>
      <c r="L77" s="40">
        <v>0</v>
      </c>
      <c r="M77" s="41">
        <v>28</v>
      </c>
      <c r="N77" s="93">
        <v>268.5</v>
      </c>
      <c r="O77" s="39">
        <v>14.186999999999999</v>
      </c>
      <c r="P77" s="39">
        <v>5.2999999999999999E-2</v>
      </c>
      <c r="Q77" s="40">
        <v>8.9</v>
      </c>
      <c r="R77" s="38" t="s">
        <v>486</v>
      </c>
      <c r="S77" s="38" t="s">
        <v>476</v>
      </c>
      <c r="T77" s="41" t="s">
        <v>475</v>
      </c>
      <c r="U77" s="41">
        <v>68</v>
      </c>
      <c r="V77" s="41">
        <v>2</v>
      </c>
      <c r="W77" s="41" t="s">
        <v>474</v>
      </c>
      <c r="X77" s="41">
        <v>5</v>
      </c>
      <c r="Y77" s="43"/>
    </row>
    <row r="78" spans="1:25" ht="15" x14ac:dyDescent="0.2">
      <c r="A78" s="59">
        <v>28</v>
      </c>
      <c r="B78" s="60" t="s">
        <v>53</v>
      </c>
      <c r="C78" s="60" t="s">
        <v>42</v>
      </c>
      <c r="D78" s="61">
        <v>13.036</v>
      </c>
      <c r="E78" s="61">
        <v>4.2999999999999997E-2</v>
      </c>
      <c r="F78" s="61">
        <v>1.0720000000000001</v>
      </c>
      <c r="G78" s="62">
        <v>18.7</v>
      </c>
      <c r="H78" s="63">
        <v>18</v>
      </c>
      <c r="I78" s="100">
        <v>33.6</v>
      </c>
      <c r="J78" s="61">
        <v>2.923</v>
      </c>
      <c r="K78" s="61">
        <v>8.6999999999999994E-2</v>
      </c>
      <c r="L78" s="62">
        <v>0</v>
      </c>
      <c r="M78" s="63">
        <v>18</v>
      </c>
      <c r="N78" s="100">
        <v>266.39999999999998</v>
      </c>
      <c r="O78" s="61">
        <v>10.113</v>
      </c>
      <c r="P78" s="61">
        <v>3.7999999999999999E-2</v>
      </c>
      <c r="Q78" s="62">
        <v>18.7</v>
      </c>
      <c r="R78" s="60" t="s">
        <v>486</v>
      </c>
      <c r="S78" s="60" t="s">
        <v>476</v>
      </c>
      <c r="T78" s="63" t="s">
        <v>475</v>
      </c>
      <c r="U78" s="63">
        <v>68</v>
      </c>
      <c r="V78" s="63">
        <v>2</v>
      </c>
      <c r="W78" s="63" t="s">
        <v>474</v>
      </c>
      <c r="X78" s="63">
        <v>5</v>
      </c>
      <c r="Y78" s="64" t="s">
        <v>464</v>
      </c>
    </row>
    <row r="79" spans="1:25" ht="15" x14ac:dyDescent="0.2">
      <c r="A79" s="37">
        <v>33</v>
      </c>
      <c r="B79" s="38" t="s">
        <v>41</v>
      </c>
      <c r="C79" s="38" t="s">
        <v>42</v>
      </c>
      <c r="D79" s="39">
        <v>12.683</v>
      </c>
      <c r="E79" s="39">
        <v>4.2000000000000003E-2</v>
      </c>
      <c r="F79" s="39">
        <v>0.27700000000000002</v>
      </c>
      <c r="G79" s="40">
        <v>17.899999999999999</v>
      </c>
      <c r="H79" s="41">
        <v>20</v>
      </c>
      <c r="I79" s="93">
        <v>19.899999999999999</v>
      </c>
      <c r="J79" s="39">
        <v>2.0870000000000002</v>
      </c>
      <c r="K79" s="39">
        <v>0.105</v>
      </c>
      <c r="L79" s="40">
        <v>0</v>
      </c>
      <c r="M79" s="41">
        <v>21</v>
      </c>
      <c r="N79" s="93">
        <v>280.10000000000002</v>
      </c>
      <c r="O79" s="39">
        <v>10.596</v>
      </c>
      <c r="P79" s="39">
        <v>3.7999999999999999E-2</v>
      </c>
      <c r="Q79" s="40">
        <v>17.899999999999999</v>
      </c>
      <c r="R79" s="38" t="s">
        <v>487</v>
      </c>
      <c r="S79" s="38" t="s">
        <v>476</v>
      </c>
      <c r="T79" s="41" t="s">
        <v>475</v>
      </c>
      <c r="U79" s="41">
        <v>68</v>
      </c>
      <c r="V79" s="41">
        <v>2</v>
      </c>
      <c r="W79" s="41" t="s">
        <v>474</v>
      </c>
      <c r="X79" s="41">
        <v>5</v>
      </c>
      <c r="Y79" s="43" t="s">
        <v>465</v>
      </c>
    </row>
    <row r="80" spans="1:25" ht="16" thickBot="1" x14ac:dyDescent="0.25">
      <c r="A80" s="59">
        <v>44</v>
      </c>
      <c r="B80" s="60" t="s">
        <v>53</v>
      </c>
      <c r="C80" s="60" t="s">
        <v>42</v>
      </c>
      <c r="D80" s="61">
        <v>25.58</v>
      </c>
      <c r="E80" s="61">
        <v>8.5000000000000006E-2</v>
      </c>
      <c r="F80" s="61">
        <v>0.29899999999999999</v>
      </c>
      <c r="G80" s="62">
        <v>10.5</v>
      </c>
      <c r="H80" s="63">
        <v>23</v>
      </c>
      <c r="I80" s="100">
        <v>18.899999999999999</v>
      </c>
      <c r="J80" s="61">
        <v>3.7959999999999998</v>
      </c>
      <c r="K80" s="61">
        <v>0.20100000000000001</v>
      </c>
      <c r="L80" s="62">
        <v>0</v>
      </c>
      <c r="M80" s="63">
        <v>24</v>
      </c>
      <c r="N80" s="100">
        <v>281.10000000000002</v>
      </c>
      <c r="O80" s="61">
        <v>21.783999999999999</v>
      </c>
      <c r="P80" s="61">
        <v>7.6999999999999999E-2</v>
      </c>
      <c r="Q80" s="62">
        <v>10.5</v>
      </c>
      <c r="R80" s="60" t="s">
        <v>487</v>
      </c>
      <c r="S80" s="60" t="s">
        <v>476</v>
      </c>
      <c r="T80" s="63" t="s">
        <v>475</v>
      </c>
      <c r="U80" s="63">
        <v>42</v>
      </c>
      <c r="V80" s="63">
        <v>1</v>
      </c>
      <c r="W80" s="63" t="s">
        <v>474</v>
      </c>
      <c r="X80" s="63">
        <v>5</v>
      </c>
      <c r="Y80" s="64"/>
    </row>
    <row r="81" spans="1:25" ht="16" thickBot="1" x14ac:dyDescent="0.2">
      <c r="A81" s="84" t="s">
        <v>507</v>
      </c>
      <c r="B81" s="85"/>
      <c r="C81" s="85"/>
      <c r="D81" s="234">
        <f>AVERAGE(D73:D80)</f>
        <v>14.484374999999998</v>
      </c>
      <c r="E81" s="86"/>
      <c r="F81" s="86"/>
      <c r="G81" s="87"/>
      <c r="H81" s="86"/>
      <c r="I81" s="94">
        <f>AVERAGE(I73:I80)</f>
        <v>30.275000000000002</v>
      </c>
      <c r="J81" s="88"/>
      <c r="K81" s="88"/>
      <c r="L81" s="88"/>
      <c r="M81" s="88"/>
      <c r="N81" s="94">
        <f>AVERAGE(N73:N80)</f>
        <v>269.72499999999997</v>
      </c>
      <c r="O81" s="88"/>
      <c r="P81" s="88"/>
      <c r="Q81" s="88"/>
      <c r="R81" s="88"/>
      <c r="S81" s="88"/>
      <c r="T81" s="88"/>
      <c r="U81" s="89"/>
      <c r="V81" s="90"/>
      <c r="W81" s="88"/>
      <c r="X81" s="88"/>
      <c r="Y81" s="88"/>
    </row>
    <row r="82" spans="1:25" x14ac:dyDescent="0.15">
      <c r="A82" s="29"/>
      <c r="B82" s="29"/>
      <c r="C82" s="29"/>
      <c r="D82" s="29"/>
      <c r="E82" s="29"/>
      <c r="F82" s="29"/>
      <c r="G82" s="29"/>
      <c r="H82" s="29"/>
      <c r="I82" s="96"/>
      <c r="J82" s="29"/>
      <c r="K82" s="29"/>
      <c r="L82" s="29"/>
      <c r="M82" s="29"/>
      <c r="N82" s="96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x14ac:dyDescent="0.15">
      <c r="A83" s="29"/>
      <c r="B83" s="29"/>
      <c r="C83" s="29"/>
      <c r="D83" s="29"/>
      <c r="E83" s="29"/>
      <c r="F83" s="29"/>
      <c r="G83" s="29"/>
      <c r="H83" s="29"/>
      <c r="I83" s="96"/>
      <c r="J83" s="29"/>
      <c r="K83" s="29"/>
      <c r="L83" s="29"/>
      <c r="M83" s="29"/>
      <c r="N83" s="96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5" x14ac:dyDescent="0.15">
      <c r="A84" s="44" t="s">
        <v>0</v>
      </c>
      <c r="B84" s="35" t="s">
        <v>2</v>
      </c>
      <c r="C84" s="35" t="s">
        <v>3</v>
      </c>
      <c r="D84" s="45" t="s">
        <v>7</v>
      </c>
      <c r="E84" s="45" t="s">
        <v>8</v>
      </c>
      <c r="F84" s="45" t="s">
        <v>9</v>
      </c>
      <c r="G84" s="46" t="s">
        <v>10</v>
      </c>
      <c r="H84" s="47" t="s">
        <v>29</v>
      </c>
      <c r="I84" s="97" t="s">
        <v>30</v>
      </c>
      <c r="J84" s="45" t="s">
        <v>31</v>
      </c>
      <c r="K84" s="45" t="s">
        <v>32</v>
      </c>
      <c r="L84" s="46" t="s">
        <v>33</v>
      </c>
      <c r="M84" s="47" t="s">
        <v>34</v>
      </c>
      <c r="N84" s="97" t="s">
        <v>35</v>
      </c>
      <c r="O84" s="45" t="s">
        <v>36</v>
      </c>
      <c r="P84" s="45" t="s">
        <v>37</v>
      </c>
      <c r="Q84" s="46" t="s">
        <v>38</v>
      </c>
      <c r="R84" s="47" t="s">
        <v>485</v>
      </c>
      <c r="S84" s="35" t="s">
        <v>478</v>
      </c>
      <c r="T84" s="35" t="s">
        <v>479</v>
      </c>
      <c r="U84" s="47" t="s">
        <v>480</v>
      </c>
      <c r="V84" s="46" t="s">
        <v>481</v>
      </c>
      <c r="W84" s="35" t="s">
        <v>482</v>
      </c>
      <c r="X84" s="35" t="s">
        <v>483</v>
      </c>
      <c r="Y84" s="36" t="s">
        <v>484</v>
      </c>
    </row>
    <row r="85" spans="1:25" ht="15" x14ac:dyDescent="0.15">
      <c r="A85" s="48">
        <v>3</v>
      </c>
      <c r="B85" s="42" t="s">
        <v>49</v>
      </c>
      <c r="C85" s="42" t="s">
        <v>270</v>
      </c>
      <c r="D85" s="49">
        <v>4.157</v>
      </c>
      <c r="E85" s="49">
        <v>1.4E-2</v>
      </c>
      <c r="F85" s="49">
        <v>0.245</v>
      </c>
      <c r="G85" s="50">
        <v>29.8</v>
      </c>
      <c r="H85" s="51">
        <v>13</v>
      </c>
      <c r="I85" s="98">
        <v>64.099999999999994</v>
      </c>
      <c r="J85" s="49">
        <v>1.149</v>
      </c>
      <c r="K85" s="49">
        <v>1.7999999999999999E-2</v>
      </c>
      <c r="L85" s="50">
        <v>3.9</v>
      </c>
      <c r="M85" s="51">
        <v>14</v>
      </c>
      <c r="N85" s="98">
        <v>235.9</v>
      </c>
      <c r="O85" s="49">
        <v>3.008</v>
      </c>
      <c r="P85" s="49">
        <v>1.2999999999999999E-2</v>
      </c>
      <c r="Q85" s="50">
        <v>25.9</v>
      </c>
      <c r="R85" s="42" t="s">
        <v>486</v>
      </c>
      <c r="S85" s="42" t="s">
        <v>476</v>
      </c>
      <c r="T85" s="42" t="s">
        <v>475</v>
      </c>
      <c r="U85" s="51">
        <v>177</v>
      </c>
      <c r="V85" s="50">
        <v>5.9</v>
      </c>
      <c r="W85" s="50" t="s">
        <v>474</v>
      </c>
      <c r="X85" s="42">
        <v>5</v>
      </c>
      <c r="Y85" s="52" t="s">
        <v>458</v>
      </c>
    </row>
    <row r="86" spans="1:25" ht="15" x14ac:dyDescent="0.15">
      <c r="A86" s="48">
        <v>7</v>
      </c>
      <c r="B86" s="42" t="s">
        <v>49</v>
      </c>
      <c r="C86" s="42" t="s">
        <v>270</v>
      </c>
      <c r="D86" s="49">
        <v>8.9640000000000004</v>
      </c>
      <c r="E86" s="49">
        <v>0.03</v>
      </c>
      <c r="F86" s="49">
        <v>0.28499999999999998</v>
      </c>
      <c r="G86" s="50">
        <v>23.5</v>
      </c>
      <c r="H86" s="51">
        <v>22</v>
      </c>
      <c r="I86" s="98">
        <v>16.5</v>
      </c>
      <c r="J86" s="49">
        <v>1.242</v>
      </c>
      <c r="K86" s="49">
        <v>7.4999999999999997E-2</v>
      </c>
      <c r="L86" s="50">
        <v>0</v>
      </c>
      <c r="M86" s="51">
        <v>23</v>
      </c>
      <c r="N86" s="98">
        <v>283.5</v>
      </c>
      <c r="O86" s="49">
        <v>7.7220000000000004</v>
      </c>
      <c r="P86" s="49">
        <v>2.7E-2</v>
      </c>
      <c r="Q86" s="50">
        <v>23.5</v>
      </c>
      <c r="R86" s="42" t="s">
        <v>487</v>
      </c>
      <c r="S86" s="42" t="s">
        <v>476</v>
      </c>
      <c r="T86" s="42" t="s">
        <v>475</v>
      </c>
      <c r="U86" s="51">
        <v>177</v>
      </c>
      <c r="V86" s="50">
        <v>5.9</v>
      </c>
      <c r="W86" s="50" t="s">
        <v>474</v>
      </c>
      <c r="X86" s="42">
        <v>5</v>
      </c>
      <c r="Y86" s="52"/>
    </row>
    <row r="87" spans="1:25" ht="15" x14ac:dyDescent="0.15">
      <c r="A87" s="48">
        <v>11</v>
      </c>
      <c r="B87" s="42" t="s">
        <v>49</v>
      </c>
      <c r="C87" s="42" t="s">
        <v>270</v>
      </c>
      <c r="D87" s="49">
        <v>5.4340000000000002</v>
      </c>
      <c r="E87" s="49">
        <v>1.7999999999999999E-2</v>
      </c>
      <c r="F87" s="49">
        <v>0.21299999999999999</v>
      </c>
      <c r="G87" s="50">
        <v>25.6</v>
      </c>
      <c r="H87" s="51">
        <v>6</v>
      </c>
      <c r="I87" s="98">
        <v>63.1</v>
      </c>
      <c r="J87" s="49">
        <v>0.77200000000000002</v>
      </c>
      <c r="K87" s="49">
        <v>1.2E-2</v>
      </c>
      <c r="L87" s="50">
        <v>8.3000000000000007</v>
      </c>
      <c r="M87" s="51">
        <v>7</v>
      </c>
      <c r="N87" s="98">
        <v>236.9</v>
      </c>
      <c r="O87" s="49">
        <v>4.6619999999999999</v>
      </c>
      <c r="P87" s="49">
        <v>0.02</v>
      </c>
      <c r="Q87" s="50">
        <v>17.3</v>
      </c>
      <c r="R87" s="42" t="s">
        <v>487</v>
      </c>
      <c r="S87" s="42" t="s">
        <v>476</v>
      </c>
      <c r="T87" s="42" t="s">
        <v>475</v>
      </c>
      <c r="U87" s="51">
        <v>177</v>
      </c>
      <c r="V87" s="50">
        <v>5.9</v>
      </c>
      <c r="W87" s="50" t="s">
        <v>474</v>
      </c>
      <c r="X87" s="42">
        <v>5</v>
      </c>
      <c r="Y87" s="52" t="s">
        <v>462</v>
      </c>
    </row>
    <row r="88" spans="1:25" ht="15" x14ac:dyDescent="0.15">
      <c r="A88" s="53">
        <v>21</v>
      </c>
      <c r="B88" s="54" t="s">
        <v>53</v>
      </c>
      <c r="C88" s="54" t="s">
        <v>270</v>
      </c>
      <c r="D88" s="55">
        <v>10.236000000000001</v>
      </c>
      <c r="E88" s="55">
        <v>3.4000000000000002E-2</v>
      </c>
      <c r="F88" s="55">
        <v>0.28699999999999998</v>
      </c>
      <c r="G88" s="56">
        <v>37.9</v>
      </c>
      <c r="H88" s="57">
        <v>14</v>
      </c>
      <c r="I88" s="99">
        <v>17.899999999999999</v>
      </c>
      <c r="J88" s="55">
        <v>1.8680000000000001</v>
      </c>
      <c r="K88" s="55">
        <v>0.104</v>
      </c>
      <c r="L88" s="56">
        <v>0</v>
      </c>
      <c r="M88" s="57">
        <v>15</v>
      </c>
      <c r="N88" s="99">
        <v>282.10000000000002</v>
      </c>
      <c r="O88" s="55">
        <v>8.3680000000000003</v>
      </c>
      <c r="P88" s="55">
        <v>0.03</v>
      </c>
      <c r="Q88" s="56">
        <v>37.9</v>
      </c>
      <c r="R88" s="54" t="s">
        <v>487</v>
      </c>
      <c r="S88" s="54" t="s">
        <v>476</v>
      </c>
      <c r="T88" s="54" t="s">
        <v>475</v>
      </c>
      <c r="U88" s="57">
        <v>159</v>
      </c>
      <c r="V88" s="56">
        <v>5.3</v>
      </c>
      <c r="W88" s="54" t="s">
        <v>474</v>
      </c>
      <c r="X88" s="54">
        <v>5</v>
      </c>
      <c r="Y88" s="58"/>
    </row>
    <row r="89" spans="1:25" ht="15" x14ac:dyDescent="0.15">
      <c r="A89" s="48">
        <v>24</v>
      </c>
      <c r="B89" s="42" t="s">
        <v>46</v>
      </c>
      <c r="C89" s="42" t="s">
        <v>270</v>
      </c>
      <c r="D89" s="49">
        <v>4.8360000000000003</v>
      </c>
      <c r="E89" s="49">
        <v>1.6E-2</v>
      </c>
      <c r="F89" s="49">
        <v>0.224</v>
      </c>
      <c r="G89" s="50">
        <v>96.8</v>
      </c>
      <c r="H89" s="51">
        <v>5</v>
      </c>
      <c r="I89" s="98">
        <v>7.9</v>
      </c>
      <c r="J89" s="49">
        <v>0.63100000000000001</v>
      </c>
      <c r="K89" s="49">
        <v>7.9000000000000001E-2</v>
      </c>
      <c r="L89" s="50">
        <v>0</v>
      </c>
      <c r="M89" s="51">
        <v>6</v>
      </c>
      <c r="N89" s="98">
        <v>292.10000000000002</v>
      </c>
      <c r="O89" s="49">
        <v>4.2050000000000001</v>
      </c>
      <c r="P89" s="49">
        <v>1.4E-2</v>
      </c>
      <c r="Q89" s="50">
        <v>96.8</v>
      </c>
      <c r="R89" s="42" t="s">
        <v>486</v>
      </c>
      <c r="S89" s="42" t="s">
        <v>476</v>
      </c>
      <c r="T89" s="42" t="s">
        <v>475</v>
      </c>
      <c r="U89" s="51">
        <v>151</v>
      </c>
      <c r="V89" s="50">
        <v>5</v>
      </c>
      <c r="W89" s="42" t="s">
        <v>474</v>
      </c>
      <c r="X89" s="42">
        <v>5</v>
      </c>
      <c r="Y89" s="52"/>
    </row>
    <row r="90" spans="1:25" ht="15" x14ac:dyDescent="0.15">
      <c r="A90" s="48">
        <v>28</v>
      </c>
      <c r="B90" s="42" t="s">
        <v>41</v>
      </c>
      <c r="C90" s="42" t="s">
        <v>270</v>
      </c>
      <c r="D90" s="49">
        <v>3.383</v>
      </c>
      <c r="E90" s="49">
        <v>1.0999999999999999E-2</v>
      </c>
      <c r="F90" s="49">
        <v>0.27700000000000002</v>
      </c>
      <c r="G90" s="50">
        <v>143.6</v>
      </c>
      <c r="H90" s="51">
        <v>3</v>
      </c>
      <c r="I90" s="98">
        <v>2.2999999999999998</v>
      </c>
      <c r="J90" s="49">
        <v>0.64700000000000002</v>
      </c>
      <c r="K90" s="49">
        <v>0.27700000000000002</v>
      </c>
      <c r="L90" s="50">
        <v>0</v>
      </c>
      <c r="M90" s="51">
        <v>4</v>
      </c>
      <c r="N90" s="98">
        <v>297.7</v>
      </c>
      <c r="O90" s="49">
        <v>2.7360000000000002</v>
      </c>
      <c r="P90" s="49">
        <v>8.9999999999999993E-3</v>
      </c>
      <c r="Q90" s="50">
        <v>143.6</v>
      </c>
      <c r="R90" s="42" t="s">
        <v>486</v>
      </c>
      <c r="S90" s="42" t="s">
        <v>476</v>
      </c>
      <c r="T90" s="42" t="s">
        <v>475</v>
      </c>
      <c r="U90" s="51">
        <v>151</v>
      </c>
      <c r="V90" s="50">
        <v>5</v>
      </c>
      <c r="W90" s="42" t="s">
        <v>474</v>
      </c>
      <c r="X90" s="42">
        <v>5</v>
      </c>
      <c r="Y90" s="52" t="s">
        <v>464</v>
      </c>
    </row>
    <row r="91" spans="1:25" ht="15" x14ac:dyDescent="0.15">
      <c r="A91" s="48">
        <v>33</v>
      </c>
      <c r="B91" s="42" t="s">
        <v>46</v>
      </c>
      <c r="C91" s="42" t="s">
        <v>270</v>
      </c>
      <c r="D91" s="49">
        <v>5.9749999999999996</v>
      </c>
      <c r="E91" s="49">
        <v>0.02</v>
      </c>
      <c r="F91" s="49">
        <v>0.23499999999999999</v>
      </c>
      <c r="G91" s="50">
        <v>63.5</v>
      </c>
      <c r="H91" s="51">
        <v>7</v>
      </c>
      <c r="I91" s="98">
        <v>27.3</v>
      </c>
      <c r="J91" s="49">
        <v>1.21</v>
      </c>
      <c r="K91" s="49">
        <v>4.3999999999999997E-2</v>
      </c>
      <c r="L91" s="50">
        <v>3.3</v>
      </c>
      <c r="M91" s="51">
        <v>8</v>
      </c>
      <c r="N91" s="98">
        <v>272.7</v>
      </c>
      <c r="O91" s="49">
        <v>4.7640000000000002</v>
      </c>
      <c r="P91" s="49">
        <v>1.7000000000000001E-2</v>
      </c>
      <c r="Q91" s="50">
        <v>60.2</v>
      </c>
      <c r="R91" s="42" t="s">
        <v>487</v>
      </c>
      <c r="S91" s="42" t="s">
        <v>476</v>
      </c>
      <c r="T91" s="42" t="s">
        <v>475</v>
      </c>
      <c r="U91" s="51">
        <v>151</v>
      </c>
      <c r="V91" s="50">
        <v>5</v>
      </c>
      <c r="W91" s="42" t="s">
        <v>474</v>
      </c>
      <c r="X91" s="42">
        <v>5</v>
      </c>
      <c r="Y91" s="52" t="s">
        <v>465</v>
      </c>
    </row>
    <row r="92" spans="1:25" ht="16" thickBot="1" x14ac:dyDescent="0.2">
      <c r="A92" s="48">
        <v>44</v>
      </c>
      <c r="B92" s="42" t="s">
        <v>41</v>
      </c>
      <c r="C92" s="42" t="s">
        <v>270</v>
      </c>
      <c r="D92" s="49">
        <v>14.189</v>
      </c>
      <c r="E92" s="49">
        <v>4.7E-2</v>
      </c>
      <c r="F92" s="49">
        <v>0.28399999999999997</v>
      </c>
      <c r="G92" s="50">
        <v>15</v>
      </c>
      <c r="H92" s="51">
        <v>22</v>
      </c>
      <c r="I92" s="98">
        <v>46.1</v>
      </c>
      <c r="J92" s="49">
        <v>2.343</v>
      </c>
      <c r="K92" s="49">
        <v>5.0999999999999997E-2</v>
      </c>
      <c r="L92" s="50">
        <v>2.2000000000000002</v>
      </c>
      <c r="M92" s="51">
        <v>23</v>
      </c>
      <c r="N92" s="98">
        <v>253.9</v>
      </c>
      <c r="O92" s="49">
        <v>11.846</v>
      </c>
      <c r="P92" s="49">
        <v>4.7E-2</v>
      </c>
      <c r="Q92" s="50">
        <v>12.8</v>
      </c>
      <c r="R92" s="42" t="s">
        <v>487</v>
      </c>
      <c r="S92" s="42" t="s">
        <v>476</v>
      </c>
      <c r="T92" s="42" t="s">
        <v>475</v>
      </c>
      <c r="U92" s="51">
        <v>125</v>
      </c>
      <c r="V92" s="50">
        <v>4.2</v>
      </c>
      <c r="W92" s="50" t="s">
        <v>474</v>
      </c>
      <c r="X92" s="42">
        <v>5</v>
      </c>
      <c r="Y92" s="52"/>
    </row>
    <row r="93" spans="1:25" ht="16" thickBot="1" x14ac:dyDescent="0.2">
      <c r="A93" s="84" t="s">
        <v>507</v>
      </c>
      <c r="B93" s="85"/>
      <c r="C93" s="85"/>
      <c r="D93" s="234">
        <f>AVERAGE(D85:D92)</f>
        <v>7.1467500000000008</v>
      </c>
      <c r="E93" s="86"/>
      <c r="F93" s="86"/>
      <c r="G93" s="87"/>
      <c r="H93" s="86"/>
      <c r="I93" s="94">
        <f>AVERAGE(I85:I92)</f>
        <v>30.650000000000002</v>
      </c>
      <c r="J93" s="88"/>
      <c r="K93" s="88"/>
      <c r="L93" s="88"/>
      <c r="M93" s="88"/>
      <c r="N93" s="94">
        <f>AVERAGE(N85:N92)</f>
        <v>269.35000000000002</v>
      </c>
      <c r="O93" s="88"/>
      <c r="P93" s="88"/>
      <c r="Q93" s="88"/>
      <c r="R93" s="88"/>
      <c r="S93" s="88"/>
      <c r="T93" s="88"/>
      <c r="U93" s="89"/>
      <c r="V93" s="90"/>
      <c r="W93" s="88"/>
      <c r="X93" s="88"/>
      <c r="Y93" s="88"/>
    </row>
    <row r="96" spans="1:25" x14ac:dyDescent="0.15">
      <c r="A96" s="29" t="s">
        <v>493</v>
      </c>
    </row>
    <row r="97" spans="1:25" ht="15" x14ac:dyDescent="0.2">
      <c r="A97" s="30" t="s">
        <v>0</v>
      </c>
      <c r="B97" s="31" t="s">
        <v>2</v>
      </c>
      <c r="C97" s="31" t="s">
        <v>3</v>
      </c>
      <c r="D97" s="32" t="s">
        <v>7</v>
      </c>
      <c r="E97" s="32" t="s">
        <v>8</v>
      </c>
      <c r="F97" s="32" t="s">
        <v>9</v>
      </c>
      <c r="G97" s="33" t="s">
        <v>10</v>
      </c>
      <c r="H97" s="34" t="s">
        <v>29</v>
      </c>
      <c r="I97" s="92" t="s">
        <v>30</v>
      </c>
      <c r="J97" s="32" t="s">
        <v>31</v>
      </c>
      <c r="K97" s="32" t="s">
        <v>32</v>
      </c>
      <c r="L97" s="33" t="s">
        <v>33</v>
      </c>
      <c r="M97" s="34" t="s">
        <v>34</v>
      </c>
      <c r="N97" s="92" t="s">
        <v>35</v>
      </c>
      <c r="O97" s="32" t="s">
        <v>36</v>
      </c>
      <c r="P97" s="32" t="s">
        <v>37</v>
      </c>
      <c r="Q97" s="33" t="s">
        <v>38</v>
      </c>
      <c r="R97" s="35" t="s">
        <v>485</v>
      </c>
      <c r="S97" s="35" t="s">
        <v>478</v>
      </c>
      <c r="T97" s="35" t="s">
        <v>479</v>
      </c>
      <c r="U97" s="35" t="s">
        <v>480</v>
      </c>
      <c r="V97" s="35" t="s">
        <v>481</v>
      </c>
      <c r="W97" s="35" t="s">
        <v>482</v>
      </c>
      <c r="X97" s="35" t="s">
        <v>483</v>
      </c>
      <c r="Y97" s="36" t="s">
        <v>484</v>
      </c>
    </row>
    <row r="98" spans="1:25" ht="15" x14ac:dyDescent="0.2">
      <c r="A98" s="37">
        <v>10</v>
      </c>
      <c r="B98" s="38" t="s">
        <v>46</v>
      </c>
      <c r="C98" s="38" t="s">
        <v>42</v>
      </c>
      <c r="D98" s="39">
        <v>11.738</v>
      </c>
      <c r="E98" s="39">
        <v>3.9E-2</v>
      </c>
      <c r="F98" s="39">
        <v>0.21099999999999999</v>
      </c>
      <c r="G98" s="40">
        <v>29.9</v>
      </c>
      <c r="H98" s="41">
        <v>21</v>
      </c>
      <c r="I98" s="93">
        <v>51.8</v>
      </c>
      <c r="J98" s="39">
        <v>2.1589999999999998</v>
      </c>
      <c r="K98" s="39">
        <v>4.2000000000000003E-2</v>
      </c>
      <c r="L98" s="40">
        <v>7.1</v>
      </c>
      <c r="M98" s="41">
        <v>21</v>
      </c>
      <c r="N98" s="93">
        <v>248.2</v>
      </c>
      <c r="O98" s="39">
        <v>9.5790000000000006</v>
      </c>
      <c r="P98" s="39">
        <v>3.9E-2</v>
      </c>
      <c r="Q98" s="40">
        <v>22.8</v>
      </c>
      <c r="R98" s="42" t="s">
        <v>487</v>
      </c>
      <c r="S98" s="42" t="s">
        <v>476</v>
      </c>
      <c r="T98" s="41" t="s">
        <v>475</v>
      </c>
      <c r="U98" s="41">
        <v>94</v>
      </c>
      <c r="V98" s="40">
        <v>3.1</v>
      </c>
      <c r="W98" s="41" t="s">
        <v>477</v>
      </c>
      <c r="X98" s="41">
        <v>6</v>
      </c>
      <c r="Y98" s="43" t="s">
        <v>461</v>
      </c>
    </row>
    <row r="99" spans="1:25" ht="15" x14ac:dyDescent="0.2">
      <c r="A99" s="59">
        <v>12</v>
      </c>
      <c r="B99" s="60" t="s">
        <v>53</v>
      </c>
      <c r="C99" s="60" t="s">
        <v>42</v>
      </c>
      <c r="D99" s="61">
        <v>7.0940000000000003</v>
      </c>
      <c r="E99" s="61">
        <v>2.4E-2</v>
      </c>
      <c r="F99" s="61">
        <v>0.26900000000000002</v>
      </c>
      <c r="G99" s="62">
        <v>95.1</v>
      </c>
      <c r="H99" s="63">
        <v>13</v>
      </c>
      <c r="I99" s="100">
        <v>78.099999999999994</v>
      </c>
      <c r="J99" s="61">
        <v>2.0720000000000001</v>
      </c>
      <c r="K99" s="61">
        <v>2.7E-2</v>
      </c>
      <c r="L99" s="62">
        <v>31.7</v>
      </c>
      <c r="M99" s="63">
        <v>13</v>
      </c>
      <c r="N99" s="100">
        <v>221.9</v>
      </c>
      <c r="O99" s="61">
        <v>5.0220000000000002</v>
      </c>
      <c r="P99" s="61">
        <v>2.3E-2</v>
      </c>
      <c r="Q99" s="62">
        <v>63.3</v>
      </c>
      <c r="R99" s="54" t="s">
        <v>487</v>
      </c>
      <c r="S99" s="54" t="s">
        <v>476</v>
      </c>
      <c r="T99" s="63" t="s">
        <v>475</v>
      </c>
      <c r="U99" s="63">
        <v>94</v>
      </c>
      <c r="V99" s="62">
        <v>3.1</v>
      </c>
      <c r="W99" s="63" t="s">
        <v>477</v>
      </c>
      <c r="X99" s="63">
        <v>6</v>
      </c>
      <c r="Y99" s="64"/>
    </row>
    <row r="100" spans="1:25" ht="15" x14ac:dyDescent="0.2">
      <c r="A100" s="37">
        <v>23</v>
      </c>
      <c r="B100" s="38" t="s">
        <v>49</v>
      </c>
      <c r="C100" s="38" t="s">
        <v>42</v>
      </c>
      <c r="D100" s="39">
        <v>10.276999999999999</v>
      </c>
      <c r="E100" s="39">
        <v>3.4000000000000002E-2</v>
      </c>
      <c r="F100" s="39">
        <v>0.20499999999999999</v>
      </c>
      <c r="G100" s="40">
        <v>38.6</v>
      </c>
      <c r="H100" s="41">
        <v>10</v>
      </c>
      <c r="I100" s="93">
        <v>65.5</v>
      </c>
      <c r="J100" s="39">
        <v>1.9470000000000001</v>
      </c>
      <c r="K100" s="39">
        <v>0.03</v>
      </c>
      <c r="L100" s="40">
        <v>7.9</v>
      </c>
      <c r="M100" s="41">
        <v>11</v>
      </c>
      <c r="N100" s="93">
        <v>234.5</v>
      </c>
      <c r="O100" s="39">
        <v>8.33</v>
      </c>
      <c r="P100" s="39">
        <v>3.5999999999999997E-2</v>
      </c>
      <c r="Q100" s="40">
        <v>30.8</v>
      </c>
      <c r="R100" s="38" t="s">
        <v>486</v>
      </c>
      <c r="S100" s="38" t="s">
        <v>476</v>
      </c>
      <c r="T100" s="41" t="s">
        <v>475</v>
      </c>
      <c r="U100" s="41">
        <v>68</v>
      </c>
      <c r="V100" s="41">
        <v>2</v>
      </c>
      <c r="W100" s="41" t="s">
        <v>477</v>
      </c>
      <c r="X100" s="41">
        <v>6</v>
      </c>
      <c r="Y100" s="43"/>
    </row>
    <row r="101" spans="1:25" ht="15" x14ac:dyDescent="0.2">
      <c r="A101" s="59">
        <v>26</v>
      </c>
      <c r="B101" s="60" t="s">
        <v>46</v>
      </c>
      <c r="C101" s="60" t="s">
        <v>42</v>
      </c>
      <c r="D101" s="61">
        <v>17.007000000000001</v>
      </c>
      <c r="E101" s="61">
        <v>5.7000000000000002E-2</v>
      </c>
      <c r="F101" s="61">
        <v>1.105</v>
      </c>
      <c r="G101" s="62">
        <v>23.1</v>
      </c>
      <c r="H101" s="63">
        <v>21</v>
      </c>
      <c r="I101" s="100">
        <v>32.799999999999997</v>
      </c>
      <c r="J101" s="61">
        <v>3.0619999999999998</v>
      </c>
      <c r="K101" s="61">
        <v>9.2999999999999999E-2</v>
      </c>
      <c r="L101" s="62">
        <v>1.9</v>
      </c>
      <c r="M101" s="63">
        <v>22</v>
      </c>
      <c r="N101" s="100">
        <v>267.2</v>
      </c>
      <c r="O101" s="61">
        <v>13.945</v>
      </c>
      <c r="P101" s="61">
        <v>5.1999999999999998E-2</v>
      </c>
      <c r="Q101" s="62">
        <v>21.2</v>
      </c>
      <c r="R101" s="60" t="s">
        <v>486</v>
      </c>
      <c r="S101" s="60" t="s">
        <v>476</v>
      </c>
      <c r="T101" s="63" t="s">
        <v>475</v>
      </c>
      <c r="U101" s="63">
        <v>68</v>
      </c>
      <c r="V101" s="63">
        <v>2</v>
      </c>
      <c r="W101" s="63" t="s">
        <v>477</v>
      </c>
      <c r="X101" s="63">
        <v>6</v>
      </c>
      <c r="Y101" s="64"/>
    </row>
    <row r="102" spans="1:25" ht="16" thickBot="1" x14ac:dyDescent="0.25">
      <c r="A102" s="37">
        <v>30</v>
      </c>
      <c r="B102" s="38" t="s">
        <v>46</v>
      </c>
      <c r="C102" s="38" t="s">
        <v>42</v>
      </c>
      <c r="D102" s="39">
        <v>19.701000000000001</v>
      </c>
      <c r="E102" s="39">
        <v>6.6000000000000003E-2</v>
      </c>
      <c r="F102" s="39">
        <v>0.34100000000000003</v>
      </c>
      <c r="G102" s="40">
        <v>3.6</v>
      </c>
      <c r="H102" s="41">
        <v>31</v>
      </c>
      <c r="I102" s="93">
        <v>45.3</v>
      </c>
      <c r="J102" s="39">
        <v>4.6550000000000002</v>
      </c>
      <c r="K102" s="39">
        <v>0.10299999999999999</v>
      </c>
      <c r="L102" s="40">
        <v>0</v>
      </c>
      <c r="M102" s="41">
        <v>32</v>
      </c>
      <c r="N102" s="93">
        <v>254.7</v>
      </c>
      <c r="O102" s="39">
        <v>15.045999999999999</v>
      </c>
      <c r="P102" s="39">
        <v>5.8999999999999997E-2</v>
      </c>
      <c r="Q102" s="40">
        <v>3.6</v>
      </c>
      <c r="R102" s="38" t="s">
        <v>487</v>
      </c>
      <c r="S102" s="38" t="s">
        <v>476</v>
      </c>
      <c r="T102" s="41" t="s">
        <v>475</v>
      </c>
      <c r="U102" s="41">
        <v>68</v>
      </c>
      <c r="V102" s="41">
        <v>2</v>
      </c>
      <c r="W102" s="41" t="s">
        <v>477</v>
      </c>
      <c r="X102" s="41">
        <v>6</v>
      </c>
      <c r="Y102" s="43"/>
    </row>
    <row r="103" spans="1:25" ht="16" thickBot="1" x14ac:dyDescent="0.2">
      <c r="A103" s="84" t="s">
        <v>507</v>
      </c>
      <c r="B103" s="85"/>
      <c r="C103" s="85"/>
      <c r="D103" s="234">
        <f>AVERAGE(D98:D102)</f>
        <v>13.163400000000001</v>
      </c>
      <c r="E103" s="86"/>
      <c r="F103" s="86"/>
      <c r="G103" s="87"/>
      <c r="H103" s="86"/>
      <c r="I103" s="94">
        <f>AVERAGE(I98:I102)</f>
        <v>54.7</v>
      </c>
      <c r="J103" s="88"/>
      <c r="K103" s="88"/>
      <c r="L103" s="88"/>
      <c r="M103" s="88"/>
      <c r="N103" s="94">
        <f>AVERAGE(N98:N102)</f>
        <v>245.3</v>
      </c>
      <c r="O103" s="88"/>
      <c r="P103" s="88"/>
      <c r="Q103" s="88"/>
      <c r="R103" s="88"/>
      <c r="S103" s="88"/>
      <c r="T103" s="88"/>
      <c r="U103" s="89"/>
      <c r="V103" s="90"/>
      <c r="W103" s="88"/>
      <c r="X103" s="88"/>
      <c r="Y103" s="88"/>
    </row>
    <row r="104" spans="1:25" x14ac:dyDescent="0.15">
      <c r="A104" s="29"/>
      <c r="B104" s="29"/>
      <c r="C104" s="29"/>
      <c r="D104" s="29"/>
      <c r="E104" s="29"/>
      <c r="F104" s="29"/>
      <c r="G104" s="29"/>
      <c r="H104" s="29"/>
      <c r="I104" s="96"/>
      <c r="J104" s="29"/>
      <c r="K104" s="29"/>
      <c r="L104" s="29"/>
      <c r="M104" s="29"/>
      <c r="N104" s="96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x14ac:dyDescent="0.15">
      <c r="A105" s="29"/>
      <c r="B105" s="29"/>
      <c r="C105" s="29"/>
      <c r="D105" s="29"/>
      <c r="E105" s="29"/>
      <c r="F105" s="29"/>
      <c r="G105" s="29"/>
      <c r="H105" s="29"/>
      <c r="I105" s="96"/>
      <c r="J105" s="29"/>
      <c r="K105" s="29"/>
      <c r="L105" s="29"/>
      <c r="M105" s="29"/>
      <c r="N105" s="96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5" x14ac:dyDescent="0.15">
      <c r="A106" s="44" t="s">
        <v>0</v>
      </c>
      <c r="B106" s="35" t="s">
        <v>2</v>
      </c>
      <c r="C106" s="35" t="s">
        <v>3</v>
      </c>
      <c r="D106" s="45" t="s">
        <v>7</v>
      </c>
      <c r="E106" s="45" t="s">
        <v>8</v>
      </c>
      <c r="F106" s="45" t="s">
        <v>9</v>
      </c>
      <c r="G106" s="46" t="s">
        <v>10</v>
      </c>
      <c r="H106" s="47" t="s">
        <v>29</v>
      </c>
      <c r="I106" s="97" t="s">
        <v>30</v>
      </c>
      <c r="J106" s="45" t="s">
        <v>31</v>
      </c>
      <c r="K106" s="45" t="s">
        <v>32</v>
      </c>
      <c r="L106" s="46" t="s">
        <v>33</v>
      </c>
      <c r="M106" s="47" t="s">
        <v>34</v>
      </c>
      <c r="N106" s="97" t="s">
        <v>35</v>
      </c>
      <c r="O106" s="45" t="s">
        <v>36</v>
      </c>
      <c r="P106" s="45" t="s">
        <v>37</v>
      </c>
      <c r="Q106" s="46" t="s">
        <v>38</v>
      </c>
      <c r="R106" s="47" t="s">
        <v>485</v>
      </c>
      <c r="S106" s="35" t="s">
        <v>478</v>
      </c>
      <c r="T106" s="35" t="s">
        <v>479</v>
      </c>
      <c r="U106" s="47" t="s">
        <v>480</v>
      </c>
      <c r="V106" s="46" t="s">
        <v>481</v>
      </c>
      <c r="W106" s="35" t="s">
        <v>482</v>
      </c>
      <c r="X106" s="35" t="s">
        <v>483</v>
      </c>
      <c r="Y106" s="36" t="s">
        <v>484</v>
      </c>
    </row>
    <row r="107" spans="1:25" ht="15" x14ac:dyDescent="0.15">
      <c r="A107" s="65">
        <v>10</v>
      </c>
      <c r="B107" s="66" t="s">
        <v>46</v>
      </c>
      <c r="C107" s="66" t="s">
        <v>270</v>
      </c>
      <c r="D107" s="67">
        <v>0</v>
      </c>
      <c r="E107" s="67">
        <v>0</v>
      </c>
      <c r="F107" s="67"/>
      <c r="G107" s="68">
        <v>28.7</v>
      </c>
      <c r="H107" s="69">
        <v>1</v>
      </c>
      <c r="I107" s="101">
        <v>300</v>
      </c>
      <c r="J107" s="67">
        <v>0</v>
      </c>
      <c r="K107" s="67">
        <v>0</v>
      </c>
      <c r="L107" s="68">
        <v>28.7</v>
      </c>
      <c r="M107" s="69">
        <v>0</v>
      </c>
      <c r="N107" s="101">
        <v>0</v>
      </c>
      <c r="O107" s="67">
        <v>0</v>
      </c>
      <c r="P107" s="67"/>
      <c r="Q107" s="68">
        <v>0</v>
      </c>
      <c r="R107" s="66" t="s">
        <v>487</v>
      </c>
      <c r="S107" s="66" t="s">
        <v>476</v>
      </c>
      <c r="T107" s="66" t="s">
        <v>475</v>
      </c>
      <c r="U107" s="69">
        <v>177</v>
      </c>
      <c r="V107" s="68">
        <v>5.9</v>
      </c>
      <c r="W107" s="68" t="s">
        <v>477</v>
      </c>
      <c r="X107" s="66">
        <v>6</v>
      </c>
      <c r="Y107" s="70" t="s">
        <v>461</v>
      </c>
    </row>
    <row r="108" spans="1:25" ht="15" x14ac:dyDescent="0.15">
      <c r="A108" s="53">
        <v>12</v>
      </c>
      <c r="B108" s="54" t="s">
        <v>53</v>
      </c>
      <c r="C108" s="54" t="s">
        <v>270</v>
      </c>
      <c r="D108" s="55">
        <v>6.367</v>
      </c>
      <c r="E108" s="55">
        <v>2.1000000000000001E-2</v>
      </c>
      <c r="F108" s="55">
        <v>0.247</v>
      </c>
      <c r="G108" s="56">
        <v>89.4</v>
      </c>
      <c r="H108" s="57">
        <v>7</v>
      </c>
      <c r="I108" s="99">
        <v>82.2</v>
      </c>
      <c r="J108" s="55">
        <v>0.995</v>
      </c>
      <c r="K108" s="55">
        <v>1.2E-2</v>
      </c>
      <c r="L108" s="56">
        <v>39.5</v>
      </c>
      <c r="M108" s="57">
        <v>8</v>
      </c>
      <c r="N108" s="99">
        <v>217.8</v>
      </c>
      <c r="O108" s="55">
        <v>5.3719999999999999</v>
      </c>
      <c r="P108" s="55">
        <v>2.5000000000000001E-2</v>
      </c>
      <c r="Q108" s="56">
        <v>49.9</v>
      </c>
      <c r="R108" s="54" t="s">
        <v>487</v>
      </c>
      <c r="S108" s="54" t="s">
        <v>476</v>
      </c>
      <c r="T108" s="54" t="s">
        <v>475</v>
      </c>
      <c r="U108" s="57">
        <v>177</v>
      </c>
      <c r="V108" s="56">
        <v>5.9</v>
      </c>
      <c r="W108" s="56" t="s">
        <v>477</v>
      </c>
      <c r="X108" s="54">
        <v>6</v>
      </c>
      <c r="Y108" s="58"/>
    </row>
    <row r="109" spans="1:25" ht="15" x14ac:dyDescent="0.15">
      <c r="A109" s="48">
        <v>23</v>
      </c>
      <c r="B109" s="42" t="s">
        <v>41</v>
      </c>
      <c r="C109" s="42" t="s">
        <v>270</v>
      </c>
      <c r="D109" s="49">
        <v>8.5869999999999997</v>
      </c>
      <c r="E109" s="49">
        <v>2.9000000000000001E-2</v>
      </c>
      <c r="F109" s="49">
        <v>0.23699999999999999</v>
      </c>
      <c r="G109" s="50">
        <v>38.6</v>
      </c>
      <c r="H109" s="51">
        <v>13</v>
      </c>
      <c r="I109" s="98">
        <v>21.9</v>
      </c>
      <c r="J109" s="49">
        <v>1.4870000000000001</v>
      </c>
      <c r="K109" s="49">
        <v>6.8000000000000005E-2</v>
      </c>
      <c r="L109" s="50">
        <v>0</v>
      </c>
      <c r="M109" s="51">
        <v>14</v>
      </c>
      <c r="N109" s="98">
        <v>278.10000000000002</v>
      </c>
      <c r="O109" s="49">
        <v>7.101</v>
      </c>
      <c r="P109" s="49">
        <v>2.5999999999999999E-2</v>
      </c>
      <c r="Q109" s="50">
        <v>38.6</v>
      </c>
      <c r="R109" s="42" t="s">
        <v>486</v>
      </c>
      <c r="S109" s="42" t="s">
        <v>476</v>
      </c>
      <c r="T109" s="42" t="s">
        <v>475</v>
      </c>
      <c r="U109" s="51">
        <v>151</v>
      </c>
      <c r="V109" s="50">
        <v>5</v>
      </c>
      <c r="W109" s="42" t="s">
        <v>477</v>
      </c>
      <c r="X109" s="42">
        <v>6</v>
      </c>
      <c r="Y109" s="52"/>
    </row>
    <row r="110" spans="1:25" ht="15" x14ac:dyDescent="0.15">
      <c r="A110" s="48">
        <v>26</v>
      </c>
      <c r="B110" s="42" t="s">
        <v>49</v>
      </c>
      <c r="C110" s="42" t="s">
        <v>270</v>
      </c>
      <c r="D110" s="49">
        <v>7.1840000000000002</v>
      </c>
      <c r="E110" s="49">
        <v>2.4E-2</v>
      </c>
      <c r="F110" s="49">
        <v>0.26100000000000001</v>
      </c>
      <c r="G110" s="50">
        <v>21</v>
      </c>
      <c r="H110" s="51">
        <v>18</v>
      </c>
      <c r="I110" s="98">
        <v>42.8</v>
      </c>
      <c r="J110" s="49">
        <v>1.3129999999999999</v>
      </c>
      <c r="K110" s="49">
        <v>3.1E-2</v>
      </c>
      <c r="L110" s="50">
        <v>2.9</v>
      </c>
      <c r="M110" s="51">
        <v>18</v>
      </c>
      <c r="N110" s="98">
        <v>257.2</v>
      </c>
      <c r="O110" s="49">
        <v>5.8710000000000004</v>
      </c>
      <c r="P110" s="49">
        <v>2.3E-2</v>
      </c>
      <c r="Q110" s="50">
        <v>18.100000000000001</v>
      </c>
      <c r="R110" s="42" t="s">
        <v>486</v>
      </c>
      <c r="S110" s="42" t="s">
        <v>476</v>
      </c>
      <c r="T110" s="42" t="s">
        <v>475</v>
      </c>
      <c r="U110" s="51">
        <v>151</v>
      </c>
      <c r="V110" s="50">
        <v>5</v>
      </c>
      <c r="W110" s="42" t="s">
        <v>477</v>
      </c>
      <c r="X110" s="42">
        <v>6</v>
      </c>
      <c r="Y110" s="52"/>
    </row>
    <row r="111" spans="1:25" ht="16" thickBot="1" x14ac:dyDescent="0.2">
      <c r="A111" s="48">
        <v>30</v>
      </c>
      <c r="B111" s="42" t="s">
        <v>49</v>
      </c>
      <c r="C111" s="42" t="s">
        <v>270</v>
      </c>
      <c r="D111" s="49">
        <v>4.3120000000000003</v>
      </c>
      <c r="E111" s="49">
        <v>1.4E-2</v>
      </c>
      <c r="F111" s="49">
        <v>0.192</v>
      </c>
      <c r="G111" s="50">
        <v>55.5</v>
      </c>
      <c r="H111" s="51">
        <v>5</v>
      </c>
      <c r="I111" s="98">
        <v>3.6</v>
      </c>
      <c r="J111" s="49">
        <v>0.40699999999999997</v>
      </c>
      <c r="K111" s="49">
        <v>0.115</v>
      </c>
      <c r="L111" s="50">
        <v>0</v>
      </c>
      <c r="M111" s="51">
        <v>6</v>
      </c>
      <c r="N111" s="98">
        <v>296.39999999999998</v>
      </c>
      <c r="O111" s="49">
        <v>3.9049999999999998</v>
      </c>
      <c r="P111" s="49">
        <v>1.2999999999999999E-2</v>
      </c>
      <c r="Q111" s="50">
        <v>55.5</v>
      </c>
      <c r="R111" s="42" t="s">
        <v>487</v>
      </c>
      <c r="S111" s="42" t="s">
        <v>476</v>
      </c>
      <c r="T111" s="42" t="s">
        <v>475</v>
      </c>
      <c r="U111" s="51">
        <v>151</v>
      </c>
      <c r="V111" s="50">
        <v>5</v>
      </c>
      <c r="W111" s="42" t="s">
        <v>477</v>
      </c>
      <c r="X111" s="42">
        <v>6</v>
      </c>
      <c r="Y111" s="52"/>
    </row>
    <row r="112" spans="1:25" ht="16" thickBot="1" x14ac:dyDescent="0.2">
      <c r="A112" s="84" t="s">
        <v>507</v>
      </c>
      <c r="B112" s="85"/>
      <c r="C112" s="85"/>
      <c r="D112" s="234">
        <f>AVERAGE(D108:D111)</f>
        <v>6.6125000000000007</v>
      </c>
      <c r="E112" s="86"/>
      <c r="F112" s="86"/>
      <c r="G112" s="87"/>
      <c r="H112" s="86"/>
      <c r="I112" s="94">
        <f>AVERAGE(I107:I111)</f>
        <v>90.1</v>
      </c>
      <c r="J112" s="88"/>
      <c r="K112" s="88"/>
      <c r="L112" s="88"/>
      <c r="M112" s="88"/>
      <c r="N112" s="94">
        <f>AVERAGE(N107:N111)</f>
        <v>209.9</v>
      </c>
      <c r="O112" s="88"/>
      <c r="P112" s="88"/>
      <c r="Q112" s="88"/>
      <c r="R112" s="88"/>
      <c r="S112" s="88"/>
      <c r="T112" s="88"/>
      <c r="U112" s="89"/>
      <c r="V112" s="90"/>
      <c r="W112" s="88"/>
      <c r="X112" s="88"/>
      <c r="Y112" s="88"/>
    </row>
    <row r="116" spans="1:25" x14ac:dyDescent="0.15">
      <c r="A116" s="29" t="s">
        <v>494</v>
      </c>
    </row>
    <row r="117" spans="1:25" ht="15" x14ac:dyDescent="0.2">
      <c r="A117" s="30" t="s">
        <v>0</v>
      </c>
      <c r="B117" s="31" t="s">
        <v>2</v>
      </c>
      <c r="C117" s="31" t="s">
        <v>3</v>
      </c>
      <c r="D117" s="32" t="s">
        <v>7</v>
      </c>
      <c r="E117" s="32" t="s">
        <v>8</v>
      </c>
      <c r="F117" s="32" t="s">
        <v>9</v>
      </c>
      <c r="G117" s="33" t="s">
        <v>10</v>
      </c>
      <c r="H117" s="34" t="s">
        <v>29</v>
      </c>
      <c r="I117" s="92" t="s">
        <v>30</v>
      </c>
      <c r="J117" s="32" t="s">
        <v>31</v>
      </c>
      <c r="K117" s="32" t="s">
        <v>32</v>
      </c>
      <c r="L117" s="33" t="s">
        <v>33</v>
      </c>
      <c r="M117" s="34" t="s">
        <v>34</v>
      </c>
      <c r="N117" s="92" t="s">
        <v>35</v>
      </c>
      <c r="O117" s="32" t="s">
        <v>36</v>
      </c>
      <c r="P117" s="32" t="s">
        <v>37</v>
      </c>
      <c r="Q117" s="33" t="s">
        <v>38</v>
      </c>
      <c r="R117" s="35" t="s">
        <v>485</v>
      </c>
      <c r="S117" s="35" t="s">
        <v>478</v>
      </c>
      <c r="T117" s="35" t="s">
        <v>479</v>
      </c>
      <c r="U117" s="35" t="s">
        <v>480</v>
      </c>
      <c r="V117" s="35" t="s">
        <v>481</v>
      </c>
      <c r="W117" s="35" t="s">
        <v>482</v>
      </c>
      <c r="X117" s="35" t="s">
        <v>483</v>
      </c>
      <c r="Y117" s="36" t="s">
        <v>484</v>
      </c>
    </row>
    <row r="118" spans="1:25" ht="15" x14ac:dyDescent="0.2">
      <c r="A118" s="37">
        <v>5</v>
      </c>
      <c r="B118" s="38" t="s">
        <v>41</v>
      </c>
      <c r="C118" s="38" t="s">
        <v>42</v>
      </c>
      <c r="D118" s="39">
        <v>10.15</v>
      </c>
      <c r="E118" s="39">
        <v>3.4000000000000002E-2</v>
      </c>
      <c r="F118" s="39">
        <v>0.251</v>
      </c>
      <c r="G118" s="40">
        <v>11.1</v>
      </c>
      <c r="H118" s="41">
        <v>24</v>
      </c>
      <c r="I118" s="93">
        <v>90.5</v>
      </c>
      <c r="J118" s="39">
        <v>3.2869999999999999</v>
      </c>
      <c r="K118" s="39">
        <v>3.5999999999999997E-2</v>
      </c>
      <c r="L118" s="40">
        <v>2.5</v>
      </c>
      <c r="M118" s="41">
        <v>25</v>
      </c>
      <c r="N118" s="93">
        <v>209.5</v>
      </c>
      <c r="O118" s="39">
        <v>6.8630000000000004</v>
      </c>
      <c r="P118" s="39">
        <v>3.3000000000000002E-2</v>
      </c>
      <c r="Q118" s="40">
        <v>8.6</v>
      </c>
      <c r="R118" s="42" t="s">
        <v>486</v>
      </c>
      <c r="S118" s="42" t="s">
        <v>476</v>
      </c>
      <c r="T118" s="41" t="s">
        <v>473</v>
      </c>
      <c r="U118" s="41">
        <v>94</v>
      </c>
      <c r="V118" s="40">
        <v>3.1</v>
      </c>
      <c r="W118" s="41" t="s">
        <v>474</v>
      </c>
      <c r="X118" s="41">
        <v>7</v>
      </c>
      <c r="Y118" s="43" t="s">
        <v>458</v>
      </c>
    </row>
    <row r="119" spans="1:25" ht="15" x14ac:dyDescent="0.2">
      <c r="A119" s="37">
        <v>9</v>
      </c>
      <c r="B119" s="38" t="s">
        <v>41</v>
      </c>
      <c r="C119" s="38" t="s">
        <v>42</v>
      </c>
      <c r="D119" s="39">
        <v>11.808999999999999</v>
      </c>
      <c r="E119" s="39">
        <v>3.9E-2</v>
      </c>
      <c r="F119" s="39">
        <v>0.28499999999999998</v>
      </c>
      <c r="G119" s="40">
        <v>20.5</v>
      </c>
      <c r="H119" s="41">
        <v>19</v>
      </c>
      <c r="I119" s="93">
        <v>23.4</v>
      </c>
      <c r="J119" s="39">
        <v>1.9850000000000001</v>
      </c>
      <c r="K119" s="39">
        <v>8.5000000000000006E-2</v>
      </c>
      <c r="L119" s="40">
        <v>0</v>
      </c>
      <c r="M119" s="41">
        <v>20</v>
      </c>
      <c r="N119" s="93">
        <v>276.60000000000002</v>
      </c>
      <c r="O119" s="39">
        <v>9.8230000000000004</v>
      </c>
      <c r="P119" s="39">
        <v>3.5999999999999997E-2</v>
      </c>
      <c r="Q119" s="40">
        <v>20.5</v>
      </c>
      <c r="R119" s="42" t="s">
        <v>487</v>
      </c>
      <c r="S119" s="42" t="s">
        <v>476</v>
      </c>
      <c r="T119" s="41" t="s">
        <v>473</v>
      </c>
      <c r="U119" s="41">
        <v>94</v>
      </c>
      <c r="V119" s="40">
        <v>3.1</v>
      </c>
      <c r="W119" s="41" t="s">
        <v>474</v>
      </c>
      <c r="X119" s="41">
        <v>7</v>
      </c>
      <c r="Y119" s="43" t="s">
        <v>460</v>
      </c>
    </row>
    <row r="120" spans="1:25" ht="15" x14ac:dyDescent="0.2">
      <c r="A120" s="37">
        <v>16</v>
      </c>
      <c r="B120" s="38" t="s">
        <v>53</v>
      </c>
      <c r="C120" s="38" t="s">
        <v>42</v>
      </c>
      <c r="D120" s="39">
        <v>23.18</v>
      </c>
      <c r="E120" s="39">
        <v>7.6999999999999999E-2</v>
      </c>
      <c r="F120" s="39">
        <v>0.40699999999999997</v>
      </c>
      <c r="G120" s="40">
        <v>17.2</v>
      </c>
      <c r="H120" s="41">
        <v>29</v>
      </c>
      <c r="I120" s="93">
        <v>59.8</v>
      </c>
      <c r="J120" s="39">
        <v>5.5279999999999996</v>
      </c>
      <c r="K120" s="39">
        <v>9.1999999999999998E-2</v>
      </c>
      <c r="L120" s="40">
        <v>0</v>
      </c>
      <c r="M120" s="41">
        <v>29</v>
      </c>
      <c r="N120" s="93">
        <v>240.2</v>
      </c>
      <c r="O120" s="39">
        <v>17.652999999999999</v>
      </c>
      <c r="P120" s="39">
        <v>7.3999999999999996E-2</v>
      </c>
      <c r="Q120" s="40">
        <v>3.7</v>
      </c>
      <c r="R120" s="38" t="s">
        <v>487</v>
      </c>
      <c r="S120" s="38" t="s">
        <v>476</v>
      </c>
      <c r="T120" s="41" t="s">
        <v>473</v>
      </c>
      <c r="U120" s="41">
        <v>86</v>
      </c>
      <c r="V120" s="41">
        <v>3</v>
      </c>
      <c r="W120" s="41" t="s">
        <v>474</v>
      </c>
      <c r="X120" s="41">
        <v>7</v>
      </c>
      <c r="Y120" s="43"/>
    </row>
    <row r="121" spans="1:25" ht="15" x14ac:dyDescent="0.2">
      <c r="A121" s="37">
        <v>29</v>
      </c>
      <c r="B121" s="38" t="s">
        <v>41</v>
      </c>
      <c r="C121" s="38" t="s">
        <v>42</v>
      </c>
      <c r="D121" s="39">
        <v>10.342000000000001</v>
      </c>
      <c r="E121" s="39">
        <v>3.4000000000000002E-2</v>
      </c>
      <c r="F121" s="39">
        <v>0.22600000000000001</v>
      </c>
      <c r="G121" s="40">
        <v>27.9</v>
      </c>
      <c r="H121" s="41">
        <v>18</v>
      </c>
      <c r="I121" s="93">
        <v>22</v>
      </c>
      <c r="J121" s="39">
        <v>1.89</v>
      </c>
      <c r="K121" s="39">
        <v>8.5999999999999993E-2</v>
      </c>
      <c r="L121" s="40">
        <v>0</v>
      </c>
      <c r="M121" s="41">
        <v>19</v>
      </c>
      <c r="N121" s="93">
        <v>278</v>
      </c>
      <c r="O121" s="39">
        <v>8.452</v>
      </c>
      <c r="P121" s="39">
        <v>0.03</v>
      </c>
      <c r="Q121" s="40">
        <v>27.9</v>
      </c>
      <c r="R121" s="38" t="s">
        <v>486</v>
      </c>
      <c r="S121" s="38" t="s">
        <v>476</v>
      </c>
      <c r="T121" s="41" t="s">
        <v>473</v>
      </c>
      <c r="U121" s="41">
        <v>68</v>
      </c>
      <c r="V121" s="41">
        <v>2</v>
      </c>
      <c r="W121" s="41" t="s">
        <v>474</v>
      </c>
      <c r="X121" s="41">
        <v>7</v>
      </c>
      <c r="Y121" s="43"/>
    </row>
    <row r="122" spans="1:25" ht="15" x14ac:dyDescent="0.2">
      <c r="A122" s="37">
        <v>32</v>
      </c>
      <c r="B122" s="38" t="s">
        <v>53</v>
      </c>
      <c r="C122" s="38" t="s">
        <v>42</v>
      </c>
      <c r="D122" s="39">
        <v>14.103</v>
      </c>
      <c r="E122" s="39">
        <v>4.7E-2</v>
      </c>
      <c r="F122" s="39">
        <v>0.24</v>
      </c>
      <c r="G122" s="40">
        <v>30.5</v>
      </c>
      <c r="H122" s="41">
        <v>39</v>
      </c>
      <c r="I122" s="93">
        <v>55.1</v>
      </c>
      <c r="J122" s="39">
        <v>3.4860000000000002</v>
      </c>
      <c r="K122" s="39">
        <v>6.3E-2</v>
      </c>
      <c r="L122" s="40">
        <v>4.5999999999999996</v>
      </c>
      <c r="M122" s="41">
        <v>39</v>
      </c>
      <c r="N122" s="93">
        <v>244.9</v>
      </c>
      <c r="O122" s="39">
        <v>10.617000000000001</v>
      </c>
      <c r="P122" s="39">
        <v>4.2999999999999997E-2</v>
      </c>
      <c r="Q122" s="40">
        <v>25.9</v>
      </c>
      <c r="R122" s="38" t="s">
        <v>487</v>
      </c>
      <c r="S122" s="38" t="s">
        <v>476</v>
      </c>
      <c r="T122" s="41" t="s">
        <v>473</v>
      </c>
      <c r="U122" s="41">
        <v>68</v>
      </c>
      <c r="V122" s="41">
        <v>2</v>
      </c>
      <c r="W122" s="41" t="s">
        <v>474</v>
      </c>
      <c r="X122" s="41">
        <v>7</v>
      </c>
      <c r="Y122" s="43"/>
    </row>
    <row r="123" spans="1:25" ht="16" thickBot="1" x14ac:dyDescent="0.25">
      <c r="A123" s="71">
        <v>46</v>
      </c>
      <c r="B123" s="72" t="s">
        <v>46</v>
      </c>
      <c r="C123" s="72" t="s">
        <v>42</v>
      </c>
      <c r="D123" s="73">
        <v>14.86</v>
      </c>
      <c r="E123" s="73">
        <v>0.05</v>
      </c>
      <c r="F123" s="73">
        <v>0.253</v>
      </c>
      <c r="G123" s="74">
        <v>28.4</v>
      </c>
      <c r="H123" s="75">
        <v>23</v>
      </c>
      <c r="I123" s="102">
        <v>27.3</v>
      </c>
      <c r="J123" s="73">
        <v>2.8140000000000001</v>
      </c>
      <c r="K123" s="73">
        <v>0.10299999999999999</v>
      </c>
      <c r="L123" s="74">
        <v>0</v>
      </c>
      <c r="M123" s="75">
        <v>24</v>
      </c>
      <c r="N123" s="102">
        <v>272.7</v>
      </c>
      <c r="O123" s="73">
        <v>12.045999999999999</v>
      </c>
      <c r="P123" s="73">
        <v>4.3999999999999997E-2</v>
      </c>
      <c r="Q123" s="74">
        <v>28.4</v>
      </c>
      <c r="R123" s="76" t="s">
        <v>487</v>
      </c>
      <c r="S123" s="76" t="s">
        <v>476</v>
      </c>
      <c r="T123" s="75" t="s">
        <v>473</v>
      </c>
      <c r="U123" s="75">
        <v>42</v>
      </c>
      <c r="V123" s="74">
        <v>1.4</v>
      </c>
      <c r="W123" s="75" t="s">
        <v>474</v>
      </c>
      <c r="X123" s="75">
        <v>7</v>
      </c>
      <c r="Y123" s="77"/>
    </row>
    <row r="124" spans="1:25" ht="16" thickBot="1" x14ac:dyDescent="0.2">
      <c r="A124" s="84" t="s">
        <v>507</v>
      </c>
      <c r="B124" s="85"/>
      <c r="C124" s="85"/>
      <c r="D124" s="234">
        <f>AVERAGE(D118:D123)</f>
        <v>14.073999999999998</v>
      </c>
      <c r="E124" s="86"/>
      <c r="F124" s="86"/>
      <c r="G124" s="87"/>
      <c r="H124" s="86"/>
      <c r="I124" s="94">
        <f>AVERAGE(I118:I123)</f>
        <v>46.349999999999994</v>
      </c>
      <c r="J124" s="88"/>
      <c r="K124" s="88"/>
      <c r="L124" s="88"/>
      <c r="M124" s="88"/>
      <c r="N124" s="94">
        <f>AVERAGE(N118:N123)</f>
        <v>253.65</v>
      </c>
      <c r="O124" s="88"/>
      <c r="P124" s="88"/>
      <c r="Q124" s="88"/>
      <c r="R124" s="88"/>
      <c r="S124" s="88"/>
      <c r="T124" s="88"/>
      <c r="U124" s="89"/>
      <c r="V124" s="90"/>
      <c r="W124" s="88"/>
      <c r="X124" s="88"/>
      <c r="Y124" s="88"/>
    </row>
    <row r="125" spans="1:25" x14ac:dyDescent="0.15">
      <c r="A125" s="29"/>
      <c r="B125" s="29"/>
      <c r="C125" s="29"/>
      <c r="D125" s="29"/>
      <c r="E125" s="29"/>
      <c r="F125" s="29"/>
      <c r="G125" s="29"/>
      <c r="H125" s="29"/>
      <c r="I125" s="96"/>
      <c r="J125" s="29"/>
      <c r="K125" s="29"/>
      <c r="L125" s="29"/>
      <c r="M125" s="29"/>
      <c r="N125" s="96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x14ac:dyDescent="0.15">
      <c r="A126" s="29"/>
      <c r="B126" s="29"/>
      <c r="C126" s="29"/>
      <c r="D126" s="29"/>
      <c r="E126" s="29"/>
      <c r="F126" s="29"/>
      <c r="G126" s="29"/>
      <c r="H126" s="29"/>
      <c r="I126" s="96"/>
      <c r="J126" s="29"/>
      <c r="K126" s="29"/>
      <c r="L126" s="29"/>
      <c r="M126" s="29"/>
      <c r="N126" s="96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5" x14ac:dyDescent="0.15">
      <c r="A127" s="44" t="s">
        <v>0</v>
      </c>
      <c r="B127" s="35" t="s">
        <v>2</v>
      </c>
      <c r="C127" s="35" t="s">
        <v>3</v>
      </c>
      <c r="D127" s="45" t="s">
        <v>7</v>
      </c>
      <c r="E127" s="45" t="s">
        <v>8</v>
      </c>
      <c r="F127" s="45" t="s">
        <v>9</v>
      </c>
      <c r="G127" s="46" t="s">
        <v>10</v>
      </c>
      <c r="H127" s="47" t="s">
        <v>29</v>
      </c>
      <c r="I127" s="97" t="s">
        <v>30</v>
      </c>
      <c r="J127" s="45" t="s">
        <v>31</v>
      </c>
      <c r="K127" s="45" t="s">
        <v>32</v>
      </c>
      <c r="L127" s="46" t="s">
        <v>33</v>
      </c>
      <c r="M127" s="47" t="s">
        <v>34</v>
      </c>
      <c r="N127" s="97" t="s">
        <v>35</v>
      </c>
      <c r="O127" s="45" t="s">
        <v>36</v>
      </c>
      <c r="P127" s="45" t="s">
        <v>37</v>
      </c>
      <c r="Q127" s="46" t="s">
        <v>38</v>
      </c>
      <c r="R127" s="47" t="s">
        <v>485</v>
      </c>
      <c r="S127" s="35" t="s">
        <v>478</v>
      </c>
      <c r="T127" s="35" t="s">
        <v>479</v>
      </c>
      <c r="U127" s="47" t="s">
        <v>480</v>
      </c>
      <c r="V127" s="46" t="s">
        <v>481</v>
      </c>
      <c r="W127" s="35" t="s">
        <v>482</v>
      </c>
      <c r="X127" s="35" t="s">
        <v>483</v>
      </c>
      <c r="Y127" s="36" t="s">
        <v>484</v>
      </c>
    </row>
    <row r="128" spans="1:25" ht="15" x14ac:dyDescent="0.15">
      <c r="A128" s="48">
        <v>5</v>
      </c>
      <c r="B128" s="42" t="s">
        <v>41</v>
      </c>
      <c r="C128" s="42" t="s">
        <v>270</v>
      </c>
      <c r="D128" s="49">
        <v>7.1340000000000003</v>
      </c>
      <c r="E128" s="49">
        <v>2.4E-2</v>
      </c>
      <c r="F128" s="49">
        <v>0.30199999999999999</v>
      </c>
      <c r="G128" s="50">
        <v>59.3</v>
      </c>
      <c r="H128" s="51">
        <v>11</v>
      </c>
      <c r="I128" s="98">
        <v>6.5</v>
      </c>
      <c r="J128" s="49">
        <v>1.276</v>
      </c>
      <c r="K128" s="49">
        <v>0.19600000000000001</v>
      </c>
      <c r="L128" s="50">
        <v>0</v>
      </c>
      <c r="M128" s="51">
        <v>12</v>
      </c>
      <c r="N128" s="98">
        <v>293.5</v>
      </c>
      <c r="O128" s="49">
        <v>5.8579999999999997</v>
      </c>
      <c r="P128" s="49">
        <v>0.02</v>
      </c>
      <c r="Q128" s="50">
        <v>59.3</v>
      </c>
      <c r="R128" s="42" t="s">
        <v>486</v>
      </c>
      <c r="S128" s="42" t="s">
        <v>476</v>
      </c>
      <c r="T128" s="42" t="s">
        <v>473</v>
      </c>
      <c r="U128" s="51">
        <v>177</v>
      </c>
      <c r="V128" s="50">
        <v>5.9</v>
      </c>
      <c r="W128" s="50" t="s">
        <v>474</v>
      </c>
      <c r="X128" s="42">
        <v>7</v>
      </c>
      <c r="Y128" s="52" t="s">
        <v>458</v>
      </c>
    </row>
    <row r="129" spans="1:25" ht="15" x14ac:dyDescent="0.15">
      <c r="A129" s="48">
        <v>9</v>
      </c>
      <c r="B129" s="42" t="s">
        <v>41</v>
      </c>
      <c r="C129" s="42" t="s">
        <v>270</v>
      </c>
      <c r="D129" s="49">
        <v>10.323</v>
      </c>
      <c r="E129" s="49">
        <v>3.4000000000000002E-2</v>
      </c>
      <c r="F129" s="49">
        <v>0.28699999999999998</v>
      </c>
      <c r="G129" s="50">
        <v>27.9</v>
      </c>
      <c r="H129" s="51">
        <v>11</v>
      </c>
      <c r="I129" s="98">
        <v>10</v>
      </c>
      <c r="J129" s="49">
        <v>0.96199999999999997</v>
      </c>
      <c r="K129" s="49">
        <v>9.6000000000000002E-2</v>
      </c>
      <c r="L129" s="50">
        <v>0</v>
      </c>
      <c r="M129" s="51">
        <v>12</v>
      </c>
      <c r="N129" s="98">
        <v>290</v>
      </c>
      <c r="O129" s="49">
        <v>9.3610000000000007</v>
      </c>
      <c r="P129" s="49">
        <v>3.2000000000000001E-2</v>
      </c>
      <c r="Q129" s="50">
        <v>27.9</v>
      </c>
      <c r="R129" s="42" t="s">
        <v>487</v>
      </c>
      <c r="S129" s="42" t="s">
        <v>476</v>
      </c>
      <c r="T129" s="42" t="s">
        <v>473</v>
      </c>
      <c r="U129" s="51">
        <v>177</v>
      </c>
      <c r="V129" s="50">
        <v>5.9</v>
      </c>
      <c r="W129" s="50" t="s">
        <v>474</v>
      </c>
      <c r="X129" s="42">
        <v>7</v>
      </c>
      <c r="Y129" s="52" t="s">
        <v>460</v>
      </c>
    </row>
    <row r="130" spans="1:25" ht="15" x14ac:dyDescent="0.15">
      <c r="A130" s="48">
        <v>16</v>
      </c>
      <c r="B130" s="42" t="s">
        <v>49</v>
      </c>
      <c r="C130" s="42" t="s">
        <v>270</v>
      </c>
      <c r="D130" s="49">
        <v>15.336</v>
      </c>
      <c r="E130" s="49">
        <v>5.0999999999999997E-2</v>
      </c>
      <c r="F130" s="49">
        <v>0.26200000000000001</v>
      </c>
      <c r="G130" s="50">
        <v>6.1</v>
      </c>
      <c r="H130" s="51">
        <v>31</v>
      </c>
      <c r="I130" s="98">
        <v>50.9</v>
      </c>
      <c r="J130" s="49">
        <v>4.5439999999999996</v>
      </c>
      <c r="K130" s="49">
        <v>8.8999999999999996E-2</v>
      </c>
      <c r="L130" s="50">
        <v>0</v>
      </c>
      <c r="M130" s="51">
        <v>31</v>
      </c>
      <c r="N130" s="98">
        <v>249.1</v>
      </c>
      <c r="O130" s="49">
        <v>10.791</v>
      </c>
      <c r="P130" s="49">
        <v>4.2999999999999997E-2</v>
      </c>
      <c r="Q130" s="50">
        <v>6.1</v>
      </c>
      <c r="R130" s="42" t="s">
        <v>487</v>
      </c>
      <c r="S130" s="42" t="s">
        <v>476</v>
      </c>
      <c r="T130" s="42" t="s">
        <v>473</v>
      </c>
      <c r="U130" s="51">
        <v>169</v>
      </c>
      <c r="V130" s="50">
        <v>5.6</v>
      </c>
      <c r="W130" s="42" t="s">
        <v>474</v>
      </c>
      <c r="X130" s="42">
        <v>7</v>
      </c>
      <c r="Y130" s="52"/>
    </row>
    <row r="131" spans="1:25" ht="15" x14ac:dyDescent="0.15">
      <c r="A131" s="53">
        <v>29</v>
      </c>
      <c r="B131" s="54" t="s">
        <v>46</v>
      </c>
      <c r="C131" s="54" t="s">
        <v>270</v>
      </c>
      <c r="D131" s="55">
        <v>4.8289999999999997</v>
      </c>
      <c r="E131" s="55">
        <v>1.6E-2</v>
      </c>
      <c r="F131" s="55">
        <v>0.24199999999999999</v>
      </c>
      <c r="G131" s="56">
        <v>101.6</v>
      </c>
      <c r="H131" s="57">
        <v>6</v>
      </c>
      <c r="I131" s="99">
        <v>110.3</v>
      </c>
      <c r="J131" s="55">
        <v>1.0149999999999999</v>
      </c>
      <c r="K131" s="55">
        <v>8.9999999999999993E-3</v>
      </c>
      <c r="L131" s="56">
        <v>51.2</v>
      </c>
      <c r="M131" s="57">
        <v>6</v>
      </c>
      <c r="N131" s="99">
        <v>189.7</v>
      </c>
      <c r="O131" s="55">
        <v>3.8130000000000002</v>
      </c>
      <c r="P131" s="55">
        <v>0.02</v>
      </c>
      <c r="Q131" s="56">
        <v>50.4</v>
      </c>
      <c r="R131" s="54" t="s">
        <v>486</v>
      </c>
      <c r="S131" s="54" t="s">
        <v>476</v>
      </c>
      <c r="T131" s="54" t="s">
        <v>473</v>
      </c>
      <c r="U131" s="57">
        <v>151</v>
      </c>
      <c r="V131" s="56">
        <v>5</v>
      </c>
      <c r="W131" s="54" t="s">
        <v>474</v>
      </c>
      <c r="X131" s="54">
        <v>7</v>
      </c>
      <c r="Y131" s="58"/>
    </row>
    <row r="132" spans="1:25" ht="15" x14ac:dyDescent="0.15">
      <c r="A132" s="48">
        <v>32</v>
      </c>
      <c r="B132" s="42" t="s">
        <v>41</v>
      </c>
      <c r="C132" s="42" t="s">
        <v>270</v>
      </c>
      <c r="D132" s="49">
        <v>6.43</v>
      </c>
      <c r="E132" s="49">
        <v>2.1000000000000001E-2</v>
      </c>
      <c r="F132" s="49">
        <v>0.30199999999999999</v>
      </c>
      <c r="G132" s="50">
        <v>77.2</v>
      </c>
      <c r="H132" s="51">
        <v>8</v>
      </c>
      <c r="I132" s="98">
        <v>8.1</v>
      </c>
      <c r="J132" s="49">
        <v>0.98299999999999998</v>
      </c>
      <c r="K132" s="49">
        <v>0.121</v>
      </c>
      <c r="L132" s="50">
        <v>0</v>
      </c>
      <c r="M132" s="51">
        <v>8</v>
      </c>
      <c r="N132" s="98">
        <v>291.89999999999998</v>
      </c>
      <c r="O132" s="49">
        <v>5.4480000000000004</v>
      </c>
      <c r="P132" s="49">
        <v>1.9E-2</v>
      </c>
      <c r="Q132" s="50">
        <v>77.2</v>
      </c>
      <c r="R132" s="42" t="s">
        <v>487</v>
      </c>
      <c r="S132" s="42" t="s">
        <v>476</v>
      </c>
      <c r="T132" s="42" t="s">
        <v>473</v>
      </c>
      <c r="U132" s="51">
        <v>151</v>
      </c>
      <c r="V132" s="50">
        <v>5</v>
      </c>
      <c r="W132" s="42" t="s">
        <v>474</v>
      </c>
      <c r="X132" s="42">
        <v>7</v>
      </c>
      <c r="Y132" s="52"/>
    </row>
    <row r="133" spans="1:25" ht="16" thickBot="1" x14ac:dyDescent="0.2">
      <c r="A133" s="78">
        <v>46</v>
      </c>
      <c r="B133" s="79" t="s">
        <v>49</v>
      </c>
      <c r="C133" s="79" t="s">
        <v>270</v>
      </c>
      <c r="D133" s="80">
        <v>7.4340000000000002</v>
      </c>
      <c r="E133" s="80">
        <v>2.5000000000000001E-2</v>
      </c>
      <c r="F133" s="80">
        <v>0.22900000000000001</v>
      </c>
      <c r="G133" s="81">
        <v>44.9</v>
      </c>
      <c r="H133" s="82">
        <v>9</v>
      </c>
      <c r="I133" s="103">
        <v>63.8</v>
      </c>
      <c r="J133" s="80">
        <v>1.966</v>
      </c>
      <c r="K133" s="80">
        <v>3.1E-2</v>
      </c>
      <c r="L133" s="81">
        <v>15.4</v>
      </c>
      <c r="M133" s="82">
        <v>10</v>
      </c>
      <c r="N133" s="103">
        <v>236.2</v>
      </c>
      <c r="O133" s="80">
        <v>5.468</v>
      </c>
      <c r="P133" s="80">
        <v>2.3E-2</v>
      </c>
      <c r="Q133" s="81">
        <v>29.6</v>
      </c>
      <c r="R133" s="79" t="s">
        <v>487</v>
      </c>
      <c r="S133" s="79" t="s">
        <v>476</v>
      </c>
      <c r="T133" s="79" t="s">
        <v>473</v>
      </c>
      <c r="U133" s="82">
        <v>125</v>
      </c>
      <c r="V133" s="81">
        <v>4.2</v>
      </c>
      <c r="W133" s="81" t="s">
        <v>474</v>
      </c>
      <c r="X133" s="79">
        <v>7</v>
      </c>
      <c r="Y133" s="83"/>
    </row>
    <row r="134" spans="1:25" ht="16" thickBot="1" x14ac:dyDescent="0.2">
      <c r="A134" s="84" t="s">
        <v>507</v>
      </c>
      <c r="B134" s="85"/>
      <c r="C134" s="85"/>
      <c r="D134" s="234">
        <f>AVERAGE(D128:D133)</f>
        <v>8.5809999999999995</v>
      </c>
      <c r="E134" s="86"/>
      <c r="F134" s="86"/>
      <c r="G134" s="87"/>
      <c r="H134" s="86"/>
      <c r="I134" s="94">
        <f>AVERAGE(I128:I133)</f>
        <v>41.599999999999994</v>
      </c>
      <c r="J134" s="88"/>
      <c r="K134" s="88"/>
      <c r="L134" s="88"/>
      <c r="M134" s="88"/>
      <c r="N134" s="94">
        <f>AVERAGE(N128:N133)</f>
        <v>258.39999999999998</v>
      </c>
      <c r="O134" s="88"/>
      <c r="P134" s="88"/>
      <c r="Q134" s="88"/>
      <c r="R134" s="88"/>
      <c r="S134" s="88"/>
      <c r="T134" s="88"/>
      <c r="U134" s="89"/>
      <c r="V134" s="90"/>
      <c r="W134" s="88"/>
      <c r="X134" s="88"/>
      <c r="Y134" s="88"/>
    </row>
    <row r="137" spans="1:25" x14ac:dyDescent="0.15">
      <c r="A137" s="29" t="s">
        <v>495</v>
      </c>
    </row>
    <row r="138" spans="1:25" ht="15" x14ac:dyDescent="0.2">
      <c r="A138" s="30" t="s">
        <v>0</v>
      </c>
      <c r="B138" s="31" t="s">
        <v>2</v>
      </c>
      <c r="C138" s="31" t="s">
        <v>3</v>
      </c>
      <c r="D138" s="32" t="s">
        <v>7</v>
      </c>
      <c r="E138" s="32" t="s">
        <v>8</v>
      </c>
      <c r="F138" s="32" t="s">
        <v>9</v>
      </c>
      <c r="G138" s="33" t="s">
        <v>10</v>
      </c>
      <c r="H138" s="34" t="s">
        <v>29</v>
      </c>
      <c r="I138" s="92" t="s">
        <v>30</v>
      </c>
      <c r="J138" s="32" t="s">
        <v>31</v>
      </c>
      <c r="K138" s="32" t="s">
        <v>32</v>
      </c>
      <c r="L138" s="33" t="s">
        <v>33</v>
      </c>
      <c r="M138" s="34" t="s">
        <v>34</v>
      </c>
      <c r="N138" s="92" t="s">
        <v>35</v>
      </c>
      <c r="O138" s="32" t="s">
        <v>36</v>
      </c>
      <c r="P138" s="32" t="s">
        <v>37</v>
      </c>
      <c r="Q138" s="33" t="s">
        <v>38</v>
      </c>
      <c r="R138" s="35" t="s">
        <v>485</v>
      </c>
      <c r="S138" s="35" t="s">
        <v>478</v>
      </c>
      <c r="T138" s="35" t="s">
        <v>479</v>
      </c>
      <c r="U138" s="35" t="s">
        <v>480</v>
      </c>
      <c r="V138" s="35" t="s">
        <v>481</v>
      </c>
      <c r="W138" s="35" t="s">
        <v>482</v>
      </c>
      <c r="X138" s="35" t="s">
        <v>483</v>
      </c>
      <c r="Y138" s="36" t="s">
        <v>484</v>
      </c>
    </row>
    <row r="139" spans="1:25" ht="15" x14ac:dyDescent="0.2">
      <c r="A139" s="37">
        <v>4</v>
      </c>
      <c r="B139" s="38" t="s">
        <v>53</v>
      </c>
      <c r="C139" s="38" t="s">
        <v>42</v>
      </c>
      <c r="D139" s="39">
        <v>20.006</v>
      </c>
      <c r="E139" s="39">
        <v>6.7000000000000004E-2</v>
      </c>
      <c r="F139" s="39">
        <v>0.28999999999999998</v>
      </c>
      <c r="G139" s="40">
        <v>12</v>
      </c>
      <c r="H139" s="41">
        <v>28</v>
      </c>
      <c r="I139" s="93">
        <v>33.299999999999997</v>
      </c>
      <c r="J139" s="39">
        <v>3.7389999999999999</v>
      </c>
      <c r="K139" s="39">
        <v>0.112</v>
      </c>
      <c r="L139" s="40">
        <v>0</v>
      </c>
      <c r="M139" s="41">
        <v>29</v>
      </c>
      <c r="N139" s="93">
        <v>266.7</v>
      </c>
      <c r="O139" s="39">
        <v>16.266999999999999</v>
      </c>
      <c r="P139" s="39">
        <v>6.0999999999999999E-2</v>
      </c>
      <c r="Q139" s="40">
        <v>12</v>
      </c>
      <c r="R139" s="42" t="s">
        <v>486</v>
      </c>
      <c r="S139" s="42" t="s">
        <v>476</v>
      </c>
      <c r="T139" s="41" t="s">
        <v>473</v>
      </c>
      <c r="U139" s="41">
        <v>94</v>
      </c>
      <c r="V139" s="40">
        <v>3.1</v>
      </c>
      <c r="W139" s="41" t="s">
        <v>477</v>
      </c>
      <c r="X139" s="41">
        <v>8</v>
      </c>
      <c r="Y139" s="43"/>
    </row>
    <row r="140" spans="1:25" ht="15" x14ac:dyDescent="0.2">
      <c r="A140" s="59">
        <v>6</v>
      </c>
      <c r="B140" s="60" t="s">
        <v>46</v>
      </c>
      <c r="C140" s="60" t="s">
        <v>42</v>
      </c>
      <c r="D140" s="61">
        <v>7.9880000000000004</v>
      </c>
      <c r="E140" s="61">
        <v>2.7E-2</v>
      </c>
      <c r="F140" s="61">
        <v>0.19900000000000001</v>
      </c>
      <c r="G140" s="62">
        <v>39.9</v>
      </c>
      <c r="H140" s="63">
        <v>15</v>
      </c>
      <c r="I140" s="100">
        <v>56.6</v>
      </c>
      <c r="J140" s="61">
        <v>1.7789999999999999</v>
      </c>
      <c r="K140" s="61">
        <v>3.1E-2</v>
      </c>
      <c r="L140" s="62">
        <v>5.6</v>
      </c>
      <c r="M140" s="63">
        <v>16</v>
      </c>
      <c r="N140" s="100">
        <v>243.4</v>
      </c>
      <c r="O140" s="61">
        <v>6.2089999999999996</v>
      </c>
      <c r="P140" s="61">
        <v>2.5999999999999999E-2</v>
      </c>
      <c r="Q140" s="62">
        <v>34.299999999999997</v>
      </c>
      <c r="R140" s="54" t="s">
        <v>487</v>
      </c>
      <c r="S140" s="54" t="s">
        <v>476</v>
      </c>
      <c r="T140" s="63" t="s">
        <v>473</v>
      </c>
      <c r="U140" s="63">
        <v>94</v>
      </c>
      <c r="V140" s="62">
        <v>3.1</v>
      </c>
      <c r="W140" s="63" t="s">
        <v>477</v>
      </c>
      <c r="X140" s="63">
        <v>8</v>
      </c>
      <c r="Y140" s="64"/>
    </row>
    <row r="141" spans="1:25" ht="15" x14ac:dyDescent="0.2">
      <c r="A141" s="37">
        <v>8</v>
      </c>
      <c r="B141" s="38" t="s">
        <v>53</v>
      </c>
      <c r="C141" s="38" t="s">
        <v>42</v>
      </c>
      <c r="D141" s="39">
        <v>12.250999999999999</v>
      </c>
      <c r="E141" s="39">
        <v>4.1000000000000002E-2</v>
      </c>
      <c r="F141" s="39">
        <v>0.224</v>
      </c>
      <c r="G141" s="40">
        <v>39</v>
      </c>
      <c r="H141" s="41">
        <v>8</v>
      </c>
      <c r="I141" s="93">
        <v>61.9</v>
      </c>
      <c r="J141" s="39">
        <v>1.6020000000000001</v>
      </c>
      <c r="K141" s="39">
        <v>2.5999999999999999E-2</v>
      </c>
      <c r="L141" s="40">
        <v>18.5</v>
      </c>
      <c r="M141" s="41">
        <v>9</v>
      </c>
      <c r="N141" s="93">
        <v>238.1</v>
      </c>
      <c r="O141" s="39">
        <v>10.648999999999999</v>
      </c>
      <c r="P141" s="39">
        <v>4.4999999999999998E-2</v>
      </c>
      <c r="Q141" s="40">
        <v>20.5</v>
      </c>
      <c r="R141" s="42" t="s">
        <v>487</v>
      </c>
      <c r="S141" s="42" t="s">
        <v>476</v>
      </c>
      <c r="T141" s="41" t="s">
        <v>473</v>
      </c>
      <c r="U141" s="41">
        <v>94</v>
      </c>
      <c r="V141" s="40">
        <v>3.1</v>
      </c>
      <c r="W141" s="41" t="s">
        <v>477</v>
      </c>
      <c r="X141" s="41">
        <v>8</v>
      </c>
      <c r="Y141" s="43" t="s">
        <v>459</v>
      </c>
    </row>
    <row r="142" spans="1:25" ht="15" x14ac:dyDescent="0.2">
      <c r="A142" s="37">
        <v>19</v>
      </c>
      <c r="B142" s="38" t="s">
        <v>49</v>
      </c>
      <c r="C142" s="38" t="s">
        <v>42</v>
      </c>
      <c r="D142" s="39">
        <v>6.4930000000000003</v>
      </c>
      <c r="E142" s="39">
        <v>2.1999999999999999E-2</v>
      </c>
      <c r="F142" s="39">
        <v>0.19600000000000001</v>
      </c>
      <c r="G142" s="40">
        <v>36.299999999999997</v>
      </c>
      <c r="H142" s="41">
        <v>9</v>
      </c>
      <c r="I142" s="93">
        <v>32.700000000000003</v>
      </c>
      <c r="J142" s="39">
        <v>1.151</v>
      </c>
      <c r="K142" s="39">
        <v>3.5000000000000003E-2</v>
      </c>
      <c r="L142" s="40">
        <v>11.3</v>
      </c>
      <c r="M142" s="41">
        <v>10</v>
      </c>
      <c r="N142" s="93">
        <v>267.3</v>
      </c>
      <c r="O142" s="39">
        <v>5.3419999999999996</v>
      </c>
      <c r="P142" s="39">
        <v>0.02</v>
      </c>
      <c r="Q142" s="40">
        <v>25</v>
      </c>
      <c r="R142" s="38" t="s">
        <v>486</v>
      </c>
      <c r="S142" s="38" t="s">
        <v>476</v>
      </c>
      <c r="T142" s="41" t="s">
        <v>473</v>
      </c>
      <c r="U142" s="41">
        <v>76</v>
      </c>
      <c r="V142" s="41">
        <v>3</v>
      </c>
      <c r="W142" s="41" t="s">
        <v>477</v>
      </c>
      <c r="X142" s="41">
        <v>8</v>
      </c>
      <c r="Y142" s="43"/>
    </row>
    <row r="143" spans="1:25" ht="15" x14ac:dyDescent="0.2">
      <c r="A143" s="37">
        <v>27</v>
      </c>
      <c r="B143" s="38" t="s">
        <v>49</v>
      </c>
      <c r="C143" s="38" t="s">
        <v>42</v>
      </c>
      <c r="D143" s="39">
        <v>13.608000000000001</v>
      </c>
      <c r="E143" s="39">
        <v>4.4999999999999998E-2</v>
      </c>
      <c r="F143" s="39">
        <v>0.24099999999999999</v>
      </c>
      <c r="G143" s="40">
        <v>10.3</v>
      </c>
      <c r="H143" s="41">
        <v>19</v>
      </c>
      <c r="I143" s="93">
        <v>38.200000000000003</v>
      </c>
      <c r="J143" s="39">
        <v>3.2330000000000001</v>
      </c>
      <c r="K143" s="39">
        <v>8.5000000000000006E-2</v>
      </c>
      <c r="L143" s="40">
        <v>0</v>
      </c>
      <c r="M143" s="41">
        <v>20</v>
      </c>
      <c r="N143" s="93">
        <v>261.8</v>
      </c>
      <c r="O143" s="39">
        <v>10.374000000000001</v>
      </c>
      <c r="P143" s="39">
        <v>0.04</v>
      </c>
      <c r="Q143" s="40">
        <v>10.3</v>
      </c>
      <c r="R143" s="38" t="s">
        <v>486</v>
      </c>
      <c r="S143" s="38" t="s">
        <v>476</v>
      </c>
      <c r="T143" s="41" t="s">
        <v>473</v>
      </c>
      <c r="U143" s="41">
        <v>68</v>
      </c>
      <c r="V143" s="41">
        <v>2</v>
      </c>
      <c r="W143" s="41" t="s">
        <v>477</v>
      </c>
      <c r="X143" s="41">
        <v>8</v>
      </c>
      <c r="Y143" s="43"/>
    </row>
    <row r="144" spans="1:25" ht="15" x14ac:dyDescent="0.2">
      <c r="A144" s="37">
        <v>31</v>
      </c>
      <c r="B144" s="38" t="s">
        <v>49</v>
      </c>
      <c r="C144" s="38" t="s">
        <v>42</v>
      </c>
      <c r="D144" s="39">
        <v>16.535</v>
      </c>
      <c r="E144" s="39">
        <v>5.5E-2</v>
      </c>
      <c r="F144" s="39">
        <v>0.28199999999999997</v>
      </c>
      <c r="G144" s="40">
        <v>4.5999999999999996</v>
      </c>
      <c r="H144" s="41">
        <v>20</v>
      </c>
      <c r="I144" s="93">
        <v>40.700000000000003</v>
      </c>
      <c r="J144" s="39">
        <v>2.95</v>
      </c>
      <c r="K144" s="39">
        <v>7.2999999999999995E-2</v>
      </c>
      <c r="L144" s="40">
        <v>1.4</v>
      </c>
      <c r="M144" s="41">
        <v>21</v>
      </c>
      <c r="N144" s="93">
        <v>259.3</v>
      </c>
      <c r="O144" s="39">
        <v>13.585000000000001</v>
      </c>
      <c r="P144" s="39">
        <v>5.1999999999999998E-2</v>
      </c>
      <c r="Q144" s="40">
        <v>3.2</v>
      </c>
      <c r="R144" s="38" t="s">
        <v>487</v>
      </c>
      <c r="S144" s="38" t="s">
        <v>476</v>
      </c>
      <c r="T144" s="41" t="s">
        <v>473</v>
      </c>
      <c r="U144" s="41">
        <v>68</v>
      </c>
      <c r="V144" s="41">
        <v>2</v>
      </c>
      <c r="W144" s="41" t="s">
        <v>477</v>
      </c>
      <c r="X144" s="41">
        <v>8</v>
      </c>
      <c r="Y144" s="43"/>
    </row>
    <row r="145" spans="1:25" ht="16" thickBot="1" x14ac:dyDescent="0.25">
      <c r="A145" s="37">
        <v>45</v>
      </c>
      <c r="B145" s="38" t="s">
        <v>41</v>
      </c>
      <c r="C145" s="38" t="s">
        <v>42</v>
      </c>
      <c r="D145" s="39">
        <v>16.015000000000001</v>
      </c>
      <c r="E145" s="39">
        <v>5.2999999999999999E-2</v>
      </c>
      <c r="F145" s="39">
        <v>0.28999999999999998</v>
      </c>
      <c r="G145" s="40">
        <v>9.8000000000000007</v>
      </c>
      <c r="H145" s="41">
        <v>16</v>
      </c>
      <c r="I145" s="93">
        <v>20.2</v>
      </c>
      <c r="J145" s="39">
        <v>2.4790000000000001</v>
      </c>
      <c r="K145" s="39">
        <v>0.122</v>
      </c>
      <c r="L145" s="40">
        <v>0</v>
      </c>
      <c r="M145" s="41">
        <v>17</v>
      </c>
      <c r="N145" s="93">
        <v>279.8</v>
      </c>
      <c r="O145" s="39">
        <v>13.535</v>
      </c>
      <c r="P145" s="39">
        <v>4.8000000000000001E-2</v>
      </c>
      <c r="Q145" s="40">
        <v>9.8000000000000007</v>
      </c>
      <c r="R145" s="38" t="s">
        <v>487</v>
      </c>
      <c r="S145" s="38" t="s">
        <v>476</v>
      </c>
      <c r="T145" s="41" t="s">
        <v>473</v>
      </c>
      <c r="U145" s="41">
        <v>42</v>
      </c>
      <c r="V145" s="41">
        <v>1</v>
      </c>
      <c r="W145" s="41" t="s">
        <v>477</v>
      </c>
      <c r="X145" s="41">
        <v>8</v>
      </c>
      <c r="Y145" s="43"/>
    </row>
    <row r="146" spans="1:25" ht="16" thickBot="1" x14ac:dyDescent="0.2">
      <c r="A146" s="84" t="s">
        <v>507</v>
      </c>
      <c r="B146" s="85"/>
      <c r="C146" s="85"/>
      <c r="D146" s="234">
        <f>AVERAGE(D139:D145)</f>
        <v>13.270857142857142</v>
      </c>
      <c r="E146" s="86"/>
      <c r="F146" s="86"/>
      <c r="G146" s="87"/>
      <c r="H146" s="86"/>
      <c r="I146" s="94">
        <f>AVERAGE(I139:I145)</f>
        <v>40.514285714285712</v>
      </c>
      <c r="J146" s="88"/>
      <c r="K146" s="88"/>
      <c r="L146" s="88"/>
      <c r="M146" s="88"/>
      <c r="N146" s="94">
        <f>AVERAGE(N139:N145)</f>
        <v>259.48571428571427</v>
      </c>
      <c r="O146" s="88"/>
      <c r="P146" s="88"/>
      <c r="Q146" s="88"/>
      <c r="R146" s="88"/>
      <c r="S146" s="88"/>
      <c r="T146" s="88"/>
      <c r="U146" s="89"/>
      <c r="V146" s="90"/>
      <c r="W146" s="88"/>
      <c r="X146" s="88"/>
      <c r="Y146" s="88"/>
    </row>
    <row r="147" spans="1:25" x14ac:dyDescent="0.15">
      <c r="A147" s="29"/>
      <c r="B147" s="29"/>
      <c r="C147" s="29"/>
      <c r="D147" s="29"/>
      <c r="E147" s="29"/>
      <c r="F147" s="29"/>
      <c r="G147" s="29"/>
      <c r="H147" s="29"/>
      <c r="I147" s="96"/>
      <c r="J147" s="29"/>
      <c r="K147" s="29"/>
      <c r="L147" s="29"/>
      <c r="M147" s="29"/>
      <c r="N147" s="96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x14ac:dyDescent="0.15">
      <c r="A148" s="29"/>
      <c r="B148" s="29"/>
      <c r="C148" s="29"/>
      <c r="D148" s="29"/>
      <c r="E148" s="29"/>
      <c r="F148" s="29"/>
      <c r="G148" s="29"/>
      <c r="H148" s="29"/>
      <c r="I148" s="96"/>
      <c r="J148" s="29"/>
      <c r="K148" s="29"/>
      <c r="L148" s="29"/>
      <c r="M148" s="29"/>
      <c r="N148" s="96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5" x14ac:dyDescent="0.15">
      <c r="A149" s="44" t="s">
        <v>0</v>
      </c>
      <c r="B149" s="35" t="s">
        <v>2</v>
      </c>
      <c r="C149" s="35" t="s">
        <v>3</v>
      </c>
      <c r="D149" s="45" t="s">
        <v>7</v>
      </c>
      <c r="E149" s="45" t="s">
        <v>8</v>
      </c>
      <c r="F149" s="45" t="s">
        <v>9</v>
      </c>
      <c r="G149" s="46" t="s">
        <v>10</v>
      </c>
      <c r="H149" s="47" t="s">
        <v>29</v>
      </c>
      <c r="I149" s="97" t="s">
        <v>30</v>
      </c>
      <c r="J149" s="45" t="s">
        <v>31</v>
      </c>
      <c r="K149" s="45" t="s">
        <v>32</v>
      </c>
      <c r="L149" s="46" t="s">
        <v>33</v>
      </c>
      <c r="M149" s="47" t="s">
        <v>34</v>
      </c>
      <c r="N149" s="97" t="s">
        <v>35</v>
      </c>
      <c r="O149" s="45" t="s">
        <v>36</v>
      </c>
      <c r="P149" s="45" t="s">
        <v>37</v>
      </c>
      <c r="Q149" s="46" t="s">
        <v>38</v>
      </c>
      <c r="R149" s="47" t="s">
        <v>485</v>
      </c>
      <c r="S149" s="35" t="s">
        <v>478</v>
      </c>
      <c r="T149" s="35" t="s">
        <v>479</v>
      </c>
      <c r="U149" s="47" t="s">
        <v>480</v>
      </c>
      <c r="V149" s="46" t="s">
        <v>481</v>
      </c>
      <c r="W149" s="35" t="s">
        <v>482</v>
      </c>
      <c r="X149" s="35" t="s">
        <v>483</v>
      </c>
      <c r="Y149" s="36" t="s">
        <v>484</v>
      </c>
    </row>
    <row r="150" spans="1:25" ht="15" x14ac:dyDescent="0.15">
      <c r="A150" s="48">
        <v>4</v>
      </c>
      <c r="B150" s="42" t="s">
        <v>53</v>
      </c>
      <c r="C150" s="42" t="s">
        <v>270</v>
      </c>
      <c r="D150" s="49">
        <v>9.1769999999999996</v>
      </c>
      <c r="E150" s="49">
        <v>3.1E-2</v>
      </c>
      <c r="F150" s="49">
        <v>0.252</v>
      </c>
      <c r="G150" s="50">
        <v>34.4</v>
      </c>
      <c r="H150" s="51">
        <v>10</v>
      </c>
      <c r="I150" s="98">
        <v>26.8</v>
      </c>
      <c r="J150" s="49">
        <v>1.7490000000000001</v>
      </c>
      <c r="K150" s="49">
        <v>6.5000000000000002E-2</v>
      </c>
      <c r="L150" s="50">
        <v>0</v>
      </c>
      <c r="M150" s="51">
        <v>10</v>
      </c>
      <c r="N150" s="98">
        <v>273.2</v>
      </c>
      <c r="O150" s="49">
        <v>7.4279999999999999</v>
      </c>
      <c r="P150" s="49">
        <v>2.7E-2</v>
      </c>
      <c r="Q150" s="50">
        <v>34.4</v>
      </c>
      <c r="R150" s="42" t="s">
        <v>486</v>
      </c>
      <c r="S150" s="42" t="s">
        <v>476</v>
      </c>
      <c r="T150" s="42" t="s">
        <v>473</v>
      </c>
      <c r="U150" s="51">
        <v>177</v>
      </c>
      <c r="V150" s="50">
        <v>5.9</v>
      </c>
      <c r="W150" s="50" t="s">
        <v>477</v>
      </c>
      <c r="X150" s="42">
        <v>8</v>
      </c>
      <c r="Y150" s="52"/>
    </row>
    <row r="151" spans="1:25" ht="15" x14ac:dyDescent="0.15">
      <c r="A151" s="53">
        <v>6</v>
      </c>
      <c r="B151" s="54" t="s">
        <v>46</v>
      </c>
      <c r="C151" s="54" t="s">
        <v>270</v>
      </c>
      <c r="D151" s="55">
        <v>10.451000000000001</v>
      </c>
      <c r="E151" s="55">
        <v>3.5000000000000003E-2</v>
      </c>
      <c r="F151" s="55">
        <v>0.28199999999999997</v>
      </c>
      <c r="G151" s="56">
        <v>40.1</v>
      </c>
      <c r="H151" s="57">
        <v>11</v>
      </c>
      <c r="I151" s="99">
        <v>19.5</v>
      </c>
      <c r="J151" s="55">
        <v>1.482</v>
      </c>
      <c r="K151" s="55">
        <v>7.5999999999999998E-2</v>
      </c>
      <c r="L151" s="56">
        <v>0</v>
      </c>
      <c r="M151" s="57">
        <v>11</v>
      </c>
      <c r="N151" s="99">
        <v>280.5</v>
      </c>
      <c r="O151" s="55">
        <v>8.9689999999999994</v>
      </c>
      <c r="P151" s="55">
        <v>3.2000000000000001E-2</v>
      </c>
      <c r="Q151" s="56">
        <v>40.1</v>
      </c>
      <c r="R151" s="54" t="s">
        <v>487</v>
      </c>
      <c r="S151" s="54" t="s">
        <v>476</v>
      </c>
      <c r="T151" s="54" t="s">
        <v>473</v>
      </c>
      <c r="U151" s="57">
        <v>177</v>
      </c>
      <c r="V151" s="56">
        <v>5.9</v>
      </c>
      <c r="W151" s="56" t="s">
        <v>477</v>
      </c>
      <c r="X151" s="54">
        <v>8</v>
      </c>
      <c r="Y151" s="58"/>
    </row>
    <row r="152" spans="1:25" ht="15" x14ac:dyDescent="0.15">
      <c r="A152" s="48">
        <v>8</v>
      </c>
      <c r="B152" s="42" t="s">
        <v>53</v>
      </c>
      <c r="C152" s="42" t="s">
        <v>270</v>
      </c>
      <c r="D152" s="49">
        <v>12.156000000000001</v>
      </c>
      <c r="E152" s="49">
        <v>4.1000000000000002E-2</v>
      </c>
      <c r="F152" s="49">
        <v>0.22700000000000001</v>
      </c>
      <c r="G152" s="50">
        <v>17.7</v>
      </c>
      <c r="H152" s="51">
        <v>13</v>
      </c>
      <c r="I152" s="98">
        <v>23.4</v>
      </c>
      <c r="J152" s="49">
        <v>1.972</v>
      </c>
      <c r="K152" s="49">
        <v>8.4000000000000005E-2</v>
      </c>
      <c r="L152" s="50">
        <v>0</v>
      </c>
      <c r="M152" s="51">
        <v>14</v>
      </c>
      <c r="N152" s="98">
        <v>276.60000000000002</v>
      </c>
      <c r="O152" s="49">
        <v>10.183999999999999</v>
      </c>
      <c r="P152" s="49">
        <v>3.6999999999999998E-2</v>
      </c>
      <c r="Q152" s="50">
        <v>17.7</v>
      </c>
      <c r="R152" s="42" t="s">
        <v>487</v>
      </c>
      <c r="S152" s="42" t="s">
        <v>476</v>
      </c>
      <c r="T152" s="42" t="s">
        <v>473</v>
      </c>
      <c r="U152" s="51">
        <v>177</v>
      </c>
      <c r="V152" s="50">
        <v>5.9</v>
      </c>
      <c r="W152" s="50" t="s">
        <v>477</v>
      </c>
      <c r="X152" s="42">
        <v>8</v>
      </c>
      <c r="Y152" s="52" t="s">
        <v>459</v>
      </c>
    </row>
    <row r="153" spans="1:25" ht="15" x14ac:dyDescent="0.15">
      <c r="A153" s="53">
        <v>19</v>
      </c>
      <c r="B153" s="54" t="s">
        <v>46</v>
      </c>
      <c r="C153" s="54" t="s">
        <v>270</v>
      </c>
      <c r="D153" s="55">
        <v>4.5190000000000001</v>
      </c>
      <c r="E153" s="55">
        <v>1.4999999999999999E-2</v>
      </c>
      <c r="F153" s="55">
        <v>0.25</v>
      </c>
      <c r="G153" s="56">
        <v>105.8</v>
      </c>
      <c r="H153" s="57">
        <v>7</v>
      </c>
      <c r="I153" s="99">
        <v>23.8</v>
      </c>
      <c r="J153" s="55">
        <v>0.97599999999999998</v>
      </c>
      <c r="K153" s="55">
        <v>4.1000000000000002E-2</v>
      </c>
      <c r="L153" s="56">
        <v>2.5</v>
      </c>
      <c r="M153" s="57">
        <v>8</v>
      </c>
      <c r="N153" s="99">
        <v>276.2</v>
      </c>
      <c r="O153" s="55">
        <v>3.5430000000000001</v>
      </c>
      <c r="P153" s="55">
        <v>1.2999999999999999E-2</v>
      </c>
      <c r="Q153" s="56">
        <v>103.3</v>
      </c>
      <c r="R153" s="54" t="s">
        <v>486</v>
      </c>
      <c r="S153" s="54" t="s">
        <v>476</v>
      </c>
      <c r="T153" s="54" t="s">
        <v>473</v>
      </c>
      <c r="U153" s="57">
        <v>159</v>
      </c>
      <c r="V153" s="56">
        <v>5.3</v>
      </c>
      <c r="W153" s="54" t="s">
        <v>477</v>
      </c>
      <c r="X153" s="54">
        <v>8</v>
      </c>
      <c r="Y153" s="58"/>
    </row>
    <row r="154" spans="1:25" ht="15" x14ac:dyDescent="0.15">
      <c r="A154" s="48">
        <v>27</v>
      </c>
      <c r="B154" s="42" t="s">
        <v>53</v>
      </c>
      <c r="C154" s="42" t="s">
        <v>270</v>
      </c>
      <c r="D154" s="49">
        <v>3.4529999999999998</v>
      </c>
      <c r="E154" s="49">
        <v>1.2E-2</v>
      </c>
      <c r="F154" s="49">
        <v>0.22900000000000001</v>
      </c>
      <c r="G154" s="50">
        <v>76.7</v>
      </c>
      <c r="H154" s="51">
        <v>3</v>
      </c>
      <c r="I154" s="98">
        <v>26.4</v>
      </c>
      <c r="J154" s="49">
        <v>0.20499999999999999</v>
      </c>
      <c r="K154" s="49">
        <v>8.0000000000000002E-3</v>
      </c>
      <c r="L154" s="50">
        <v>2.4</v>
      </c>
      <c r="M154" s="51">
        <v>4</v>
      </c>
      <c r="N154" s="98">
        <v>273.60000000000002</v>
      </c>
      <c r="O154" s="49">
        <v>3.2469999999999999</v>
      </c>
      <c r="P154" s="49">
        <v>1.2E-2</v>
      </c>
      <c r="Q154" s="50">
        <v>74.3</v>
      </c>
      <c r="R154" s="42" t="s">
        <v>486</v>
      </c>
      <c r="S154" s="42" t="s">
        <v>476</v>
      </c>
      <c r="T154" s="42" t="s">
        <v>473</v>
      </c>
      <c r="U154" s="51">
        <v>151</v>
      </c>
      <c r="V154" s="50">
        <v>5</v>
      </c>
      <c r="W154" s="42" t="s">
        <v>477</v>
      </c>
      <c r="X154" s="42">
        <v>8</v>
      </c>
      <c r="Y154" s="52"/>
    </row>
    <row r="155" spans="1:25" ht="15" x14ac:dyDescent="0.15">
      <c r="A155" s="53">
        <v>31</v>
      </c>
      <c r="B155" s="54" t="s">
        <v>53</v>
      </c>
      <c r="C155" s="54" t="s">
        <v>270</v>
      </c>
      <c r="D155" s="55">
        <v>11.646000000000001</v>
      </c>
      <c r="E155" s="55">
        <v>3.9E-2</v>
      </c>
      <c r="F155" s="55">
        <v>0.25800000000000001</v>
      </c>
      <c r="G155" s="56">
        <v>14.9</v>
      </c>
      <c r="H155" s="57">
        <v>12</v>
      </c>
      <c r="I155" s="99">
        <v>9.8000000000000007</v>
      </c>
      <c r="J155" s="55">
        <v>1.0569999999999999</v>
      </c>
      <c r="K155" s="55">
        <v>0.108</v>
      </c>
      <c r="L155" s="56">
        <v>0</v>
      </c>
      <c r="M155" s="57">
        <v>13</v>
      </c>
      <c r="N155" s="99">
        <v>290.2</v>
      </c>
      <c r="O155" s="55">
        <v>10.589</v>
      </c>
      <c r="P155" s="55">
        <v>3.5999999999999997E-2</v>
      </c>
      <c r="Q155" s="56">
        <v>14.9</v>
      </c>
      <c r="R155" s="54" t="s">
        <v>487</v>
      </c>
      <c r="S155" s="54" t="s">
        <v>476</v>
      </c>
      <c r="T155" s="54" t="s">
        <v>473</v>
      </c>
      <c r="U155" s="57">
        <v>151</v>
      </c>
      <c r="V155" s="56">
        <v>5</v>
      </c>
      <c r="W155" s="54" t="s">
        <v>477</v>
      </c>
      <c r="X155" s="54">
        <v>8</v>
      </c>
      <c r="Y155" s="58"/>
    </row>
    <row r="156" spans="1:25" ht="16" thickBot="1" x14ac:dyDescent="0.2">
      <c r="A156" s="48">
        <v>45</v>
      </c>
      <c r="B156" s="42" t="s">
        <v>46</v>
      </c>
      <c r="C156" s="42" t="s">
        <v>270</v>
      </c>
      <c r="D156" s="49">
        <v>14.026</v>
      </c>
      <c r="E156" s="49">
        <v>4.7E-2</v>
      </c>
      <c r="F156" s="49">
        <v>0.247</v>
      </c>
      <c r="G156" s="50">
        <v>8.8000000000000007</v>
      </c>
      <c r="H156" s="51">
        <v>14</v>
      </c>
      <c r="I156" s="98">
        <v>27.8</v>
      </c>
      <c r="J156" s="49">
        <v>2.0920000000000001</v>
      </c>
      <c r="K156" s="49">
        <v>7.4999999999999997E-2</v>
      </c>
      <c r="L156" s="50">
        <v>0</v>
      </c>
      <c r="M156" s="51">
        <v>15</v>
      </c>
      <c r="N156" s="98">
        <v>272.2</v>
      </c>
      <c r="O156" s="49">
        <v>11.933999999999999</v>
      </c>
      <c r="P156" s="49">
        <v>4.3999999999999997E-2</v>
      </c>
      <c r="Q156" s="50">
        <v>8.8000000000000007</v>
      </c>
      <c r="R156" s="42" t="s">
        <v>487</v>
      </c>
      <c r="S156" s="42" t="s">
        <v>476</v>
      </c>
      <c r="T156" s="42" t="s">
        <v>473</v>
      </c>
      <c r="U156" s="51">
        <v>125</v>
      </c>
      <c r="V156" s="50">
        <v>4.2</v>
      </c>
      <c r="W156" s="50" t="s">
        <v>477</v>
      </c>
      <c r="X156" s="42">
        <v>8</v>
      </c>
      <c r="Y156" s="52"/>
    </row>
    <row r="157" spans="1:25" ht="16" thickBot="1" x14ac:dyDescent="0.2">
      <c r="A157" s="84" t="s">
        <v>507</v>
      </c>
      <c r="B157" s="85"/>
      <c r="C157" s="85"/>
      <c r="D157" s="234">
        <f>AVERAGE(D150:D156)</f>
        <v>9.346857142857143</v>
      </c>
      <c r="E157" s="86"/>
      <c r="F157" s="86"/>
      <c r="G157" s="87"/>
      <c r="H157" s="86"/>
      <c r="I157" s="94">
        <f>AVERAGE(I150:I156)</f>
        <v>22.5</v>
      </c>
      <c r="J157" s="88"/>
      <c r="K157" s="88"/>
      <c r="L157" s="88"/>
      <c r="M157" s="88"/>
      <c r="N157" s="94">
        <f>AVERAGE(N150:N156)</f>
        <v>277.5</v>
      </c>
      <c r="O157" s="88"/>
      <c r="P157" s="88"/>
      <c r="Q157" s="88"/>
      <c r="R157" s="88"/>
      <c r="S157" s="88"/>
      <c r="T157" s="88"/>
      <c r="U157" s="89"/>
      <c r="V157" s="90"/>
      <c r="W157" s="88"/>
      <c r="X157" s="88"/>
      <c r="Y157" s="8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4EC1-354B-1946-8FA4-D3C488D3EC6F}">
  <dimension ref="A1:AT149"/>
  <sheetViews>
    <sheetView topLeftCell="X1" workbookViewId="0">
      <selection activeCell="AF6" sqref="AF6"/>
    </sheetView>
  </sheetViews>
  <sheetFormatPr baseColWidth="10" defaultRowHeight="13" x14ac:dyDescent="0.15"/>
  <cols>
    <col min="2" max="2" width="11.33203125" customWidth="1"/>
    <col min="6" max="6" width="13.5" customWidth="1"/>
    <col min="7" max="7" width="12.33203125" customWidth="1"/>
    <col min="8" max="8" width="14.33203125" customWidth="1"/>
    <col min="9" max="9" width="20.6640625" customWidth="1"/>
    <col min="10" max="10" width="10.83203125" customWidth="1"/>
    <col min="11" max="11" width="12.6640625" customWidth="1"/>
    <col min="12" max="12" width="16.6640625" customWidth="1"/>
    <col min="13" max="13" width="15.5" customWidth="1"/>
    <col min="17" max="17" width="11.1640625" customWidth="1"/>
    <col min="18" max="18" width="13.6640625" customWidth="1"/>
    <col min="19" max="19" width="11.6640625" customWidth="1"/>
    <col min="21" max="21" width="14.1640625" customWidth="1"/>
    <col min="24" max="24" width="12.33203125" customWidth="1"/>
    <col min="27" max="27" width="11.1640625" customWidth="1"/>
    <col min="28" max="28" width="14.5" customWidth="1"/>
    <col min="29" max="29" width="13.33203125" customWidth="1"/>
    <col min="30" max="30" width="15.33203125" customWidth="1"/>
    <col min="31" max="31" width="15.6640625" customWidth="1"/>
    <col min="32" max="32" width="16.83203125" customWidth="1"/>
    <col min="33" max="33" width="13.83203125" customWidth="1"/>
    <col min="34" max="34" width="20.5" customWidth="1"/>
    <col min="35" max="35" width="17.1640625" customWidth="1"/>
    <col min="36" max="36" width="13.1640625" customWidth="1"/>
    <col min="37" max="37" width="15.6640625" customWidth="1"/>
  </cols>
  <sheetData>
    <row r="1" spans="1:37" x14ac:dyDescent="0.15">
      <c r="A1" s="29" t="s">
        <v>511</v>
      </c>
      <c r="W1" s="29" t="s">
        <v>512</v>
      </c>
    </row>
    <row r="2" spans="1:37" ht="15" x14ac:dyDescent="0.2">
      <c r="A2" s="118" t="s">
        <v>0</v>
      </c>
      <c r="B2" s="119" t="s">
        <v>2</v>
      </c>
      <c r="C2" s="119" t="s">
        <v>3</v>
      </c>
      <c r="D2" s="119" t="s">
        <v>4</v>
      </c>
      <c r="E2" s="121" t="s">
        <v>7</v>
      </c>
      <c r="F2" s="121" t="s">
        <v>8</v>
      </c>
      <c r="G2" s="121" t="s">
        <v>9</v>
      </c>
      <c r="H2" s="120" t="s">
        <v>10</v>
      </c>
      <c r="I2" s="122" t="s">
        <v>454</v>
      </c>
      <c r="J2" s="123" t="s">
        <v>455</v>
      </c>
      <c r="K2" s="123" t="s">
        <v>457</v>
      </c>
      <c r="L2" s="123" t="s">
        <v>456</v>
      </c>
      <c r="M2" s="123" t="s">
        <v>452</v>
      </c>
      <c r="N2" s="123" t="s">
        <v>485</v>
      </c>
      <c r="O2" s="123" t="s">
        <v>478</v>
      </c>
      <c r="P2" s="123" t="s">
        <v>479</v>
      </c>
      <c r="Q2" s="123" t="s">
        <v>480</v>
      </c>
      <c r="R2" s="123" t="s">
        <v>481</v>
      </c>
      <c r="S2" s="123" t="s">
        <v>482</v>
      </c>
      <c r="T2" s="123" t="s">
        <v>483</v>
      </c>
      <c r="U2" s="123" t="s">
        <v>484</v>
      </c>
      <c r="V2" t="s">
        <v>513</v>
      </c>
      <c r="W2" s="123" t="s">
        <v>514</v>
      </c>
      <c r="X2" s="123" t="s">
        <v>515</v>
      </c>
      <c r="Y2" s="123" t="s">
        <v>516</v>
      </c>
      <c r="Z2" s="123" t="s">
        <v>517</v>
      </c>
      <c r="AA2" s="141" t="s">
        <v>518</v>
      </c>
      <c r="AB2" s="141" t="s">
        <v>519</v>
      </c>
      <c r="AC2" s="141" t="s">
        <v>520</v>
      </c>
      <c r="AD2" s="140" t="s">
        <v>521</v>
      </c>
      <c r="AE2" s="122" t="s">
        <v>522</v>
      </c>
      <c r="AF2" s="123" t="s">
        <v>523</v>
      </c>
      <c r="AG2" s="123" t="s">
        <v>524</v>
      </c>
      <c r="AH2" s="123" t="s">
        <v>525</v>
      </c>
      <c r="AI2" s="122" t="s">
        <v>526</v>
      </c>
      <c r="AJ2" s="122" t="s">
        <v>527</v>
      </c>
      <c r="AK2" s="140" t="s">
        <v>528</v>
      </c>
    </row>
    <row r="3" spans="1:37" ht="15" hidden="1" x14ac:dyDescent="0.2">
      <c r="A3" s="124" t="s">
        <v>39</v>
      </c>
      <c r="B3" s="125" t="s">
        <v>41</v>
      </c>
      <c r="C3" s="125" t="s">
        <v>151</v>
      </c>
      <c r="D3" s="125" t="s">
        <v>152</v>
      </c>
      <c r="E3" s="127">
        <v>11.291</v>
      </c>
      <c r="F3" s="127">
        <v>3.1E-2</v>
      </c>
      <c r="G3" s="127">
        <v>0.25800000000000001</v>
      </c>
      <c r="H3" s="126">
        <v>68.3</v>
      </c>
      <c r="I3" s="17">
        <v>78.8</v>
      </c>
      <c r="J3" s="17">
        <v>-27</v>
      </c>
      <c r="K3" s="15">
        <v>-0.34263959390862947</v>
      </c>
      <c r="L3" s="17">
        <v>32.868020304568532</v>
      </c>
      <c r="M3" s="11">
        <v>42.273534635879223</v>
      </c>
      <c r="N3" s="14" t="s">
        <v>486</v>
      </c>
      <c r="O3" s="14" t="s">
        <v>472</v>
      </c>
      <c r="P3" s="128" t="s">
        <v>473</v>
      </c>
      <c r="Q3" s="128">
        <v>99</v>
      </c>
      <c r="R3" s="126">
        <v>3.3</v>
      </c>
      <c r="S3" s="128" t="s">
        <v>474</v>
      </c>
      <c r="T3" s="128">
        <v>3</v>
      </c>
      <c r="U3" s="129"/>
      <c r="W3" s="142" t="s">
        <v>39</v>
      </c>
      <c r="X3" s="14" t="s">
        <v>41</v>
      </c>
      <c r="Y3" s="14" t="s">
        <v>331</v>
      </c>
      <c r="Z3" s="14" t="s">
        <v>332</v>
      </c>
      <c r="AA3" s="16">
        <v>4.931</v>
      </c>
      <c r="AB3" s="16">
        <v>1.4E-2</v>
      </c>
      <c r="AC3" s="16">
        <v>0.19500000000000001</v>
      </c>
      <c r="AD3" s="15">
        <v>126.4</v>
      </c>
      <c r="AE3" s="17">
        <v>140.89999999999998</v>
      </c>
      <c r="AF3" s="17">
        <v>42.3</v>
      </c>
      <c r="AG3" s="15">
        <v>0.30021291696238472</v>
      </c>
      <c r="AH3" s="17">
        <v>65.010645848119239</v>
      </c>
      <c r="AI3" s="17">
        <v>54.147250698974837</v>
      </c>
      <c r="AJ3" s="17">
        <v>182</v>
      </c>
      <c r="AK3" s="15">
        <v>6.0666666666666664</v>
      </c>
    </row>
    <row r="4" spans="1:37" ht="15" hidden="1" x14ac:dyDescent="0.2">
      <c r="A4" s="124" t="s">
        <v>45</v>
      </c>
      <c r="B4" s="125" t="s">
        <v>46</v>
      </c>
      <c r="C4" s="125" t="s">
        <v>151</v>
      </c>
      <c r="D4" s="125" t="s">
        <v>152</v>
      </c>
      <c r="E4" s="127">
        <v>8.0890000000000004</v>
      </c>
      <c r="F4" s="127">
        <v>2.1999999999999999E-2</v>
      </c>
      <c r="G4" s="127">
        <v>0.32700000000000001</v>
      </c>
      <c r="H4" s="126">
        <v>80.2</v>
      </c>
      <c r="I4" s="17">
        <v>144.69999999999999</v>
      </c>
      <c r="J4" s="17">
        <v>83.5</v>
      </c>
      <c r="K4" s="15">
        <v>0.57705597788527996</v>
      </c>
      <c r="L4" s="17">
        <v>78.852798894263998</v>
      </c>
      <c r="M4" s="11">
        <v>58.62573099415205</v>
      </c>
      <c r="N4" s="14" t="s">
        <v>487</v>
      </c>
      <c r="O4" s="14" t="s">
        <v>472</v>
      </c>
      <c r="P4" s="128" t="s">
        <v>475</v>
      </c>
      <c r="Q4" s="128">
        <v>99</v>
      </c>
      <c r="R4" s="126">
        <v>3.3</v>
      </c>
      <c r="S4" s="128" t="s">
        <v>474</v>
      </c>
      <c r="T4" s="128">
        <v>1</v>
      </c>
      <c r="U4" s="129"/>
      <c r="W4" s="142" t="s">
        <v>45</v>
      </c>
      <c r="X4" s="14" t="s">
        <v>46</v>
      </c>
      <c r="Y4" s="14" t="s">
        <v>331</v>
      </c>
      <c r="Z4" s="14" t="s">
        <v>334</v>
      </c>
      <c r="AA4" s="16">
        <v>6.7839999999999998</v>
      </c>
      <c r="AB4" s="16">
        <v>1.9E-2</v>
      </c>
      <c r="AC4" s="16">
        <v>0.23699999999999999</v>
      </c>
      <c r="AD4" s="15">
        <v>46.3</v>
      </c>
      <c r="AE4" s="17">
        <v>53.6</v>
      </c>
      <c r="AF4" s="17">
        <v>25.800000000000004</v>
      </c>
      <c r="AG4" s="15">
        <v>0.48134328358208961</v>
      </c>
      <c r="AH4" s="17">
        <v>74.067164179104481</v>
      </c>
      <c r="AI4" s="17">
        <v>55.390835579514828</v>
      </c>
      <c r="AJ4" s="17">
        <v>182</v>
      </c>
      <c r="AK4" s="15">
        <v>6.0666666666666664</v>
      </c>
    </row>
    <row r="5" spans="1:37" ht="15" hidden="1" x14ac:dyDescent="0.2">
      <c r="A5" s="124" t="s">
        <v>48</v>
      </c>
      <c r="B5" s="125" t="s">
        <v>49</v>
      </c>
      <c r="C5" s="125" t="s">
        <v>151</v>
      </c>
      <c r="D5" s="125" t="s">
        <v>152</v>
      </c>
      <c r="E5" s="127">
        <v>10.077</v>
      </c>
      <c r="F5" s="127">
        <v>2.8000000000000001E-2</v>
      </c>
      <c r="G5" s="127">
        <v>0.247</v>
      </c>
      <c r="H5" s="126">
        <v>40.1</v>
      </c>
      <c r="I5" s="17">
        <v>114.19999999999999</v>
      </c>
      <c r="J5" s="17">
        <v>-10.600000000000001</v>
      </c>
      <c r="K5" s="15">
        <v>-9.2819614711033296E-2</v>
      </c>
      <c r="L5" s="17">
        <v>45.359019264448335</v>
      </c>
      <c r="M5" s="11">
        <v>54.823801270941651</v>
      </c>
      <c r="N5" s="14" t="s">
        <v>486</v>
      </c>
      <c r="O5" s="14" t="s">
        <v>476</v>
      </c>
      <c r="P5" s="128" t="s">
        <v>475</v>
      </c>
      <c r="Q5" s="128">
        <v>94</v>
      </c>
      <c r="R5" s="126">
        <v>3.1333333333333333</v>
      </c>
      <c r="S5" s="128" t="s">
        <v>474</v>
      </c>
      <c r="T5" s="128">
        <v>5</v>
      </c>
      <c r="U5" s="129" t="s">
        <v>458</v>
      </c>
      <c r="W5" s="142" t="s">
        <v>48</v>
      </c>
      <c r="X5" s="14" t="s">
        <v>49</v>
      </c>
      <c r="Y5" s="14" t="s">
        <v>331</v>
      </c>
      <c r="Z5" s="14" t="s">
        <v>334</v>
      </c>
      <c r="AA5" s="16">
        <v>4.2880000000000003</v>
      </c>
      <c r="AB5" s="16">
        <v>1.2E-2</v>
      </c>
      <c r="AC5" s="16">
        <v>0.216</v>
      </c>
      <c r="AD5" s="15">
        <v>118.7</v>
      </c>
      <c r="AE5" s="17">
        <v>29.1</v>
      </c>
      <c r="AF5" s="17">
        <v>19.5</v>
      </c>
      <c r="AG5" s="15">
        <v>0.67010309278350511</v>
      </c>
      <c r="AH5" s="17">
        <v>83.505154639175259</v>
      </c>
      <c r="AI5" s="17">
        <v>53.763440860215063</v>
      </c>
      <c r="AJ5" s="17">
        <v>177</v>
      </c>
      <c r="AK5" s="15">
        <v>5.9</v>
      </c>
    </row>
    <row r="6" spans="1:37" ht="15" x14ac:dyDescent="0.2">
      <c r="A6" s="124" t="s">
        <v>52</v>
      </c>
      <c r="B6" s="125" t="s">
        <v>53</v>
      </c>
      <c r="C6" s="125" t="s">
        <v>151</v>
      </c>
      <c r="D6" s="125" t="s">
        <v>152</v>
      </c>
      <c r="E6" s="127">
        <v>20.376999999999999</v>
      </c>
      <c r="F6" s="127">
        <v>5.7000000000000002E-2</v>
      </c>
      <c r="G6" s="127">
        <v>0.248</v>
      </c>
      <c r="H6" s="126">
        <v>8.4</v>
      </c>
      <c r="I6" s="17">
        <v>99.4</v>
      </c>
      <c r="J6" s="17">
        <v>-8</v>
      </c>
      <c r="K6" s="15">
        <v>-8.0482897384305835E-2</v>
      </c>
      <c r="L6" s="17">
        <v>45.975855130784709</v>
      </c>
      <c r="M6" s="11">
        <v>46.745562130177518</v>
      </c>
      <c r="N6" s="14" t="s">
        <v>486</v>
      </c>
      <c r="O6" s="14" t="s">
        <v>476</v>
      </c>
      <c r="P6" s="128" t="s">
        <v>473</v>
      </c>
      <c r="Q6" s="128">
        <v>94</v>
      </c>
      <c r="R6" s="126">
        <v>3.1333333333333333</v>
      </c>
      <c r="S6" s="128" t="s">
        <v>477</v>
      </c>
      <c r="T6" s="128">
        <v>8</v>
      </c>
      <c r="U6" s="129"/>
      <c r="W6" s="142" t="s">
        <v>52</v>
      </c>
      <c r="X6" s="14" t="s">
        <v>53</v>
      </c>
      <c r="Y6" s="14" t="s">
        <v>331</v>
      </c>
      <c r="Z6" s="14" t="s">
        <v>334</v>
      </c>
      <c r="AA6" s="16">
        <v>14.268000000000001</v>
      </c>
      <c r="AB6" s="16">
        <v>0.04</v>
      </c>
      <c r="AC6" s="16">
        <v>0.30399999999999999</v>
      </c>
      <c r="AD6" s="15">
        <v>64.3</v>
      </c>
      <c r="AE6" s="17">
        <v>71</v>
      </c>
      <c r="AF6" s="17">
        <v>34</v>
      </c>
      <c r="AG6" s="15">
        <v>0.47887323943661969</v>
      </c>
      <c r="AH6" s="17">
        <v>73.943661971830991</v>
      </c>
      <c r="AI6" s="17">
        <v>41.604010025062657</v>
      </c>
      <c r="AJ6" s="17">
        <v>177</v>
      </c>
      <c r="AK6" s="15">
        <v>5.9</v>
      </c>
    </row>
    <row r="7" spans="1:37" ht="15" hidden="1" x14ac:dyDescent="0.2">
      <c r="A7" s="124" t="s">
        <v>55</v>
      </c>
      <c r="B7" s="125" t="s">
        <v>41</v>
      </c>
      <c r="C7" s="125" t="s">
        <v>151</v>
      </c>
      <c r="D7" s="125" t="s">
        <v>157</v>
      </c>
      <c r="E7" s="127">
        <v>8.4329999999999998</v>
      </c>
      <c r="F7" s="127">
        <v>2.3E-2</v>
      </c>
      <c r="G7" s="127">
        <v>0.20200000000000001</v>
      </c>
      <c r="H7" s="126">
        <v>38.1</v>
      </c>
      <c r="I7" s="17">
        <v>22.200000000000003</v>
      </c>
      <c r="J7" s="17">
        <v>-3.5999999999999996</v>
      </c>
      <c r="K7" s="15">
        <v>-0.16216216216216212</v>
      </c>
      <c r="L7" s="17">
        <v>41.891891891891895</v>
      </c>
      <c r="M7" s="11">
        <v>45.522388059701491</v>
      </c>
      <c r="N7" s="14" t="s">
        <v>486</v>
      </c>
      <c r="O7" s="14" t="s">
        <v>476</v>
      </c>
      <c r="P7" s="128" t="s">
        <v>473</v>
      </c>
      <c r="Q7" s="128">
        <v>94</v>
      </c>
      <c r="R7" s="126">
        <v>3.1333333333333333</v>
      </c>
      <c r="S7" s="128" t="s">
        <v>474</v>
      </c>
      <c r="T7" s="128">
        <v>7</v>
      </c>
      <c r="U7" s="129" t="s">
        <v>458</v>
      </c>
      <c r="W7" s="142" t="s">
        <v>55</v>
      </c>
      <c r="X7" s="14" t="s">
        <v>41</v>
      </c>
      <c r="Y7" s="14" t="s">
        <v>331</v>
      </c>
      <c r="Z7" s="14" t="s">
        <v>338</v>
      </c>
      <c r="AA7" s="16">
        <v>9.7129999999999992</v>
      </c>
      <c r="AB7" s="16">
        <v>2.7E-2</v>
      </c>
      <c r="AC7" s="16">
        <v>0.36099999999999999</v>
      </c>
      <c r="AD7" s="15">
        <v>59.6</v>
      </c>
      <c r="AE7" s="17">
        <v>59.6</v>
      </c>
      <c r="AF7" s="17">
        <v>18.600000000000001</v>
      </c>
      <c r="AG7" s="15">
        <v>0.31208053691275167</v>
      </c>
      <c r="AH7" s="17">
        <v>65.604026845637591</v>
      </c>
      <c r="AI7" s="17">
        <v>45.69805194805194</v>
      </c>
      <c r="AJ7" s="17">
        <v>177</v>
      </c>
      <c r="AK7" s="15">
        <v>5.9</v>
      </c>
    </row>
    <row r="8" spans="1:37" ht="15" x14ac:dyDescent="0.2">
      <c r="A8" s="124" t="s">
        <v>58</v>
      </c>
      <c r="B8" s="125" t="s">
        <v>46</v>
      </c>
      <c r="C8" s="125" t="s">
        <v>151</v>
      </c>
      <c r="D8" s="125" t="s">
        <v>159</v>
      </c>
      <c r="E8" s="127">
        <v>5.8029999999999999</v>
      </c>
      <c r="F8" s="127">
        <v>1.6E-2</v>
      </c>
      <c r="G8" s="127">
        <v>0.27300000000000002</v>
      </c>
      <c r="H8" s="126">
        <v>164.9</v>
      </c>
      <c r="I8" s="17">
        <v>36.200000000000003</v>
      </c>
      <c r="J8" s="17">
        <v>-23.8</v>
      </c>
      <c r="K8" s="15">
        <v>-0.65745856353591159</v>
      </c>
      <c r="L8" s="17">
        <v>17.127071823204417</v>
      </c>
      <c r="M8" s="11">
        <v>24.260355029585799</v>
      </c>
      <c r="N8" s="14" t="s">
        <v>487</v>
      </c>
      <c r="O8" s="14" t="s">
        <v>476</v>
      </c>
      <c r="P8" s="128" t="s">
        <v>473</v>
      </c>
      <c r="Q8" s="128">
        <v>94</v>
      </c>
      <c r="R8" s="126">
        <v>3.1333333333333333</v>
      </c>
      <c r="S8" s="128" t="s">
        <v>477</v>
      </c>
      <c r="T8" s="128">
        <v>8</v>
      </c>
      <c r="U8" s="129"/>
      <c r="W8" s="142" t="s">
        <v>58</v>
      </c>
      <c r="X8" s="14" t="s">
        <v>46</v>
      </c>
      <c r="Y8" s="14" t="s">
        <v>331</v>
      </c>
      <c r="Z8" s="14" t="s">
        <v>305</v>
      </c>
      <c r="AA8" s="16">
        <v>10.512</v>
      </c>
      <c r="AB8" s="16">
        <v>2.9000000000000001E-2</v>
      </c>
      <c r="AC8" s="16">
        <v>0.33</v>
      </c>
      <c r="AD8" s="15">
        <v>149.80000000000001</v>
      </c>
      <c r="AE8" s="17">
        <v>97.9</v>
      </c>
      <c r="AF8" s="17">
        <v>-52.5</v>
      </c>
      <c r="AG8" s="15">
        <v>-0.53626149131767109</v>
      </c>
      <c r="AH8" s="17">
        <v>23.186925434116443</v>
      </c>
      <c r="AI8" s="17">
        <v>61.293743372216326</v>
      </c>
      <c r="AJ8" s="17">
        <v>177</v>
      </c>
      <c r="AK8" s="15">
        <v>5.9</v>
      </c>
    </row>
    <row r="9" spans="1:37" ht="15" hidden="1" x14ac:dyDescent="0.2">
      <c r="A9" s="124" t="s">
        <v>60</v>
      </c>
      <c r="B9" s="125" t="s">
        <v>49</v>
      </c>
      <c r="C9" s="125" t="s">
        <v>151</v>
      </c>
      <c r="D9" s="125" t="s">
        <v>157</v>
      </c>
      <c r="E9" s="127">
        <v>6.0679999999999996</v>
      </c>
      <c r="F9" s="127">
        <v>1.7000000000000001E-2</v>
      </c>
      <c r="G9" s="127">
        <v>0.216</v>
      </c>
      <c r="H9" s="126">
        <v>139.5</v>
      </c>
      <c r="I9" s="17">
        <v>81.5</v>
      </c>
      <c r="J9" s="17">
        <v>36.900000000000006</v>
      </c>
      <c r="K9" s="15">
        <v>0.45276073619631907</v>
      </c>
      <c r="L9" s="17">
        <v>72.638036809815958</v>
      </c>
      <c r="M9" s="11">
        <v>35.988200589970496</v>
      </c>
      <c r="N9" s="14" t="s">
        <v>487</v>
      </c>
      <c r="O9" s="14" t="s">
        <v>476</v>
      </c>
      <c r="P9" s="128" t="s">
        <v>475</v>
      </c>
      <c r="Q9" s="128">
        <v>94</v>
      </c>
      <c r="R9" s="126">
        <v>3.1333333333333333</v>
      </c>
      <c r="S9" s="128" t="s">
        <v>474</v>
      </c>
      <c r="T9" s="128">
        <v>5</v>
      </c>
      <c r="U9" s="129"/>
      <c r="W9" s="142" t="s">
        <v>60</v>
      </c>
      <c r="X9" s="14" t="s">
        <v>49</v>
      </c>
      <c r="Y9" s="14" t="s">
        <v>331</v>
      </c>
      <c r="Z9" s="14" t="s">
        <v>305</v>
      </c>
      <c r="AA9" s="16">
        <v>14.375</v>
      </c>
      <c r="AB9" s="16">
        <v>0.04</v>
      </c>
      <c r="AC9" s="16">
        <v>0.28199999999999997</v>
      </c>
      <c r="AD9" s="15">
        <v>57.1</v>
      </c>
      <c r="AE9" s="17">
        <v>68.5</v>
      </c>
      <c r="AF9" s="17">
        <v>-9.2999999999999972</v>
      </c>
      <c r="AG9" s="15">
        <v>-0.1357664233576642</v>
      </c>
      <c r="AH9" s="17">
        <v>43.211678832116789</v>
      </c>
      <c r="AI9" s="17">
        <v>52.374999999999993</v>
      </c>
      <c r="AJ9" s="17">
        <v>177</v>
      </c>
      <c r="AK9" s="15">
        <v>5.9</v>
      </c>
    </row>
    <row r="10" spans="1:37" ht="15" x14ac:dyDescent="0.2">
      <c r="A10" s="124" t="s">
        <v>62</v>
      </c>
      <c r="B10" s="125" t="s">
        <v>53</v>
      </c>
      <c r="C10" s="125" t="s">
        <v>151</v>
      </c>
      <c r="D10" s="125" t="s">
        <v>157</v>
      </c>
      <c r="E10" s="127">
        <v>3.5430000000000001</v>
      </c>
      <c r="F10" s="127">
        <v>0.01</v>
      </c>
      <c r="G10" s="127">
        <v>0.252</v>
      </c>
      <c r="H10" s="126">
        <v>185.1</v>
      </c>
      <c r="I10" s="17">
        <v>6.9</v>
      </c>
      <c r="J10" s="17">
        <v>6.9</v>
      </c>
      <c r="K10" s="15">
        <v>1</v>
      </c>
      <c r="L10" s="17">
        <v>100</v>
      </c>
      <c r="M10" s="11">
        <v>23.671497584541061</v>
      </c>
      <c r="N10" s="14" t="s">
        <v>487</v>
      </c>
      <c r="O10" s="14" t="s">
        <v>476</v>
      </c>
      <c r="P10" s="128" t="s">
        <v>473</v>
      </c>
      <c r="Q10" s="128">
        <v>94</v>
      </c>
      <c r="R10" s="126">
        <v>3.1333333333333333</v>
      </c>
      <c r="S10" s="128" t="s">
        <v>477</v>
      </c>
      <c r="T10" s="128">
        <v>8</v>
      </c>
      <c r="U10" s="129" t="s">
        <v>459</v>
      </c>
      <c r="W10" s="142" t="s">
        <v>62</v>
      </c>
      <c r="X10" s="14" t="s">
        <v>53</v>
      </c>
      <c r="Y10" s="14" t="s">
        <v>331</v>
      </c>
      <c r="Z10" s="14" t="s">
        <v>305</v>
      </c>
      <c r="AA10" s="16">
        <v>11.79</v>
      </c>
      <c r="AB10" s="16">
        <v>3.3000000000000002E-2</v>
      </c>
      <c r="AC10" s="16">
        <v>0.33</v>
      </c>
      <c r="AD10" s="15">
        <v>79.599999999999994</v>
      </c>
      <c r="AE10" s="17">
        <v>104.9</v>
      </c>
      <c r="AF10" s="17">
        <v>-31.5</v>
      </c>
      <c r="AG10" s="15">
        <v>-0.30028598665395612</v>
      </c>
      <c r="AH10" s="17">
        <v>34.985700667302197</v>
      </c>
      <c r="AI10" s="17">
        <v>41.476274165202113</v>
      </c>
      <c r="AJ10" s="17">
        <v>177</v>
      </c>
      <c r="AK10" s="15">
        <v>5.9</v>
      </c>
    </row>
    <row r="11" spans="1:37" ht="15" hidden="1" x14ac:dyDescent="0.2">
      <c r="A11" s="124" t="s">
        <v>64</v>
      </c>
      <c r="B11" s="125" t="s">
        <v>41</v>
      </c>
      <c r="C11" s="125" t="s">
        <v>151</v>
      </c>
      <c r="D11" s="125" t="s">
        <v>163</v>
      </c>
      <c r="E11" s="127">
        <v>6.5229999999999997</v>
      </c>
      <c r="F11" s="127">
        <v>1.7999999999999999E-2</v>
      </c>
      <c r="G11" s="127">
        <v>0.217</v>
      </c>
      <c r="H11" s="126">
        <v>187.3</v>
      </c>
      <c r="I11" s="17">
        <v>23.3</v>
      </c>
      <c r="J11" s="17">
        <v>3.3000000000000007</v>
      </c>
      <c r="K11" s="15">
        <v>0.14163090128755368</v>
      </c>
      <c r="L11" s="17">
        <v>57.081545064377679</v>
      </c>
      <c r="M11" s="11">
        <v>48.28125</v>
      </c>
      <c r="N11" s="14" t="s">
        <v>487</v>
      </c>
      <c r="O11" s="14" t="s">
        <v>476</v>
      </c>
      <c r="P11" s="128" t="s">
        <v>473</v>
      </c>
      <c r="Q11" s="128">
        <v>94</v>
      </c>
      <c r="R11" s="126">
        <v>3.1333333333333333</v>
      </c>
      <c r="S11" s="128" t="s">
        <v>474</v>
      </c>
      <c r="T11" s="128">
        <v>7</v>
      </c>
      <c r="U11" s="129" t="s">
        <v>460</v>
      </c>
      <c r="W11" s="142" t="s">
        <v>64</v>
      </c>
      <c r="X11" s="14" t="s">
        <v>41</v>
      </c>
      <c r="Y11" s="14" t="s">
        <v>331</v>
      </c>
      <c r="Z11" s="14" t="s">
        <v>343</v>
      </c>
      <c r="AA11" s="16">
        <v>11.5</v>
      </c>
      <c r="AB11" s="16">
        <v>3.2000000000000001E-2</v>
      </c>
      <c r="AC11" s="16">
        <v>0.36399999999999999</v>
      </c>
      <c r="AD11" s="15">
        <v>62.5</v>
      </c>
      <c r="AE11" s="17">
        <v>99.199999999999989</v>
      </c>
      <c r="AF11" s="17">
        <v>-43.4</v>
      </c>
      <c r="AG11" s="15">
        <v>-0.43750000000000006</v>
      </c>
      <c r="AH11" s="17">
        <v>28.125</v>
      </c>
      <c r="AI11" s="17">
        <v>49.689011748445068</v>
      </c>
      <c r="AJ11" s="17">
        <v>177</v>
      </c>
      <c r="AK11" s="15">
        <v>5.9</v>
      </c>
    </row>
    <row r="12" spans="1:37" ht="15" hidden="1" x14ac:dyDescent="0.2">
      <c r="A12" s="124" t="s">
        <v>67</v>
      </c>
      <c r="B12" s="125" t="s">
        <v>46</v>
      </c>
      <c r="C12" s="125" t="s">
        <v>151</v>
      </c>
      <c r="D12" s="125" t="s">
        <v>163</v>
      </c>
      <c r="E12" s="127">
        <v>24.497</v>
      </c>
      <c r="F12" s="127">
        <v>6.8000000000000005E-2</v>
      </c>
      <c r="G12" s="127">
        <v>0.29699999999999999</v>
      </c>
      <c r="H12" s="126">
        <v>2.4</v>
      </c>
      <c r="I12" s="17">
        <v>63.5</v>
      </c>
      <c r="J12" s="17">
        <v>-26.900000000000002</v>
      </c>
      <c r="K12" s="15">
        <v>-0.42362204724409452</v>
      </c>
      <c r="L12" s="17">
        <v>28.818897637795278</v>
      </c>
      <c r="M12" s="11">
        <v>30.580137659783684</v>
      </c>
      <c r="N12" s="14" t="s">
        <v>487</v>
      </c>
      <c r="O12" s="14" t="s">
        <v>476</v>
      </c>
      <c r="P12" s="128" t="s">
        <v>475</v>
      </c>
      <c r="Q12" s="128">
        <v>94</v>
      </c>
      <c r="R12" s="126">
        <v>3.1333333333333333</v>
      </c>
      <c r="S12" s="128" t="s">
        <v>477</v>
      </c>
      <c r="T12" s="128">
        <v>6</v>
      </c>
      <c r="U12" s="129" t="s">
        <v>461</v>
      </c>
      <c r="W12" s="142" t="s">
        <v>67</v>
      </c>
      <c r="X12" s="14" t="s">
        <v>46</v>
      </c>
      <c r="Y12" s="14" t="s">
        <v>331</v>
      </c>
      <c r="Z12" s="14" t="s">
        <v>343</v>
      </c>
      <c r="AA12" s="16">
        <v>31.84</v>
      </c>
      <c r="AB12" s="16">
        <v>8.7999999999999995E-2</v>
      </c>
      <c r="AC12" s="16">
        <v>0.33800000000000002</v>
      </c>
      <c r="AD12" s="15">
        <v>13</v>
      </c>
      <c r="AE12" s="17">
        <v>83.4</v>
      </c>
      <c r="AF12" s="17">
        <v>12</v>
      </c>
      <c r="AG12" s="15">
        <v>0.14388489208633093</v>
      </c>
      <c r="AH12" s="17">
        <v>57.194244604316545</v>
      </c>
      <c r="AI12" s="17">
        <v>51.157125456760056</v>
      </c>
      <c r="AJ12" s="17">
        <v>177</v>
      </c>
      <c r="AK12" s="15">
        <v>5.9</v>
      </c>
    </row>
    <row r="13" spans="1:37" ht="15" hidden="1" x14ac:dyDescent="0.2">
      <c r="A13" s="124" t="s">
        <v>69</v>
      </c>
      <c r="B13" s="125" t="s">
        <v>49</v>
      </c>
      <c r="C13" s="125" t="s">
        <v>151</v>
      </c>
      <c r="D13" s="125" t="s">
        <v>163</v>
      </c>
      <c r="E13" s="127">
        <v>9.2850000000000001</v>
      </c>
      <c r="F13" s="127">
        <v>2.5999999999999999E-2</v>
      </c>
      <c r="G13" s="127">
        <v>0.27400000000000002</v>
      </c>
      <c r="H13" s="126">
        <v>87.9</v>
      </c>
      <c r="I13" s="17">
        <v>42</v>
      </c>
      <c r="J13" s="17">
        <v>29</v>
      </c>
      <c r="K13" s="15">
        <v>0.69047619047619047</v>
      </c>
      <c r="L13" s="17">
        <v>84.523809523809518</v>
      </c>
      <c r="M13" s="11">
        <v>62</v>
      </c>
      <c r="N13" s="14" t="s">
        <v>487</v>
      </c>
      <c r="O13" s="14" t="s">
        <v>476</v>
      </c>
      <c r="P13" s="128" t="s">
        <v>475</v>
      </c>
      <c r="Q13" s="128">
        <v>94</v>
      </c>
      <c r="R13" s="126">
        <v>3.1333333333333333</v>
      </c>
      <c r="S13" s="128" t="s">
        <v>474</v>
      </c>
      <c r="T13" s="128">
        <v>5</v>
      </c>
      <c r="U13" s="129" t="s">
        <v>462</v>
      </c>
      <c r="W13" s="142" t="s">
        <v>69</v>
      </c>
      <c r="X13" s="14" t="s">
        <v>49</v>
      </c>
      <c r="Y13" s="14" t="s">
        <v>331</v>
      </c>
      <c r="Z13" s="14" t="s">
        <v>343</v>
      </c>
      <c r="AA13" s="16">
        <v>12.996</v>
      </c>
      <c r="AB13" s="16">
        <v>3.5999999999999997E-2</v>
      </c>
      <c r="AC13" s="16">
        <v>0.3</v>
      </c>
      <c r="AD13" s="15">
        <v>58.5</v>
      </c>
      <c r="AE13" s="17">
        <v>79.7</v>
      </c>
      <c r="AF13" s="17">
        <v>-42.5</v>
      </c>
      <c r="AG13" s="15">
        <v>-0.53324968632371395</v>
      </c>
      <c r="AH13" s="17">
        <v>23.337515683814306</v>
      </c>
      <c r="AI13" s="17">
        <v>59.952606635071092</v>
      </c>
      <c r="AJ13" s="17">
        <v>177</v>
      </c>
      <c r="AK13" s="15">
        <v>5.9</v>
      </c>
    </row>
    <row r="14" spans="1:37" ht="15" hidden="1" x14ac:dyDescent="0.2">
      <c r="A14" s="124" t="s">
        <v>71</v>
      </c>
      <c r="B14" s="125" t="s">
        <v>53</v>
      </c>
      <c r="C14" s="125" t="s">
        <v>151</v>
      </c>
      <c r="D14" s="125" t="s">
        <v>163</v>
      </c>
      <c r="E14" s="127">
        <v>3.9940000000000002</v>
      </c>
      <c r="F14" s="127">
        <v>1.0999999999999999E-2</v>
      </c>
      <c r="G14" s="127">
        <v>0.19400000000000001</v>
      </c>
      <c r="H14" s="126">
        <v>212</v>
      </c>
      <c r="I14" s="17">
        <v>190.6</v>
      </c>
      <c r="J14" s="17">
        <v>-141.20000000000002</v>
      </c>
      <c r="K14" s="15">
        <v>-0.74081846799580287</v>
      </c>
      <c r="L14" s="17">
        <v>12.959076600209862</v>
      </c>
      <c r="M14" s="11" t="e">
        <v>#DIV/0!</v>
      </c>
      <c r="N14" s="14" t="s">
        <v>487</v>
      </c>
      <c r="O14" s="14" t="s">
        <v>476</v>
      </c>
      <c r="P14" s="128" t="s">
        <v>475</v>
      </c>
      <c r="Q14" s="128">
        <v>94</v>
      </c>
      <c r="R14" s="126">
        <v>3.1333333333333333</v>
      </c>
      <c r="S14" s="128" t="s">
        <v>477</v>
      </c>
      <c r="T14" s="128">
        <v>6</v>
      </c>
      <c r="U14" s="129"/>
      <c r="W14" s="142" t="s">
        <v>71</v>
      </c>
      <c r="X14" s="14" t="s">
        <v>53</v>
      </c>
      <c r="Y14" s="14" t="s">
        <v>331</v>
      </c>
      <c r="Z14" s="14" t="s">
        <v>347</v>
      </c>
      <c r="AA14" s="16">
        <v>9.8480000000000008</v>
      </c>
      <c r="AB14" s="16">
        <v>2.7E-2</v>
      </c>
      <c r="AC14" s="16">
        <v>0.30199999999999999</v>
      </c>
      <c r="AD14" s="15">
        <v>175</v>
      </c>
      <c r="AE14" s="17">
        <v>56.3</v>
      </c>
      <c r="AF14" s="17">
        <v>-7.5</v>
      </c>
      <c r="AG14" s="15">
        <v>-0.13321492007104796</v>
      </c>
      <c r="AH14" s="17">
        <v>43.339253996447603</v>
      </c>
      <c r="AI14" s="17">
        <v>91.071428571428569</v>
      </c>
      <c r="AJ14" s="17">
        <v>177</v>
      </c>
      <c r="AK14" s="15">
        <v>5.9</v>
      </c>
    </row>
    <row r="15" spans="1:37" ht="15" hidden="1" x14ac:dyDescent="0.2">
      <c r="A15" s="130" t="s">
        <v>73</v>
      </c>
      <c r="B15" s="131" t="s">
        <v>41</v>
      </c>
      <c r="C15" s="131" t="s">
        <v>151</v>
      </c>
      <c r="D15" s="131" t="s">
        <v>168</v>
      </c>
      <c r="E15" s="133">
        <v>11.622</v>
      </c>
      <c r="F15" s="133">
        <v>3.2000000000000001E-2</v>
      </c>
      <c r="G15" s="133">
        <v>0.26</v>
      </c>
      <c r="H15" s="132">
        <v>25.7</v>
      </c>
      <c r="I15" s="134">
        <v>55.8</v>
      </c>
      <c r="J15" s="134">
        <v>13.2</v>
      </c>
      <c r="K15" s="26">
        <v>0.23655913978494625</v>
      </c>
      <c r="L15" s="134">
        <v>61.827956989247312</v>
      </c>
      <c r="M15" s="139">
        <v>40.095087163232968</v>
      </c>
      <c r="N15" s="25" t="s">
        <v>486</v>
      </c>
      <c r="O15" s="25" t="s">
        <v>472</v>
      </c>
      <c r="P15" s="25" t="s">
        <v>475</v>
      </c>
      <c r="Q15" s="25">
        <v>93</v>
      </c>
      <c r="R15" s="26">
        <v>3.1</v>
      </c>
      <c r="S15" s="135"/>
      <c r="T15" s="135"/>
      <c r="U15" s="136"/>
    </row>
    <row r="16" spans="1:37" ht="15" hidden="1" x14ac:dyDescent="0.2">
      <c r="A16" s="124" t="s">
        <v>76</v>
      </c>
      <c r="B16" s="125" t="s">
        <v>46</v>
      </c>
      <c r="C16" s="125" t="s">
        <v>151</v>
      </c>
      <c r="D16" s="125" t="s">
        <v>168</v>
      </c>
      <c r="E16" s="127">
        <v>11.958</v>
      </c>
      <c r="F16" s="127">
        <v>3.3000000000000002E-2</v>
      </c>
      <c r="G16" s="127">
        <v>0.25800000000000001</v>
      </c>
      <c r="H16" s="126">
        <v>34.799999999999997</v>
      </c>
      <c r="I16" s="17">
        <v>136.69999999999999</v>
      </c>
      <c r="J16" s="17">
        <v>73.900000000000006</v>
      </c>
      <c r="K16" s="15">
        <v>0.54059985369422103</v>
      </c>
      <c r="L16" s="17">
        <v>77.029992684711047</v>
      </c>
      <c r="M16" s="11">
        <v>42.130750605326881</v>
      </c>
      <c r="N16" s="125" t="s">
        <v>486</v>
      </c>
      <c r="O16" s="125" t="s">
        <v>472</v>
      </c>
      <c r="P16" s="128" t="s">
        <v>473</v>
      </c>
      <c r="Q16" s="128">
        <v>86</v>
      </c>
      <c r="R16" s="128">
        <v>2.8666666666666667</v>
      </c>
      <c r="S16" s="128" t="s">
        <v>477</v>
      </c>
      <c r="T16" s="128">
        <v>4</v>
      </c>
      <c r="U16" s="129" t="s">
        <v>463</v>
      </c>
      <c r="W16" s="142" t="s">
        <v>76</v>
      </c>
      <c r="X16" s="14" t="s">
        <v>41</v>
      </c>
      <c r="Y16" s="14" t="s">
        <v>331</v>
      </c>
      <c r="Z16" s="14" t="s">
        <v>349</v>
      </c>
      <c r="AA16" s="16">
        <v>8.2829999999999995</v>
      </c>
      <c r="AB16" s="16">
        <v>2.3E-2</v>
      </c>
      <c r="AC16" s="16">
        <v>0.26</v>
      </c>
      <c r="AD16" s="15">
        <v>53.5</v>
      </c>
      <c r="AE16" s="17">
        <v>164</v>
      </c>
      <c r="AF16" s="17">
        <v>-135.60000000000002</v>
      </c>
      <c r="AG16" s="15">
        <v>-0.82682926829268311</v>
      </c>
      <c r="AH16" s="17">
        <v>8.6585365853658534</v>
      </c>
      <c r="AI16" s="17">
        <v>58.153846153846153</v>
      </c>
      <c r="AJ16" s="17">
        <v>169</v>
      </c>
      <c r="AK16" s="15">
        <v>5.6333333333333337</v>
      </c>
    </row>
    <row r="17" spans="1:37" ht="15" hidden="1" x14ac:dyDescent="0.2">
      <c r="A17" s="124" t="s">
        <v>78</v>
      </c>
      <c r="B17" s="125" t="s">
        <v>49</v>
      </c>
      <c r="C17" s="125" t="s">
        <v>151</v>
      </c>
      <c r="D17" s="125" t="s">
        <v>168</v>
      </c>
      <c r="E17" s="127">
        <v>5.2240000000000002</v>
      </c>
      <c r="F17" s="127">
        <v>1.4999999999999999E-2</v>
      </c>
      <c r="G17" s="127">
        <v>0.26100000000000001</v>
      </c>
      <c r="H17" s="126">
        <v>232.5</v>
      </c>
      <c r="I17" s="17">
        <v>3.8</v>
      </c>
      <c r="J17" s="17">
        <v>-1.2</v>
      </c>
      <c r="K17" s="15">
        <v>-0.31578947368421051</v>
      </c>
      <c r="L17" s="17">
        <v>34.210526315789473</v>
      </c>
      <c r="M17" s="11">
        <v>52.702702702702695</v>
      </c>
      <c r="N17" s="125" t="s">
        <v>487</v>
      </c>
      <c r="O17" s="125" t="s">
        <v>472</v>
      </c>
      <c r="P17" s="128" t="s">
        <v>475</v>
      </c>
      <c r="Q17" s="128">
        <v>86</v>
      </c>
      <c r="R17" s="128">
        <v>2.8666666666666667</v>
      </c>
      <c r="S17" s="128" t="s">
        <v>474</v>
      </c>
      <c r="T17" s="128">
        <v>1</v>
      </c>
      <c r="U17" s="129"/>
      <c r="W17" s="142" t="s">
        <v>78</v>
      </c>
      <c r="X17" s="14" t="s">
        <v>46</v>
      </c>
      <c r="Y17" s="14" t="s">
        <v>331</v>
      </c>
      <c r="Z17" s="14" t="s">
        <v>351</v>
      </c>
      <c r="AA17" s="16">
        <v>11.711</v>
      </c>
      <c r="AB17" s="16">
        <v>3.3000000000000002E-2</v>
      </c>
      <c r="AC17" s="16">
        <v>0.23300000000000001</v>
      </c>
      <c r="AD17" s="15">
        <v>68.5</v>
      </c>
      <c r="AE17" s="17">
        <v>92.9</v>
      </c>
      <c r="AF17" s="17">
        <v>-46.900000000000006</v>
      </c>
      <c r="AG17" s="15">
        <v>-0.5048439181916039</v>
      </c>
      <c r="AH17" s="17">
        <v>24.757804090419803</v>
      </c>
      <c r="AI17" s="17">
        <v>46.86078252957234</v>
      </c>
      <c r="AJ17" s="17">
        <v>169</v>
      </c>
      <c r="AK17" s="15">
        <v>5.6333333333333337</v>
      </c>
    </row>
    <row r="18" spans="1:37" ht="15" hidden="1" x14ac:dyDescent="0.2">
      <c r="A18" s="124" t="s">
        <v>80</v>
      </c>
      <c r="B18" s="125" t="s">
        <v>53</v>
      </c>
      <c r="C18" s="125" t="s">
        <v>151</v>
      </c>
      <c r="D18" s="125" t="s">
        <v>168</v>
      </c>
      <c r="E18" s="127">
        <v>22.835999999999999</v>
      </c>
      <c r="F18" s="127">
        <v>6.3E-2</v>
      </c>
      <c r="G18" s="127">
        <v>0.308</v>
      </c>
      <c r="H18" s="126">
        <v>19.2</v>
      </c>
      <c r="I18" s="17">
        <v>74.900000000000006</v>
      </c>
      <c r="J18" s="17">
        <v>6.5</v>
      </c>
      <c r="K18" s="15">
        <v>8.678237650200267E-2</v>
      </c>
      <c r="L18" s="17">
        <v>54.33911882510013</v>
      </c>
      <c r="M18" s="11">
        <v>36.026936026936028</v>
      </c>
      <c r="N18" s="125" t="s">
        <v>487</v>
      </c>
      <c r="O18" s="125" t="s">
        <v>476</v>
      </c>
      <c r="P18" s="128" t="s">
        <v>473</v>
      </c>
      <c r="Q18" s="128">
        <v>86</v>
      </c>
      <c r="R18" s="128">
        <v>2.8666666666666667</v>
      </c>
      <c r="S18" s="128" t="s">
        <v>474</v>
      </c>
      <c r="T18" s="128">
        <v>7</v>
      </c>
      <c r="U18" s="129"/>
      <c r="W18" s="142" t="s">
        <v>80</v>
      </c>
      <c r="X18" s="14" t="s">
        <v>49</v>
      </c>
      <c r="Y18" s="14" t="s">
        <v>331</v>
      </c>
      <c r="Z18" s="14" t="s">
        <v>351</v>
      </c>
      <c r="AA18" s="16">
        <v>52.59</v>
      </c>
      <c r="AB18" s="16">
        <v>0.14599999999999999</v>
      </c>
      <c r="AC18" s="16">
        <v>0.35699999999999998</v>
      </c>
      <c r="AD18" s="15">
        <v>2.5</v>
      </c>
      <c r="AE18" s="17">
        <v>107.1</v>
      </c>
      <c r="AF18" s="17">
        <v>3.5</v>
      </c>
      <c r="AG18" s="15">
        <v>3.2679738562091505E-2</v>
      </c>
      <c r="AH18" s="17">
        <v>51.633986928104584</v>
      </c>
      <c r="AI18" s="17">
        <v>49.007444168734494</v>
      </c>
      <c r="AJ18" s="17">
        <v>169</v>
      </c>
      <c r="AK18" s="15">
        <v>5.6333333333333337</v>
      </c>
    </row>
    <row r="19" spans="1:37" ht="15" hidden="1" x14ac:dyDescent="0.2">
      <c r="A19" s="124" t="s">
        <v>82</v>
      </c>
      <c r="B19" s="125" t="s">
        <v>41</v>
      </c>
      <c r="C19" s="125" t="s">
        <v>151</v>
      </c>
      <c r="D19" s="125" t="s">
        <v>173</v>
      </c>
      <c r="E19" s="127">
        <v>2.3069999999999999</v>
      </c>
      <c r="F19" s="127">
        <v>6.0000000000000001E-3</v>
      </c>
      <c r="G19" s="127">
        <v>0.224</v>
      </c>
      <c r="H19" s="126">
        <v>113.4</v>
      </c>
      <c r="I19" s="17">
        <v>4.8999999999999995</v>
      </c>
      <c r="J19" s="17">
        <v>3.6999999999999997</v>
      </c>
      <c r="K19" s="15">
        <v>0.75510204081632659</v>
      </c>
      <c r="L19" s="17">
        <v>87.75510204081634</v>
      </c>
      <c r="M19" s="11">
        <v>23.809523809523807</v>
      </c>
      <c r="N19" s="125" t="s">
        <v>487</v>
      </c>
      <c r="O19" s="125" t="s">
        <v>472</v>
      </c>
      <c r="P19" s="128" t="s">
        <v>473</v>
      </c>
      <c r="Q19" s="128">
        <v>86</v>
      </c>
      <c r="R19" s="128">
        <v>2.8666666666666667</v>
      </c>
      <c r="S19" s="128" t="s">
        <v>474</v>
      </c>
      <c r="T19" s="128">
        <v>3</v>
      </c>
      <c r="U19" s="129"/>
      <c r="W19" s="142" t="s">
        <v>82</v>
      </c>
      <c r="X19" s="14" t="s">
        <v>53</v>
      </c>
      <c r="Y19" s="14" t="s">
        <v>331</v>
      </c>
      <c r="Z19" s="14" t="s">
        <v>351</v>
      </c>
      <c r="AA19" s="16">
        <v>2.4660000000000002</v>
      </c>
      <c r="AB19" s="16">
        <v>7.0000000000000001E-3</v>
      </c>
      <c r="AC19" s="16">
        <v>0.215</v>
      </c>
      <c r="AD19" s="15">
        <v>213.7</v>
      </c>
      <c r="AE19" s="17">
        <v>8</v>
      </c>
      <c r="AF19" s="17">
        <v>7</v>
      </c>
      <c r="AG19" s="15">
        <v>0.875</v>
      </c>
      <c r="AH19" s="17">
        <v>93.75</v>
      </c>
      <c r="AI19" s="17">
        <v>25.490196078431371</v>
      </c>
      <c r="AJ19" s="17">
        <v>169</v>
      </c>
      <c r="AK19" s="15">
        <v>5.6333333333333337</v>
      </c>
    </row>
    <row r="20" spans="1:37" ht="15" hidden="1" x14ac:dyDescent="0.2">
      <c r="A20" s="124" t="s">
        <v>85</v>
      </c>
      <c r="B20" s="125" t="s">
        <v>46</v>
      </c>
      <c r="C20" s="125" t="s">
        <v>151</v>
      </c>
      <c r="D20" s="125" t="s">
        <v>173</v>
      </c>
      <c r="E20" s="127">
        <v>14.929</v>
      </c>
      <c r="F20" s="127">
        <v>4.1000000000000002E-2</v>
      </c>
      <c r="G20" s="127">
        <v>0.30199999999999999</v>
      </c>
      <c r="H20" s="126">
        <v>21.9</v>
      </c>
      <c r="I20" s="17">
        <v>93.699999999999989</v>
      </c>
      <c r="J20" s="17">
        <v>-36.499999999999993</v>
      </c>
      <c r="K20" s="15">
        <v>-0.38954108858057629</v>
      </c>
      <c r="L20" s="17">
        <v>30.522945570971189</v>
      </c>
      <c r="M20" s="11">
        <v>42.780748663101605</v>
      </c>
      <c r="N20" s="125" t="s">
        <v>486</v>
      </c>
      <c r="O20" s="125" t="s">
        <v>472</v>
      </c>
      <c r="P20" s="128" t="s">
        <v>473</v>
      </c>
      <c r="Q20" s="128">
        <v>76</v>
      </c>
      <c r="R20" s="128">
        <v>2.5333333333333332</v>
      </c>
      <c r="S20" s="128" t="s">
        <v>474</v>
      </c>
      <c r="T20" s="128">
        <v>3</v>
      </c>
      <c r="U20" s="129"/>
      <c r="W20" s="142" t="s">
        <v>85</v>
      </c>
      <c r="X20" s="14" t="s">
        <v>41</v>
      </c>
      <c r="Y20" s="14" t="s">
        <v>331</v>
      </c>
      <c r="Z20" s="14" t="s">
        <v>355</v>
      </c>
      <c r="AA20" s="16">
        <v>6.1219999999999999</v>
      </c>
      <c r="AB20" s="16">
        <v>1.7000000000000001E-2</v>
      </c>
      <c r="AC20" s="16">
        <v>0.309</v>
      </c>
      <c r="AD20" s="15">
        <v>95</v>
      </c>
      <c r="AE20" s="17">
        <v>148.30000000000001</v>
      </c>
      <c r="AF20" s="17">
        <v>86.3</v>
      </c>
      <c r="AG20" s="15">
        <v>0.58192852326365474</v>
      </c>
      <c r="AH20" s="17">
        <v>79.096426163182727</v>
      </c>
      <c r="AI20" s="17">
        <v>62.380231971759962</v>
      </c>
      <c r="AJ20" s="17">
        <v>159</v>
      </c>
      <c r="AK20" s="15">
        <v>5.3</v>
      </c>
    </row>
    <row r="21" spans="1:37" ht="15" x14ac:dyDescent="0.2">
      <c r="A21" s="124" t="s">
        <v>87</v>
      </c>
      <c r="B21" s="125" t="s">
        <v>49</v>
      </c>
      <c r="C21" s="125" t="s">
        <v>151</v>
      </c>
      <c r="D21" s="125" t="s">
        <v>173</v>
      </c>
      <c r="E21" s="127">
        <v>6.8639999999999999</v>
      </c>
      <c r="F21" s="127">
        <v>1.9E-2</v>
      </c>
      <c r="G21" s="127">
        <v>0.23699999999999999</v>
      </c>
      <c r="H21" s="126">
        <v>57.7</v>
      </c>
      <c r="I21" s="17">
        <v>30.6</v>
      </c>
      <c r="J21" s="17">
        <v>-19.799999999999997</v>
      </c>
      <c r="K21" s="15">
        <v>-0.64705882352941169</v>
      </c>
      <c r="L21" s="17">
        <v>17.647058823529413</v>
      </c>
      <c r="M21" s="11">
        <v>44.619799139167867</v>
      </c>
      <c r="N21" s="125" t="s">
        <v>486</v>
      </c>
      <c r="O21" s="125" t="s">
        <v>476</v>
      </c>
      <c r="P21" s="128" t="s">
        <v>473</v>
      </c>
      <c r="Q21" s="128">
        <v>76</v>
      </c>
      <c r="R21" s="128">
        <v>2.5333333333333332</v>
      </c>
      <c r="S21" s="128" t="s">
        <v>477</v>
      </c>
      <c r="T21" s="128">
        <v>8</v>
      </c>
      <c r="U21" s="129"/>
      <c r="W21" s="142" t="s">
        <v>87</v>
      </c>
      <c r="X21" s="14" t="s">
        <v>46</v>
      </c>
      <c r="Y21" s="14" t="s">
        <v>331</v>
      </c>
      <c r="Z21" s="14" t="s">
        <v>355</v>
      </c>
      <c r="AA21" s="16">
        <v>7.92</v>
      </c>
      <c r="AB21" s="16">
        <v>2.1999999999999999E-2</v>
      </c>
      <c r="AC21" s="16">
        <v>0.20799999999999999</v>
      </c>
      <c r="AD21" s="15">
        <v>65.400000000000006</v>
      </c>
      <c r="AE21" s="17">
        <v>87.9</v>
      </c>
      <c r="AF21" s="17">
        <v>-43.900000000000006</v>
      </c>
      <c r="AG21" s="15">
        <v>-0.49943117178612062</v>
      </c>
      <c r="AH21" s="17">
        <v>25.028441410693969</v>
      </c>
      <c r="AI21" s="17">
        <v>55.878928987194406</v>
      </c>
      <c r="AJ21" s="17">
        <v>159</v>
      </c>
      <c r="AK21" s="15">
        <v>5.3</v>
      </c>
    </row>
    <row r="22" spans="1:37" ht="15" hidden="1" x14ac:dyDescent="0.2">
      <c r="A22" s="124" t="s">
        <v>89</v>
      </c>
      <c r="B22" s="125" t="s">
        <v>53</v>
      </c>
      <c r="C22" s="125" t="s">
        <v>151</v>
      </c>
      <c r="D22" s="125" t="s">
        <v>173</v>
      </c>
      <c r="E22" s="127">
        <v>7.4829999999999997</v>
      </c>
      <c r="F22" s="127">
        <v>2.1000000000000001E-2</v>
      </c>
      <c r="G22" s="127">
        <v>0.28299999999999997</v>
      </c>
      <c r="H22" s="126">
        <v>116.4</v>
      </c>
      <c r="I22" s="17">
        <v>37.099999999999994</v>
      </c>
      <c r="J22" s="17">
        <v>13.7</v>
      </c>
      <c r="K22" s="15">
        <v>0.36927223719676555</v>
      </c>
      <c r="L22" s="17">
        <v>68.463611859838281</v>
      </c>
      <c r="M22" s="11">
        <v>33.261339092872575</v>
      </c>
      <c r="N22" s="125" t="s">
        <v>487</v>
      </c>
      <c r="O22" s="125" t="s">
        <v>472</v>
      </c>
      <c r="P22" s="128" t="s">
        <v>473</v>
      </c>
      <c r="Q22" s="128">
        <v>76</v>
      </c>
      <c r="R22" s="128">
        <v>2.5333333333333332</v>
      </c>
      <c r="S22" s="128" t="s">
        <v>474</v>
      </c>
      <c r="T22" s="128">
        <v>3</v>
      </c>
      <c r="U22" s="129"/>
      <c r="W22" s="142" t="s">
        <v>89</v>
      </c>
      <c r="X22" s="14" t="s">
        <v>49</v>
      </c>
      <c r="Y22" s="14" t="s">
        <v>331</v>
      </c>
      <c r="Z22" s="14" t="s">
        <v>358</v>
      </c>
      <c r="AA22" s="16">
        <v>4.367</v>
      </c>
      <c r="AB22" s="16">
        <v>1.2E-2</v>
      </c>
      <c r="AC22" s="16">
        <v>0.253</v>
      </c>
      <c r="AD22" s="15">
        <v>201.7</v>
      </c>
      <c r="AE22" s="17">
        <v>9.5</v>
      </c>
      <c r="AF22" s="17">
        <v>-5.9</v>
      </c>
      <c r="AG22" s="15">
        <v>-0.62105263157894741</v>
      </c>
      <c r="AH22" s="17">
        <v>18.947368421052634</v>
      </c>
      <c r="AI22" s="17">
        <v>65.06849315068493</v>
      </c>
      <c r="AJ22" s="17">
        <v>159</v>
      </c>
      <c r="AK22" s="15">
        <v>5.3</v>
      </c>
    </row>
    <row r="23" spans="1:37" ht="15" hidden="1" x14ac:dyDescent="0.2">
      <c r="A23" s="124" t="s">
        <v>91</v>
      </c>
      <c r="B23" s="125" t="s">
        <v>41</v>
      </c>
      <c r="C23" s="125" t="s">
        <v>151</v>
      </c>
      <c r="D23" s="125" t="s">
        <v>178</v>
      </c>
      <c r="E23" s="127">
        <v>15.304</v>
      </c>
      <c r="F23" s="127">
        <v>4.2999999999999997E-2</v>
      </c>
      <c r="G23" s="127">
        <v>0.29799999999999999</v>
      </c>
      <c r="H23" s="126">
        <v>16.5</v>
      </c>
      <c r="I23" s="17">
        <v>16</v>
      </c>
      <c r="J23" s="17">
        <v>-0.19999999999999929</v>
      </c>
      <c r="K23" s="15">
        <v>-1.2499999999999956E-2</v>
      </c>
      <c r="L23" s="17">
        <v>49.375</v>
      </c>
      <c r="M23" s="11">
        <v>51.680672268907571</v>
      </c>
      <c r="N23" s="125" t="s">
        <v>487</v>
      </c>
      <c r="O23" s="125" t="s">
        <v>476</v>
      </c>
      <c r="P23" s="128" t="s">
        <v>475</v>
      </c>
      <c r="Q23" s="128">
        <v>76</v>
      </c>
      <c r="R23" s="128">
        <v>2.5333333333333332</v>
      </c>
      <c r="S23" s="128" t="s">
        <v>474</v>
      </c>
      <c r="T23" s="128">
        <v>5</v>
      </c>
      <c r="U23" s="129"/>
      <c r="W23" s="142" t="s">
        <v>91</v>
      </c>
      <c r="X23" s="14" t="s">
        <v>53</v>
      </c>
      <c r="Y23" s="14" t="s">
        <v>331</v>
      </c>
      <c r="Z23" s="14" t="s">
        <v>358</v>
      </c>
      <c r="AA23" s="16">
        <v>6.827</v>
      </c>
      <c r="AB23" s="16">
        <v>1.9E-2</v>
      </c>
      <c r="AC23" s="16">
        <v>0.27600000000000002</v>
      </c>
      <c r="AD23" s="15">
        <v>121.2</v>
      </c>
      <c r="AE23" s="17">
        <v>89.3</v>
      </c>
      <c r="AF23" s="17">
        <v>76.3</v>
      </c>
      <c r="AG23" s="15">
        <v>0.85442329227323632</v>
      </c>
      <c r="AH23" s="17">
        <v>92.721164613661813</v>
      </c>
      <c r="AI23" s="17">
        <v>48.44290657439447</v>
      </c>
      <c r="AJ23" s="17">
        <v>159</v>
      </c>
      <c r="AK23" s="15">
        <v>5.3</v>
      </c>
    </row>
    <row r="24" spans="1:37" ht="15" hidden="1" x14ac:dyDescent="0.2">
      <c r="A24" s="130" t="s">
        <v>94</v>
      </c>
      <c r="B24" s="131" t="s">
        <v>46</v>
      </c>
      <c r="C24" s="131" t="s">
        <v>151</v>
      </c>
      <c r="D24" s="131" t="s">
        <v>178</v>
      </c>
      <c r="E24" s="133">
        <v>7.1970000000000001</v>
      </c>
      <c r="F24" s="133">
        <v>0.02</v>
      </c>
      <c r="G24" s="133">
        <v>0.26500000000000001</v>
      </c>
      <c r="H24" s="132">
        <v>104.2</v>
      </c>
      <c r="I24" s="134">
        <v>33.9</v>
      </c>
      <c r="J24" s="134">
        <v>-21.700000000000003</v>
      </c>
      <c r="K24" s="26">
        <v>-0.64011799410029513</v>
      </c>
      <c r="L24" s="134">
        <v>17.994100294985248</v>
      </c>
      <c r="M24" s="139">
        <v>80.800000000000011</v>
      </c>
      <c r="N24" s="137" t="s">
        <v>487</v>
      </c>
      <c r="O24" s="137" t="s">
        <v>472</v>
      </c>
      <c r="P24" s="137" t="s">
        <v>475</v>
      </c>
      <c r="Q24" s="137">
        <v>81</v>
      </c>
      <c r="R24" s="138">
        <v>2.7</v>
      </c>
      <c r="S24" s="135"/>
      <c r="T24" s="135"/>
      <c r="U24" s="136"/>
    </row>
    <row r="25" spans="1:37" ht="15" hidden="1" x14ac:dyDescent="0.2">
      <c r="A25" s="124" t="s">
        <v>96</v>
      </c>
      <c r="B25" s="125" t="s">
        <v>49</v>
      </c>
      <c r="C25" s="125" t="s">
        <v>151</v>
      </c>
      <c r="D25" s="125" t="s">
        <v>178</v>
      </c>
      <c r="E25" s="127">
        <v>5.6989999999999998</v>
      </c>
      <c r="F25" s="127">
        <v>1.6E-2</v>
      </c>
      <c r="G25" s="127">
        <v>0.24199999999999999</v>
      </c>
      <c r="H25" s="126">
        <v>107.7</v>
      </c>
      <c r="I25" s="17">
        <v>78.5</v>
      </c>
      <c r="J25" s="17">
        <v>-27.299999999999997</v>
      </c>
      <c r="K25" s="15">
        <v>-0.34777070063694265</v>
      </c>
      <c r="L25" s="17">
        <v>32.611464968152873</v>
      </c>
      <c r="M25" s="11">
        <v>42.184368737474948</v>
      </c>
      <c r="N25" s="125" t="s">
        <v>486</v>
      </c>
      <c r="O25" s="125" t="s">
        <v>476</v>
      </c>
      <c r="P25" s="128" t="s">
        <v>475</v>
      </c>
      <c r="Q25" s="128">
        <v>68</v>
      </c>
      <c r="R25" s="128">
        <v>2.2666666666666666</v>
      </c>
      <c r="S25" s="128" t="s">
        <v>477</v>
      </c>
      <c r="T25" s="128">
        <v>6</v>
      </c>
      <c r="U25" s="129"/>
      <c r="W25" s="142" t="s">
        <v>96</v>
      </c>
      <c r="X25" s="14" t="s">
        <v>41</v>
      </c>
      <c r="Y25" s="14" t="s">
        <v>331</v>
      </c>
      <c r="Z25" s="14" t="s">
        <v>361</v>
      </c>
      <c r="AA25" s="16">
        <v>5.0129999999999999</v>
      </c>
      <c r="AB25" s="16">
        <v>1.4E-2</v>
      </c>
      <c r="AC25" s="16">
        <v>0.22900000000000001</v>
      </c>
      <c r="AD25" s="15">
        <v>185.1</v>
      </c>
      <c r="AE25" s="17">
        <v>113.2</v>
      </c>
      <c r="AF25" s="17">
        <v>68.8</v>
      </c>
      <c r="AG25" s="15">
        <v>0.607773851590106</v>
      </c>
      <c r="AH25" s="17">
        <v>80.388692579505289</v>
      </c>
      <c r="AI25" s="17">
        <v>81.385281385281388</v>
      </c>
      <c r="AJ25" s="17">
        <v>151</v>
      </c>
      <c r="AK25" s="15">
        <v>5.0333333333333332</v>
      </c>
    </row>
    <row r="26" spans="1:37" ht="15" hidden="1" x14ac:dyDescent="0.2">
      <c r="A26" s="124" t="s">
        <v>98</v>
      </c>
      <c r="B26" s="125" t="s">
        <v>53</v>
      </c>
      <c r="C26" s="125" t="s">
        <v>151</v>
      </c>
      <c r="D26" s="125" t="s">
        <v>178</v>
      </c>
      <c r="E26" s="127">
        <v>9.3710000000000004</v>
      </c>
      <c r="F26" s="127">
        <v>2.5999999999999999E-2</v>
      </c>
      <c r="G26" s="127">
        <v>0.29099999999999998</v>
      </c>
      <c r="H26" s="126">
        <v>45.6</v>
      </c>
      <c r="I26" s="17">
        <v>61.6</v>
      </c>
      <c r="J26" s="17">
        <v>33.4</v>
      </c>
      <c r="K26" s="15">
        <v>0.54220779220779214</v>
      </c>
      <c r="L26" s="17">
        <v>77.110389610389603</v>
      </c>
      <c r="M26" s="11">
        <v>40.069686411149824</v>
      </c>
      <c r="N26" s="125" t="s">
        <v>486</v>
      </c>
      <c r="O26" s="125" t="s">
        <v>476</v>
      </c>
      <c r="P26" s="128" t="s">
        <v>475</v>
      </c>
      <c r="Q26" s="128">
        <v>68</v>
      </c>
      <c r="R26" s="128">
        <v>2.2666666666666666</v>
      </c>
      <c r="S26" s="128" t="s">
        <v>474</v>
      </c>
      <c r="T26" s="128">
        <v>5</v>
      </c>
      <c r="U26" s="129"/>
      <c r="W26" s="142" t="s">
        <v>98</v>
      </c>
      <c r="X26" s="14" t="s">
        <v>46</v>
      </c>
      <c r="Y26" s="14" t="s">
        <v>331</v>
      </c>
      <c r="Z26" s="14" t="s">
        <v>361</v>
      </c>
      <c r="AA26" s="16">
        <v>9.343</v>
      </c>
      <c r="AB26" s="16">
        <v>2.5999999999999999E-2</v>
      </c>
      <c r="AC26" s="16">
        <v>0.28199999999999997</v>
      </c>
      <c r="AD26" s="15">
        <v>124.1</v>
      </c>
      <c r="AE26" s="17">
        <v>57.8</v>
      </c>
      <c r="AF26" s="17">
        <v>-29.400000000000002</v>
      </c>
      <c r="AG26" s="15">
        <v>-0.50865051903114189</v>
      </c>
      <c r="AH26" s="17">
        <v>24.567474048442904</v>
      </c>
      <c r="AI26" s="17">
        <v>87.937937937937932</v>
      </c>
      <c r="AJ26" s="17">
        <v>151</v>
      </c>
      <c r="AK26" s="15">
        <v>5.0333333333333332</v>
      </c>
    </row>
    <row r="27" spans="1:37" ht="15" hidden="1" x14ac:dyDescent="0.2">
      <c r="A27" s="130" t="s">
        <v>100</v>
      </c>
      <c r="B27" s="131" t="s">
        <v>41</v>
      </c>
      <c r="C27" s="131" t="s">
        <v>151</v>
      </c>
      <c r="D27" s="131" t="s">
        <v>183</v>
      </c>
      <c r="E27" s="133">
        <v>5.6280000000000001</v>
      </c>
      <c r="F27" s="133">
        <v>1.6E-2</v>
      </c>
      <c r="G27" s="133">
        <v>0.22800000000000001</v>
      </c>
      <c r="H27" s="132">
        <v>83</v>
      </c>
      <c r="I27" s="134">
        <v>27</v>
      </c>
      <c r="J27" s="134">
        <v>3.6000000000000014</v>
      </c>
      <c r="K27" s="26">
        <v>0.13333333333333339</v>
      </c>
      <c r="L27" s="134">
        <v>56.666666666666664</v>
      </c>
      <c r="M27" s="139">
        <v>13.477537437603992</v>
      </c>
      <c r="N27" s="137" t="s">
        <v>486</v>
      </c>
      <c r="O27" s="137" t="s">
        <v>476</v>
      </c>
      <c r="P27" s="137" t="s">
        <v>473</v>
      </c>
      <c r="Q27" s="137">
        <v>73</v>
      </c>
      <c r="R27" s="138">
        <v>2.4333333333333331</v>
      </c>
      <c r="S27" s="135"/>
      <c r="T27" s="135"/>
      <c r="U27" s="136"/>
    </row>
    <row r="28" spans="1:37" ht="15" hidden="1" x14ac:dyDescent="0.2">
      <c r="A28" s="124" t="s">
        <v>103</v>
      </c>
      <c r="B28" s="125" t="s">
        <v>46</v>
      </c>
      <c r="C28" s="125" t="s">
        <v>151</v>
      </c>
      <c r="D28" s="125" t="s">
        <v>183</v>
      </c>
      <c r="E28" s="127">
        <v>10.589</v>
      </c>
      <c r="F28" s="127">
        <v>2.9000000000000001E-2</v>
      </c>
      <c r="G28" s="127">
        <v>0.24199999999999999</v>
      </c>
      <c r="H28" s="126">
        <v>42.4</v>
      </c>
      <c r="I28" s="17">
        <v>67.7</v>
      </c>
      <c r="J28" s="17">
        <v>17.5</v>
      </c>
      <c r="K28" s="15">
        <v>0.25849335302806498</v>
      </c>
      <c r="L28" s="17">
        <v>62.924667651403254</v>
      </c>
      <c r="M28" s="11">
        <v>58.084914182475167</v>
      </c>
      <c r="N28" s="125" t="s">
        <v>486</v>
      </c>
      <c r="O28" s="125" t="s">
        <v>476</v>
      </c>
      <c r="P28" s="128" t="s">
        <v>475</v>
      </c>
      <c r="Q28" s="128">
        <v>68</v>
      </c>
      <c r="R28" s="128">
        <v>2.2666666666666666</v>
      </c>
      <c r="S28" s="128" t="s">
        <v>477</v>
      </c>
      <c r="T28" s="128">
        <v>6</v>
      </c>
      <c r="U28" s="129"/>
      <c r="W28" s="142" t="s">
        <v>103</v>
      </c>
      <c r="X28" s="14" t="s">
        <v>49</v>
      </c>
      <c r="Y28" s="14" t="s">
        <v>331</v>
      </c>
      <c r="Z28" s="14" t="s">
        <v>361</v>
      </c>
      <c r="AA28" s="16">
        <v>6.4550000000000001</v>
      </c>
      <c r="AB28" s="16">
        <v>1.7999999999999999E-2</v>
      </c>
      <c r="AC28" s="16">
        <v>0.28000000000000003</v>
      </c>
      <c r="AD28" s="15">
        <v>132.1</v>
      </c>
      <c r="AE28" s="17">
        <v>88.399999999999991</v>
      </c>
      <c r="AF28" s="17">
        <v>-48.8</v>
      </c>
      <c r="AG28" s="15">
        <v>-0.55203619909502266</v>
      </c>
      <c r="AH28" s="17">
        <v>22.398190045248871</v>
      </c>
      <c r="AI28" s="17">
        <v>59.438775510204081</v>
      </c>
      <c r="AJ28" s="17">
        <v>151</v>
      </c>
      <c r="AK28" s="15">
        <v>5.0333333333333332</v>
      </c>
    </row>
    <row r="29" spans="1:37" ht="15" x14ac:dyDescent="0.2">
      <c r="A29" s="124" t="s">
        <v>105</v>
      </c>
      <c r="B29" s="125" t="s">
        <v>49</v>
      </c>
      <c r="C29" s="125" t="s">
        <v>151</v>
      </c>
      <c r="D29" s="125" t="s">
        <v>183</v>
      </c>
      <c r="E29" s="127">
        <v>7.2729999999999997</v>
      </c>
      <c r="F29" s="127">
        <v>0.02</v>
      </c>
      <c r="G29" s="127">
        <v>0.28000000000000003</v>
      </c>
      <c r="H29" s="126">
        <v>78.8</v>
      </c>
      <c r="I29" s="17">
        <v>22</v>
      </c>
      <c r="J29" s="17">
        <v>4.3999999999999986</v>
      </c>
      <c r="K29" s="15">
        <v>0.19999999999999993</v>
      </c>
      <c r="L29" s="17">
        <v>60</v>
      </c>
      <c r="M29" s="11">
        <v>45.839636913767023</v>
      </c>
      <c r="N29" s="125" t="s">
        <v>486</v>
      </c>
      <c r="O29" s="125" t="s">
        <v>476</v>
      </c>
      <c r="P29" s="128" t="s">
        <v>473</v>
      </c>
      <c r="Q29" s="128">
        <v>68</v>
      </c>
      <c r="R29" s="128">
        <v>2.2666666666666666</v>
      </c>
      <c r="S29" s="128" t="s">
        <v>477</v>
      </c>
      <c r="T29" s="128">
        <v>8</v>
      </c>
      <c r="U29" s="129"/>
      <c r="W29" s="142" t="s">
        <v>105</v>
      </c>
      <c r="X29" s="14" t="s">
        <v>53</v>
      </c>
      <c r="Y29" s="14" t="s">
        <v>331</v>
      </c>
      <c r="Z29" s="14" t="s">
        <v>361</v>
      </c>
      <c r="AA29" s="16">
        <v>6.1479999999999997</v>
      </c>
      <c r="AB29" s="16">
        <v>1.7000000000000001E-2</v>
      </c>
      <c r="AC29" s="16">
        <v>0.27900000000000003</v>
      </c>
      <c r="AD29" s="15">
        <v>164.3</v>
      </c>
      <c r="AE29" s="17">
        <v>71.900000000000006</v>
      </c>
      <c r="AF29" s="17">
        <v>-32.699999999999996</v>
      </c>
      <c r="AG29" s="15">
        <v>-0.45479833101529893</v>
      </c>
      <c r="AH29" s="17">
        <v>27.260083449235051</v>
      </c>
      <c r="AI29" s="17">
        <v>57.507082152974512</v>
      </c>
      <c r="AJ29" s="17">
        <v>151</v>
      </c>
      <c r="AK29" s="15">
        <v>5.0333333333333332</v>
      </c>
    </row>
    <row r="30" spans="1:37" ht="15" hidden="1" x14ac:dyDescent="0.2">
      <c r="A30" s="124" t="s">
        <v>107</v>
      </c>
      <c r="B30" s="125" t="s">
        <v>53</v>
      </c>
      <c r="C30" s="125" t="s">
        <v>151</v>
      </c>
      <c r="D30" s="125" t="s">
        <v>183</v>
      </c>
      <c r="E30" s="127">
        <v>7.0460000000000003</v>
      </c>
      <c r="F30" s="127">
        <v>0.02</v>
      </c>
      <c r="G30" s="127">
        <v>0.224</v>
      </c>
      <c r="H30" s="126">
        <v>85.6</v>
      </c>
      <c r="I30" s="17">
        <v>67.600000000000009</v>
      </c>
      <c r="J30" s="17">
        <v>-42.800000000000004</v>
      </c>
      <c r="K30" s="15">
        <v>-0.63313609467455623</v>
      </c>
      <c r="L30" s="17">
        <v>18.34319526627219</v>
      </c>
      <c r="M30" s="11">
        <v>35.294117647058826</v>
      </c>
      <c r="N30" s="125" t="s">
        <v>486</v>
      </c>
      <c r="O30" s="125" t="s">
        <v>476</v>
      </c>
      <c r="P30" s="128" t="s">
        <v>475</v>
      </c>
      <c r="Q30" s="128">
        <v>68</v>
      </c>
      <c r="R30" s="128">
        <v>2.2666666666666666</v>
      </c>
      <c r="S30" s="128" t="s">
        <v>474</v>
      </c>
      <c r="T30" s="128">
        <v>5</v>
      </c>
      <c r="U30" s="129" t="s">
        <v>464</v>
      </c>
      <c r="W30" s="142" t="s">
        <v>107</v>
      </c>
      <c r="X30" s="14" t="s">
        <v>41</v>
      </c>
      <c r="Y30" s="14" t="s">
        <v>331</v>
      </c>
      <c r="Z30" s="14" t="s">
        <v>366</v>
      </c>
      <c r="AA30" s="16">
        <v>5.1550000000000002</v>
      </c>
      <c r="AB30" s="16">
        <v>1.4E-2</v>
      </c>
      <c r="AC30" s="16">
        <v>0.215</v>
      </c>
      <c r="AD30" s="15">
        <v>129.30000000000001</v>
      </c>
      <c r="AE30" s="17">
        <v>26.5</v>
      </c>
      <c r="AF30" s="17">
        <v>1.3000000000000007</v>
      </c>
      <c r="AG30" s="15">
        <v>4.9056603773584929E-2</v>
      </c>
      <c r="AH30" s="17">
        <v>52.452830188679243</v>
      </c>
      <c r="AI30" s="17">
        <v>34.08521303258145</v>
      </c>
      <c r="AJ30" s="17">
        <v>151</v>
      </c>
      <c r="AK30" s="15">
        <v>5.0333333333333332</v>
      </c>
    </row>
    <row r="31" spans="1:37" ht="15" hidden="1" x14ac:dyDescent="0.2">
      <c r="A31" s="124" t="s">
        <v>109</v>
      </c>
      <c r="B31" s="125" t="s">
        <v>41</v>
      </c>
      <c r="C31" s="125" t="s">
        <v>151</v>
      </c>
      <c r="D31" s="125" t="s">
        <v>188</v>
      </c>
      <c r="E31" s="127">
        <v>7.5490000000000004</v>
      </c>
      <c r="F31" s="127">
        <v>2.1000000000000001E-2</v>
      </c>
      <c r="G31" s="127">
        <v>0.29699999999999999</v>
      </c>
      <c r="H31" s="126">
        <v>68.3</v>
      </c>
      <c r="I31" s="17">
        <v>120.9</v>
      </c>
      <c r="J31" s="17">
        <v>-77.900000000000006</v>
      </c>
      <c r="K31" s="15">
        <v>-0.6443341604631927</v>
      </c>
      <c r="L31" s="17">
        <v>17.783291976840363</v>
      </c>
      <c r="M31" s="11">
        <v>34.647550776583039</v>
      </c>
      <c r="N31" s="125" t="s">
        <v>486</v>
      </c>
      <c r="O31" s="125" t="s">
        <v>476</v>
      </c>
      <c r="P31" s="128" t="s">
        <v>473</v>
      </c>
      <c r="Q31" s="128">
        <v>68</v>
      </c>
      <c r="R31" s="128">
        <v>2.2666666666666666</v>
      </c>
      <c r="S31" s="128" t="s">
        <v>474</v>
      </c>
      <c r="T31" s="128">
        <v>7</v>
      </c>
      <c r="U31" s="129"/>
      <c r="W31" s="142" t="s">
        <v>109</v>
      </c>
      <c r="X31" s="14" t="s">
        <v>46</v>
      </c>
      <c r="Y31" s="14" t="s">
        <v>331</v>
      </c>
      <c r="Z31" s="14" t="s">
        <v>168</v>
      </c>
      <c r="AA31" s="16">
        <v>9.7070000000000007</v>
      </c>
      <c r="AB31" s="16">
        <v>2.7E-2</v>
      </c>
      <c r="AC31" s="16">
        <v>0.22700000000000001</v>
      </c>
      <c r="AD31" s="15">
        <v>105</v>
      </c>
      <c r="AE31" s="17">
        <v>71.2</v>
      </c>
      <c r="AF31" s="17">
        <v>-25.200000000000003</v>
      </c>
      <c r="AG31" s="15">
        <v>-0.35393258426966295</v>
      </c>
      <c r="AH31" s="17">
        <v>32.303370786516858</v>
      </c>
      <c r="AI31" s="17">
        <v>75.099601593625493</v>
      </c>
      <c r="AJ31" s="17">
        <v>151</v>
      </c>
      <c r="AK31" s="15">
        <v>5.0333333333333332</v>
      </c>
    </row>
    <row r="32" spans="1:37" ht="15" hidden="1" x14ac:dyDescent="0.2">
      <c r="A32" s="124" t="s">
        <v>112</v>
      </c>
      <c r="B32" s="125" t="s">
        <v>46</v>
      </c>
      <c r="C32" s="125" t="s">
        <v>151</v>
      </c>
      <c r="D32" s="125" t="s">
        <v>188</v>
      </c>
      <c r="E32" s="127">
        <v>10.5</v>
      </c>
      <c r="F32" s="127">
        <v>2.9000000000000001E-2</v>
      </c>
      <c r="G32" s="127">
        <v>0.249</v>
      </c>
      <c r="H32" s="126">
        <v>38.4</v>
      </c>
      <c r="I32" s="17">
        <v>71.400000000000006</v>
      </c>
      <c r="J32" s="17">
        <v>-28.199999999999996</v>
      </c>
      <c r="K32" s="15">
        <v>-0.39495798319327724</v>
      </c>
      <c r="L32" s="17">
        <v>30.252100840336134</v>
      </c>
      <c r="M32" s="11">
        <v>62.326261887344558</v>
      </c>
      <c r="N32" s="125" t="s">
        <v>487</v>
      </c>
      <c r="O32" s="125" t="s">
        <v>476</v>
      </c>
      <c r="P32" s="128" t="s">
        <v>475</v>
      </c>
      <c r="Q32" s="128">
        <v>68</v>
      </c>
      <c r="R32" s="128">
        <v>2.2666666666666666</v>
      </c>
      <c r="S32" s="128" t="s">
        <v>477</v>
      </c>
      <c r="T32" s="128">
        <v>6</v>
      </c>
      <c r="U32" s="129"/>
      <c r="W32" s="142" t="s">
        <v>112</v>
      </c>
      <c r="X32" s="14" t="s">
        <v>49</v>
      </c>
      <c r="Y32" s="14" t="s">
        <v>331</v>
      </c>
      <c r="Z32" s="14" t="s">
        <v>366</v>
      </c>
      <c r="AA32" s="16">
        <v>4.3310000000000004</v>
      </c>
      <c r="AB32" s="16">
        <v>1.2E-2</v>
      </c>
      <c r="AC32" s="16">
        <v>0.223</v>
      </c>
      <c r="AD32" s="15">
        <v>101.7</v>
      </c>
      <c r="AE32" s="17">
        <v>137.4</v>
      </c>
      <c r="AF32" s="17">
        <v>-118.6</v>
      </c>
      <c r="AG32" s="15">
        <v>-0.86317321688500726</v>
      </c>
      <c r="AH32" s="17">
        <v>6.8413391557496359</v>
      </c>
      <c r="AI32" s="17">
        <v>58.901682905225861</v>
      </c>
      <c r="AJ32" s="17">
        <v>151</v>
      </c>
      <c r="AK32" s="15">
        <v>5.0333333333333332</v>
      </c>
    </row>
    <row r="33" spans="1:37" ht="15" x14ac:dyDescent="0.2">
      <c r="A33" s="124" t="s">
        <v>114</v>
      </c>
      <c r="B33" s="125" t="s">
        <v>49</v>
      </c>
      <c r="C33" s="125" t="s">
        <v>151</v>
      </c>
      <c r="D33" s="125" t="s">
        <v>188</v>
      </c>
      <c r="E33" s="127">
        <v>6.2930000000000001</v>
      </c>
      <c r="F33" s="127">
        <v>1.7000000000000001E-2</v>
      </c>
      <c r="G33" s="127">
        <v>0.22900000000000001</v>
      </c>
      <c r="H33" s="126">
        <v>64</v>
      </c>
      <c r="I33" s="17">
        <v>64.599999999999994</v>
      </c>
      <c r="J33" s="17">
        <v>-47.4</v>
      </c>
      <c r="K33" s="15">
        <v>-0.73374613003095979</v>
      </c>
      <c r="L33" s="17">
        <v>13.312693498452013</v>
      </c>
      <c r="M33" s="11">
        <v>59.143621766280106</v>
      </c>
      <c r="N33" s="125" t="s">
        <v>487</v>
      </c>
      <c r="O33" s="125" t="s">
        <v>476</v>
      </c>
      <c r="P33" s="128" t="s">
        <v>473</v>
      </c>
      <c r="Q33" s="128">
        <v>68</v>
      </c>
      <c r="R33" s="128">
        <v>2.2666666666666666</v>
      </c>
      <c r="S33" s="128" t="s">
        <v>477</v>
      </c>
      <c r="T33" s="128">
        <v>8</v>
      </c>
      <c r="U33" s="129"/>
      <c r="W33" s="142" t="s">
        <v>114</v>
      </c>
      <c r="X33" s="14" t="s">
        <v>53</v>
      </c>
      <c r="Y33" s="14" t="s">
        <v>331</v>
      </c>
      <c r="Z33" s="14" t="s">
        <v>366</v>
      </c>
      <c r="AA33" s="16">
        <v>11.701000000000001</v>
      </c>
      <c r="AB33" s="16">
        <v>3.3000000000000002E-2</v>
      </c>
      <c r="AC33" s="16">
        <v>0.33600000000000002</v>
      </c>
      <c r="AD33" s="15">
        <v>21.9</v>
      </c>
      <c r="AE33" s="17">
        <v>44.5</v>
      </c>
      <c r="AF33" s="17">
        <v>9.7000000000000028</v>
      </c>
      <c r="AG33" s="15">
        <v>0.21797752808988771</v>
      </c>
      <c r="AH33" s="17">
        <v>60.898876404494388</v>
      </c>
      <c r="AI33" s="17">
        <v>65.81532416502948</v>
      </c>
      <c r="AJ33" s="17">
        <v>151</v>
      </c>
      <c r="AK33" s="15">
        <v>5.0333333333333332</v>
      </c>
    </row>
    <row r="34" spans="1:37" ht="15" hidden="1" x14ac:dyDescent="0.2">
      <c r="A34" s="124" t="s">
        <v>116</v>
      </c>
      <c r="B34" s="125" t="s">
        <v>53</v>
      </c>
      <c r="C34" s="125" t="s">
        <v>151</v>
      </c>
      <c r="D34" s="125" t="s">
        <v>188</v>
      </c>
      <c r="E34" s="127">
        <v>5.2880000000000003</v>
      </c>
      <c r="F34" s="127">
        <v>1.4999999999999999E-2</v>
      </c>
      <c r="G34" s="127">
        <v>0.17100000000000001</v>
      </c>
      <c r="H34" s="126">
        <v>198.5</v>
      </c>
      <c r="I34" s="17">
        <v>24.5</v>
      </c>
      <c r="J34" s="17">
        <v>2.3000000000000007</v>
      </c>
      <c r="K34" s="15">
        <v>9.3877551020408193E-2</v>
      </c>
      <c r="L34" s="17">
        <v>54.693877551020407</v>
      </c>
      <c r="M34" s="11">
        <v>56.439393939393945</v>
      </c>
      <c r="N34" s="125" t="s">
        <v>487</v>
      </c>
      <c r="O34" s="125" t="s">
        <v>476</v>
      </c>
      <c r="P34" s="128" t="s">
        <v>473</v>
      </c>
      <c r="Q34" s="128">
        <v>68</v>
      </c>
      <c r="R34" s="128">
        <v>2.2666666666666666</v>
      </c>
      <c r="S34" s="128" t="s">
        <v>474</v>
      </c>
      <c r="T34" s="128">
        <v>7</v>
      </c>
      <c r="U34" s="129"/>
      <c r="W34" s="142" t="s">
        <v>116</v>
      </c>
      <c r="X34" s="14" t="s">
        <v>41</v>
      </c>
      <c r="Y34" s="14" t="s">
        <v>331</v>
      </c>
      <c r="Z34" s="14" t="s">
        <v>371</v>
      </c>
      <c r="AA34" s="16">
        <v>7.1390000000000002</v>
      </c>
      <c r="AB34" s="16">
        <v>0.02</v>
      </c>
      <c r="AC34" s="16">
        <v>0.29299999999999998</v>
      </c>
      <c r="AD34" s="15">
        <v>122.2</v>
      </c>
      <c r="AE34" s="17">
        <v>113.1</v>
      </c>
      <c r="AF34" s="17">
        <v>95.5</v>
      </c>
      <c r="AG34" s="15">
        <v>0.84438549955791342</v>
      </c>
      <c r="AH34" s="17">
        <v>92.219274977895665</v>
      </c>
      <c r="AI34" s="17">
        <v>26.422764227642276</v>
      </c>
      <c r="AJ34" s="17">
        <v>151</v>
      </c>
      <c r="AK34" s="15">
        <v>5.0333333333333332</v>
      </c>
    </row>
    <row r="35" spans="1:37" ht="15" hidden="1" x14ac:dyDescent="0.2">
      <c r="A35" s="124" t="s">
        <v>118</v>
      </c>
      <c r="B35" s="125" t="s">
        <v>41</v>
      </c>
      <c r="C35" s="125" t="s">
        <v>151</v>
      </c>
      <c r="D35" s="125" t="s">
        <v>193</v>
      </c>
      <c r="E35" s="127">
        <v>4.1310000000000002</v>
      </c>
      <c r="F35" s="127">
        <v>1.0999999999999999E-2</v>
      </c>
      <c r="G35" s="127">
        <v>0.216</v>
      </c>
      <c r="H35" s="126">
        <v>230</v>
      </c>
      <c r="I35" s="17">
        <v>14.4</v>
      </c>
      <c r="J35" s="17">
        <v>14.4</v>
      </c>
      <c r="K35" s="15">
        <v>1</v>
      </c>
      <c r="L35" s="17">
        <v>100</v>
      </c>
      <c r="M35" s="11">
        <v>44.44444444444445</v>
      </c>
      <c r="N35" s="125" t="s">
        <v>487</v>
      </c>
      <c r="O35" s="125" t="s">
        <v>476</v>
      </c>
      <c r="P35" s="128" t="s">
        <v>475</v>
      </c>
      <c r="Q35" s="128">
        <v>68</v>
      </c>
      <c r="R35" s="128">
        <v>2.2666666666666666</v>
      </c>
      <c r="S35" s="128" t="s">
        <v>474</v>
      </c>
      <c r="T35" s="128">
        <v>5</v>
      </c>
      <c r="U35" s="129" t="s">
        <v>465</v>
      </c>
      <c r="W35" s="142" t="s">
        <v>118</v>
      </c>
      <c r="X35" s="14" t="s">
        <v>46</v>
      </c>
      <c r="Y35" s="14" t="s">
        <v>331</v>
      </c>
      <c r="Z35" s="14" t="s">
        <v>371</v>
      </c>
      <c r="AA35" s="16">
        <v>10.476000000000001</v>
      </c>
      <c r="AB35" s="16">
        <v>2.9000000000000001E-2</v>
      </c>
      <c r="AC35" s="16">
        <v>0.252</v>
      </c>
      <c r="AD35" s="15">
        <v>61.1</v>
      </c>
      <c r="AE35" s="17">
        <v>89.899999999999991</v>
      </c>
      <c r="AF35" s="17">
        <v>-38.299999999999997</v>
      </c>
      <c r="AG35" s="15">
        <v>-0.42602892102335932</v>
      </c>
      <c r="AH35" s="17">
        <v>28.698553948832039</v>
      </c>
      <c r="AI35" s="17">
        <v>49.59723820483314</v>
      </c>
      <c r="AJ35" s="17">
        <v>151</v>
      </c>
      <c r="AK35" s="15">
        <v>5.0333333333333332</v>
      </c>
    </row>
    <row r="36" spans="1:37" ht="15" hidden="1" x14ac:dyDescent="0.2">
      <c r="A36" s="124" t="s">
        <v>121</v>
      </c>
      <c r="B36" s="125" t="s">
        <v>46</v>
      </c>
      <c r="C36" s="125" t="s">
        <v>151</v>
      </c>
      <c r="D36" s="125" t="s">
        <v>193</v>
      </c>
      <c r="E36" s="127">
        <v>4.5960000000000001</v>
      </c>
      <c r="F36" s="127">
        <v>1.2999999999999999E-2</v>
      </c>
      <c r="G36" s="127">
        <v>0.24099999999999999</v>
      </c>
      <c r="H36" s="126">
        <v>115.4</v>
      </c>
      <c r="I36" s="17">
        <v>46.1</v>
      </c>
      <c r="J36" s="17">
        <v>-36.699999999999996</v>
      </c>
      <c r="K36" s="15">
        <v>-0.79609544468546622</v>
      </c>
      <c r="L36" s="17">
        <v>10.195227765726681</v>
      </c>
      <c r="M36" s="11">
        <v>35.704125177809388</v>
      </c>
      <c r="N36" s="125" t="s">
        <v>486</v>
      </c>
      <c r="O36" s="125" t="s">
        <v>472</v>
      </c>
      <c r="P36" s="128" t="s">
        <v>475</v>
      </c>
      <c r="Q36" s="128">
        <v>61</v>
      </c>
      <c r="R36" s="128">
        <v>2.0333333333333332</v>
      </c>
      <c r="S36" s="128" t="s">
        <v>474</v>
      </c>
      <c r="T36" s="128">
        <v>1</v>
      </c>
      <c r="U36" s="129" t="s">
        <v>466</v>
      </c>
      <c r="W36" s="142" t="s">
        <v>121</v>
      </c>
      <c r="X36" s="14" t="s">
        <v>49</v>
      </c>
      <c r="Y36" s="14" t="s">
        <v>331</v>
      </c>
      <c r="Z36" s="14" t="s">
        <v>371</v>
      </c>
      <c r="AA36" s="16">
        <v>11.92</v>
      </c>
      <c r="AB36" s="16">
        <v>3.3000000000000002E-2</v>
      </c>
      <c r="AC36" s="16">
        <v>0.375</v>
      </c>
      <c r="AD36" s="15">
        <v>47.7</v>
      </c>
      <c r="AE36" s="17">
        <v>87.5</v>
      </c>
      <c r="AF36" s="17">
        <v>25.700000000000003</v>
      </c>
      <c r="AG36" s="15">
        <v>0.29371428571428576</v>
      </c>
      <c r="AH36" s="17">
        <v>64.685714285714297</v>
      </c>
      <c r="AI36" s="17">
        <v>52.549751243781095</v>
      </c>
      <c r="AJ36" s="17">
        <v>144</v>
      </c>
      <c r="AK36" s="15">
        <v>4.8</v>
      </c>
    </row>
    <row r="37" spans="1:37" ht="15" hidden="1" x14ac:dyDescent="0.2">
      <c r="A37" s="124" t="s">
        <v>123</v>
      </c>
      <c r="B37" s="125" t="s">
        <v>49</v>
      </c>
      <c r="C37" s="125" t="s">
        <v>151</v>
      </c>
      <c r="D37" s="125" t="s">
        <v>193</v>
      </c>
      <c r="E37" s="127">
        <v>72.575999999999993</v>
      </c>
      <c r="F37" s="127">
        <v>0.20200000000000001</v>
      </c>
      <c r="G37" s="127">
        <v>0.43</v>
      </c>
      <c r="H37" s="126">
        <v>1.7</v>
      </c>
      <c r="I37" s="17">
        <v>88.6</v>
      </c>
      <c r="J37" s="17">
        <v>8.6000000000000014</v>
      </c>
      <c r="K37" s="15">
        <v>9.7065462753950366E-2</v>
      </c>
      <c r="L37" s="17">
        <v>54.853273137697521</v>
      </c>
      <c r="M37" s="11">
        <v>54.871395167575997</v>
      </c>
      <c r="N37" s="125" t="s">
        <v>486</v>
      </c>
      <c r="O37" s="125" t="s">
        <v>472</v>
      </c>
      <c r="P37" s="128" t="s">
        <v>473</v>
      </c>
      <c r="Q37" s="128">
        <v>61</v>
      </c>
      <c r="R37" s="128">
        <v>2.0333333333333332</v>
      </c>
      <c r="S37" s="128" t="s">
        <v>477</v>
      </c>
      <c r="T37" s="128">
        <v>4</v>
      </c>
      <c r="U37" s="129" t="s">
        <v>467</v>
      </c>
      <c r="W37" s="142" t="s">
        <v>123</v>
      </c>
      <c r="X37" s="14" t="s">
        <v>53</v>
      </c>
      <c r="Y37" s="14" t="s">
        <v>331</v>
      </c>
      <c r="Z37" s="14" t="s">
        <v>371</v>
      </c>
      <c r="AA37" s="16">
        <v>83.534999999999997</v>
      </c>
      <c r="AB37" s="16">
        <v>0.23200000000000001</v>
      </c>
      <c r="AC37" s="16">
        <v>0.45400000000000001</v>
      </c>
      <c r="AD37" s="15">
        <v>10.8</v>
      </c>
      <c r="AE37" s="17">
        <v>128.5</v>
      </c>
      <c r="AF37" s="17">
        <v>20.900000000000006</v>
      </c>
      <c r="AG37" s="15">
        <v>0.16264591439688719</v>
      </c>
      <c r="AH37" s="17">
        <v>58.132295719844365</v>
      </c>
      <c r="AI37" s="17">
        <v>29.588336192109775</v>
      </c>
      <c r="AJ37" s="17">
        <v>144</v>
      </c>
      <c r="AK37" s="15">
        <v>4.8</v>
      </c>
    </row>
    <row r="38" spans="1:37" ht="15" hidden="1" x14ac:dyDescent="0.2">
      <c r="A38" s="124" t="s">
        <v>125</v>
      </c>
      <c r="B38" s="125" t="s">
        <v>53</v>
      </c>
      <c r="C38" s="125" t="s">
        <v>151</v>
      </c>
      <c r="D38" s="125" t="s">
        <v>193</v>
      </c>
      <c r="E38" s="127">
        <v>12.092000000000001</v>
      </c>
      <c r="F38" s="127">
        <v>3.4000000000000002E-2</v>
      </c>
      <c r="G38" s="127">
        <v>0.35399999999999998</v>
      </c>
      <c r="H38" s="126">
        <v>111.1</v>
      </c>
      <c r="I38" s="17">
        <v>111</v>
      </c>
      <c r="J38" s="17">
        <v>-83</v>
      </c>
      <c r="K38" s="15">
        <v>-0.74774774774774777</v>
      </c>
      <c r="L38" s="17">
        <v>12.612612612612612</v>
      </c>
      <c r="M38" s="11">
        <v>60.213618157543394</v>
      </c>
      <c r="N38" s="125" t="s">
        <v>486</v>
      </c>
      <c r="O38" s="125" t="s">
        <v>472</v>
      </c>
      <c r="P38" s="128" t="s">
        <v>475</v>
      </c>
      <c r="Q38" s="128">
        <v>61</v>
      </c>
      <c r="R38" s="128">
        <v>2.0333333333333332</v>
      </c>
      <c r="S38" s="128" t="s">
        <v>477</v>
      </c>
      <c r="T38" s="128">
        <v>2</v>
      </c>
      <c r="U38" s="129" t="s">
        <v>466</v>
      </c>
      <c r="W38" s="142" t="s">
        <v>125</v>
      </c>
      <c r="X38" s="14" t="s">
        <v>41</v>
      </c>
      <c r="Y38" s="14" t="s">
        <v>331</v>
      </c>
      <c r="Z38" s="14" t="s">
        <v>376</v>
      </c>
      <c r="AA38" s="16">
        <v>18.803999999999998</v>
      </c>
      <c r="AB38" s="16">
        <v>5.1999999999999998E-2</v>
      </c>
      <c r="AC38" s="16">
        <v>0.308</v>
      </c>
      <c r="AD38" s="15">
        <v>1.1000000000000001</v>
      </c>
      <c r="AE38" s="17">
        <v>103.19999999999999</v>
      </c>
      <c r="AF38" s="17">
        <v>5.6000000000000014</v>
      </c>
      <c r="AG38" s="15">
        <v>5.4263565891472888E-2</v>
      </c>
      <c r="AH38" s="17">
        <v>52.713178294573652</v>
      </c>
      <c r="AI38" s="17">
        <v>44.403330249768736</v>
      </c>
      <c r="AJ38" s="17">
        <v>144</v>
      </c>
      <c r="AK38" s="15">
        <v>4.8</v>
      </c>
    </row>
    <row r="39" spans="1:37" ht="15" hidden="1" x14ac:dyDescent="0.2">
      <c r="A39" s="124" t="s">
        <v>127</v>
      </c>
      <c r="B39" s="125" t="s">
        <v>41</v>
      </c>
      <c r="C39" s="125" t="s">
        <v>151</v>
      </c>
      <c r="D39" s="125" t="s">
        <v>198</v>
      </c>
      <c r="E39" s="127">
        <v>12.173999999999999</v>
      </c>
      <c r="F39" s="127">
        <v>3.4000000000000002E-2</v>
      </c>
      <c r="G39" s="127">
        <v>0.28399999999999997</v>
      </c>
      <c r="H39" s="126">
        <v>78.5</v>
      </c>
      <c r="I39" s="17">
        <v>15.4</v>
      </c>
      <c r="J39" s="17">
        <v>4.2000000000000011</v>
      </c>
      <c r="K39" s="15">
        <v>0.27272727272727276</v>
      </c>
      <c r="L39" s="17">
        <v>63.636363636363633</v>
      </c>
      <c r="M39" s="11">
        <v>59.469696969696969</v>
      </c>
      <c r="N39" s="125" t="s">
        <v>486</v>
      </c>
      <c r="O39" s="125" t="s">
        <v>472</v>
      </c>
      <c r="P39" s="128" t="s">
        <v>473</v>
      </c>
      <c r="Q39" s="128">
        <v>61</v>
      </c>
      <c r="R39" s="128">
        <v>2.0333333333333332</v>
      </c>
      <c r="S39" s="128" t="s">
        <v>477</v>
      </c>
      <c r="T39" s="128">
        <v>4</v>
      </c>
      <c r="U39" s="129"/>
      <c r="W39" s="142" t="s">
        <v>127</v>
      </c>
      <c r="X39" s="14" t="s">
        <v>46</v>
      </c>
      <c r="Y39" s="14" t="s">
        <v>331</v>
      </c>
      <c r="Z39" s="14" t="s">
        <v>376</v>
      </c>
      <c r="AA39" s="16">
        <v>11.05</v>
      </c>
      <c r="AB39" s="16">
        <v>3.1E-2</v>
      </c>
      <c r="AC39" s="16">
        <v>0.28499999999999998</v>
      </c>
      <c r="AD39" s="15">
        <v>144.6</v>
      </c>
      <c r="AE39" s="17">
        <v>91.3</v>
      </c>
      <c r="AF39" s="17">
        <v>69.899999999999991</v>
      </c>
      <c r="AG39" s="15">
        <v>0.76560788608981378</v>
      </c>
      <c r="AH39" s="17">
        <v>88.280394304490684</v>
      </c>
      <c r="AI39" s="17">
        <v>52.320675105485236</v>
      </c>
      <c r="AJ39" s="17">
        <v>144</v>
      </c>
      <c r="AK39" s="15">
        <v>4.8</v>
      </c>
    </row>
    <row r="40" spans="1:37" ht="15" hidden="1" x14ac:dyDescent="0.2">
      <c r="A40" s="124" t="s">
        <v>130</v>
      </c>
      <c r="B40" s="125" t="s">
        <v>46</v>
      </c>
      <c r="C40" s="125" t="s">
        <v>151</v>
      </c>
      <c r="D40" s="125" t="s">
        <v>198</v>
      </c>
      <c r="E40" s="127">
        <v>0</v>
      </c>
      <c r="F40" s="127">
        <v>0</v>
      </c>
      <c r="G40" s="127" t="s">
        <v>51</v>
      </c>
      <c r="H40" s="126">
        <v>180.3</v>
      </c>
      <c r="I40" s="17">
        <v>0</v>
      </c>
      <c r="J40" s="17">
        <v>0</v>
      </c>
      <c r="K40" s="15" t="e">
        <v>#DIV/0!</v>
      </c>
      <c r="L40" s="17" t="e">
        <v>#DIV/0!</v>
      </c>
      <c r="M40" s="11">
        <v>31.340206185567009</v>
      </c>
      <c r="N40" s="125" t="s">
        <v>486</v>
      </c>
      <c r="O40" s="125" t="s">
        <v>472</v>
      </c>
      <c r="P40" s="128" t="s">
        <v>473</v>
      </c>
      <c r="Q40" s="128">
        <v>61</v>
      </c>
      <c r="R40" s="128">
        <v>2.0333333333333332</v>
      </c>
      <c r="S40" s="128" t="s">
        <v>474</v>
      </c>
      <c r="T40" s="128">
        <v>3</v>
      </c>
      <c r="U40" s="129" t="s">
        <v>468</v>
      </c>
      <c r="W40" s="142" t="s">
        <v>130</v>
      </c>
      <c r="X40" s="14" t="s">
        <v>49</v>
      </c>
      <c r="Y40" s="14" t="s">
        <v>331</v>
      </c>
      <c r="Z40" s="14" t="s">
        <v>379</v>
      </c>
      <c r="AA40" s="16">
        <v>10.829000000000001</v>
      </c>
      <c r="AB40" s="16">
        <v>0.03</v>
      </c>
      <c r="AC40" s="16">
        <v>0.29699999999999999</v>
      </c>
      <c r="AD40" s="15">
        <v>147</v>
      </c>
      <c r="AE40" s="17">
        <v>41.3</v>
      </c>
      <c r="AF40" s="17">
        <v>19.900000000000002</v>
      </c>
      <c r="AG40" s="15">
        <v>0.48184019370460057</v>
      </c>
      <c r="AH40" s="17">
        <v>74.092009685230025</v>
      </c>
      <c r="AI40" s="17">
        <v>49.53846153846154</v>
      </c>
      <c r="AJ40" s="17">
        <v>144</v>
      </c>
      <c r="AK40" s="15">
        <v>4.8</v>
      </c>
    </row>
    <row r="41" spans="1:37" ht="15" hidden="1" x14ac:dyDescent="0.2">
      <c r="A41" s="124" t="s">
        <v>132</v>
      </c>
      <c r="B41" s="125" t="s">
        <v>49</v>
      </c>
      <c r="C41" s="125" t="s">
        <v>151</v>
      </c>
      <c r="D41" s="125" t="s">
        <v>198</v>
      </c>
      <c r="E41" s="127">
        <v>6.3</v>
      </c>
      <c r="F41" s="127">
        <v>1.7000000000000001E-2</v>
      </c>
      <c r="G41" s="127">
        <v>0.27</v>
      </c>
      <c r="H41" s="126">
        <v>190.7</v>
      </c>
      <c r="I41" s="17">
        <v>10</v>
      </c>
      <c r="J41" s="17">
        <v>-7</v>
      </c>
      <c r="K41" s="15">
        <v>-0.7</v>
      </c>
      <c r="L41" s="17">
        <v>15</v>
      </c>
      <c r="M41" s="11">
        <v>53.669724770642205</v>
      </c>
      <c r="N41" s="125" t="s">
        <v>487</v>
      </c>
      <c r="O41" s="125" t="s">
        <v>472</v>
      </c>
      <c r="P41" s="128" t="s">
        <v>475</v>
      </c>
      <c r="Q41" s="128">
        <v>61</v>
      </c>
      <c r="R41" s="128">
        <v>2.0333333333333332</v>
      </c>
      <c r="S41" s="128" t="s">
        <v>474</v>
      </c>
      <c r="T41" s="128">
        <v>1</v>
      </c>
      <c r="U41" s="129" t="s">
        <v>469</v>
      </c>
      <c r="W41" s="142" t="s">
        <v>132</v>
      </c>
      <c r="X41" s="14" t="s">
        <v>53</v>
      </c>
      <c r="Y41" s="14" t="s">
        <v>331</v>
      </c>
      <c r="Z41" s="14" t="s">
        <v>379</v>
      </c>
      <c r="AA41" s="16">
        <v>4.2389999999999999</v>
      </c>
      <c r="AB41" s="16">
        <v>1.2E-2</v>
      </c>
      <c r="AC41" s="16">
        <v>0.253</v>
      </c>
      <c r="AD41" s="15">
        <v>242.1</v>
      </c>
      <c r="AE41" s="17">
        <v>75.400000000000006</v>
      </c>
      <c r="AF41" s="17">
        <v>-31.4</v>
      </c>
      <c r="AG41" s="15">
        <v>-0.416445623342175</v>
      </c>
      <c r="AH41" s="17">
        <v>29.177718832891241</v>
      </c>
      <c r="AI41" s="17">
        <v>18.857142857142858</v>
      </c>
      <c r="AJ41" s="17">
        <v>144</v>
      </c>
      <c r="AK41" s="15">
        <v>4.8</v>
      </c>
    </row>
    <row r="42" spans="1:37" ht="15" hidden="1" x14ac:dyDescent="0.2">
      <c r="A42" s="124" t="s">
        <v>134</v>
      </c>
      <c r="B42" s="125" t="s">
        <v>53</v>
      </c>
      <c r="C42" s="125" t="s">
        <v>151</v>
      </c>
      <c r="D42" s="125" t="s">
        <v>198</v>
      </c>
      <c r="E42" s="127">
        <v>7.0650000000000004</v>
      </c>
      <c r="F42" s="127">
        <v>0.02</v>
      </c>
      <c r="G42" s="127">
        <v>0.20300000000000001</v>
      </c>
      <c r="H42" s="126">
        <v>111.2</v>
      </c>
      <c r="I42" s="17">
        <v>11.7</v>
      </c>
      <c r="J42" s="17">
        <v>-0.89999999999999947</v>
      </c>
      <c r="K42" s="15">
        <v>-7.6923076923076886E-2</v>
      </c>
      <c r="L42" s="17">
        <v>46.15384615384616</v>
      </c>
      <c r="M42" s="11">
        <v>47.470817120622563</v>
      </c>
      <c r="N42" s="125" t="s">
        <v>487</v>
      </c>
      <c r="O42" s="125" t="s">
        <v>472</v>
      </c>
      <c r="P42" s="128" t="s">
        <v>473</v>
      </c>
      <c r="Q42" s="128">
        <v>61</v>
      </c>
      <c r="R42" s="128">
        <v>2.0333333333333332</v>
      </c>
      <c r="S42" s="128" t="s">
        <v>477</v>
      </c>
      <c r="T42" s="128">
        <v>4</v>
      </c>
      <c r="U42" s="129"/>
      <c r="W42" s="142" t="s">
        <v>134</v>
      </c>
      <c r="X42" s="14" t="s">
        <v>41</v>
      </c>
      <c r="Y42" s="14" t="s">
        <v>331</v>
      </c>
      <c r="Z42" s="14" t="s">
        <v>101</v>
      </c>
      <c r="AA42" s="16">
        <v>43.381</v>
      </c>
      <c r="AB42" s="16">
        <v>0.121</v>
      </c>
      <c r="AC42" s="16">
        <v>0.34200000000000003</v>
      </c>
      <c r="AD42" s="15">
        <v>1.1000000000000001</v>
      </c>
      <c r="AE42" s="17">
        <v>36.299999999999997</v>
      </c>
      <c r="AF42" s="17">
        <v>-1.3000000000000007</v>
      </c>
      <c r="AG42" s="15">
        <v>-3.5812672176308562E-2</v>
      </c>
      <c r="AH42" s="17">
        <v>48.209366391184574</v>
      </c>
      <c r="AI42" s="17">
        <v>53.174603174603178</v>
      </c>
      <c r="AJ42" s="17">
        <v>144</v>
      </c>
      <c r="AK42" s="15">
        <v>4.8</v>
      </c>
    </row>
    <row r="43" spans="1:37" ht="15" hidden="1" x14ac:dyDescent="0.2">
      <c r="A43" s="124" t="s">
        <v>136</v>
      </c>
      <c r="B43" s="125" t="s">
        <v>41</v>
      </c>
      <c r="C43" s="125" t="s">
        <v>151</v>
      </c>
      <c r="D43" s="125" t="s">
        <v>203</v>
      </c>
      <c r="E43" s="127">
        <v>6.9340000000000002</v>
      </c>
      <c r="F43" s="127">
        <v>1.9E-2</v>
      </c>
      <c r="G43" s="127">
        <v>0.32500000000000001</v>
      </c>
      <c r="H43" s="126">
        <v>138.19999999999999</v>
      </c>
      <c r="I43" s="17">
        <v>112.60000000000001</v>
      </c>
      <c r="J43" s="17">
        <v>-87.2</v>
      </c>
      <c r="K43" s="15">
        <v>-0.77442273534635875</v>
      </c>
      <c r="L43" s="17">
        <v>11.278863232682058</v>
      </c>
      <c r="M43" s="139">
        <v>93.415637860082299</v>
      </c>
      <c r="N43" s="125" t="s">
        <v>487</v>
      </c>
      <c r="O43" s="125" t="s">
        <v>472</v>
      </c>
      <c r="P43" s="128" t="s">
        <v>475</v>
      </c>
      <c r="Q43" s="128">
        <v>61</v>
      </c>
      <c r="R43" s="128">
        <v>2.0333333333333332</v>
      </c>
      <c r="S43" s="128" t="s">
        <v>477</v>
      </c>
      <c r="T43" s="128">
        <v>2</v>
      </c>
      <c r="U43" s="129"/>
      <c r="W43" s="142" t="s">
        <v>136</v>
      </c>
      <c r="X43" s="14" t="s">
        <v>46</v>
      </c>
      <c r="Y43" s="14" t="s">
        <v>331</v>
      </c>
      <c r="Z43" s="14" t="s">
        <v>101</v>
      </c>
      <c r="AA43" s="16">
        <v>9.2620000000000005</v>
      </c>
      <c r="AB43" s="16">
        <v>2.5999999999999999E-2</v>
      </c>
      <c r="AC43" s="16">
        <v>0.25800000000000001</v>
      </c>
      <c r="AD43" s="15">
        <v>110.9</v>
      </c>
      <c r="AE43" s="17">
        <v>144.4</v>
      </c>
      <c r="AF43" s="17">
        <v>64</v>
      </c>
      <c r="AG43" s="15">
        <v>0.44321329639889195</v>
      </c>
      <c r="AH43" s="17">
        <v>72.1606648199446</v>
      </c>
      <c r="AI43" s="17">
        <v>50.567465321563674</v>
      </c>
      <c r="AJ43" s="17">
        <v>144</v>
      </c>
      <c r="AK43" s="15">
        <v>4.8</v>
      </c>
    </row>
    <row r="44" spans="1:37" ht="15" hidden="1" x14ac:dyDescent="0.2">
      <c r="A44" s="124" t="s">
        <v>139</v>
      </c>
      <c r="B44" s="125" t="s">
        <v>46</v>
      </c>
      <c r="C44" s="125" t="s">
        <v>151</v>
      </c>
      <c r="D44" s="125" t="s">
        <v>203</v>
      </c>
      <c r="E44" s="127">
        <v>4.4749999999999996</v>
      </c>
      <c r="F44" s="127">
        <v>1.2E-2</v>
      </c>
      <c r="G44" s="127">
        <v>0.24399999999999999</v>
      </c>
      <c r="H44" s="126">
        <v>85.4</v>
      </c>
      <c r="I44" s="17">
        <v>7.1</v>
      </c>
      <c r="J44" s="17">
        <v>-3.3000000000000003</v>
      </c>
      <c r="K44" s="15">
        <v>-0.46478873239436624</v>
      </c>
      <c r="L44" s="17">
        <v>26.760563380281688</v>
      </c>
      <c r="M44" s="11">
        <v>40.369393139841684</v>
      </c>
      <c r="N44" s="125" t="s">
        <v>486</v>
      </c>
      <c r="O44" s="125" t="s">
        <v>472</v>
      </c>
      <c r="P44" s="128" t="s">
        <v>475</v>
      </c>
      <c r="Q44" s="128">
        <v>60</v>
      </c>
      <c r="R44" s="128">
        <v>2</v>
      </c>
      <c r="S44" s="128" t="s">
        <v>474</v>
      </c>
      <c r="T44" s="128">
        <v>1</v>
      </c>
      <c r="U44" s="129" t="s">
        <v>470</v>
      </c>
      <c r="W44" s="142" t="s">
        <v>139</v>
      </c>
      <c r="X44" s="14" t="s">
        <v>49</v>
      </c>
      <c r="Y44" s="14" t="s">
        <v>331</v>
      </c>
      <c r="Z44" s="14" t="s">
        <v>101</v>
      </c>
      <c r="AA44" s="16">
        <v>7.1980000000000004</v>
      </c>
      <c r="AB44" s="16">
        <v>0.02</v>
      </c>
      <c r="AC44" s="16">
        <v>0.22800000000000001</v>
      </c>
      <c r="AD44" s="15">
        <v>105.2</v>
      </c>
      <c r="AE44" s="17">
        <v>37.5</v>
      </c>
      <c r="AF44" s="17">
        <v>-18.5</v>
      </c>
      <c r="AG44" s="15">
        <v>-0.49333333333333335</v>
      </c>
      <c r="AH44" s="17">
        <v>25.333333333333336</v>
      </c>
      <c r="AI44" s="17">
        <v>74.229074889867846</v>
      </c>
      <c r="AJ44" s="17">
        <v>143</v>
      </c>
      <c r="AK44" s="15">
        <v>4.7666666666666666</v>
      </c>
    </row>
    <row r="45" spans="1:37" ht="15" hidden="1" x14ac:dyDescent="0.2">
      <c r="A45" s="124" t="s">
        <v>141</v>
      </c>
      <c r="B45" s="125" t="s">
        <v>49</v>
      </c>
      <c r="C45" s="125" t="s">
        <v>151</v>
      </c>
      <c r="D45" s="125" t="s">
        <v>203</v>
      </c>
      <c r="E45" s="127">
        <v>11.342000000000001</v>
      </c>
      <c r="F45" s="127">
        <v>3.2000000000000001E-2</v>
      </c>
      <c r="G45" s="127">
        <v>0.25700000000000001</v>
      </c>
      <c r="H45" s="126">
        <v>46.1</v>
      </c>
      <c r="I45" s="17">
        <v>38</v>
      </c>
      <c r="J45" s="17">
        <v>7</v>
      </c>
      <c r="K45" s="15">
        <v>0.18421052631578946</v>
      </c>
      <c r="L45" s="17">
        <v>59.210526315789465</v>
      </c>
      <c r="M45" s="11">
        <v>48.547717842323642</v>
      </c>
      <c r="N45" s="125" t="s">
        <v>487</v>
      </c>
      <c r="O45" s="125" t="s">
        <v>472</v>
      </c>
      <c r="P45" s="128" t="s">
        <v>475</v>
      </c>
      <c r="Q45" s="128">
        <v>53</v>
      </c>
      <c r="R45" s="128">
        <v>1.7666666666666666</v>
      </c>
      <c r="S45" s="128" t="s">
        <v>477</v>
      </c>
      <c r="T45" s="128">
        <v>2</v>
      </c>
      <c r="U45" s="129" t="s">
        <v>471</v>
      </c>
      <c r="W45" s="142" t="s">
        <v>141</v>
      </c>
      <c r="X45" s="14" t="s">
        <v>53</v>
      </c>
      <c r="Y45" s="14" t="s">
        <v>331</v>
      </c>
      <c r="Z45" s="14" t="s">
        <v>101</v>
      </c>
      <c r="AA45" s="16">
        <v>19.149000000000001</v>
      </c>
      <c r="AB45" s="16">
        <v>5.2999999999999999E-2</v>
      </c>
      <c r="AC45" s="16">
        <v>0.28399999999999997</v>
      </c>
      <c r="AD45" s="15">
        <v>1.6</v>
      </c>
      <c r="AE45" s="17">
        <v>88.7</v>
      </c>
      <c r="AF45" s="17">
        <v>38.5</v>
      </c>
      <c r="AG45" s="15">
        <v>0.43404735062006761</v>
      </c>
      <c r="AH45" s="17">
        <v>71.702367531003389</v>
      </c>
      <c r="AI45" s="17">
        <v>47.816091954022987</v>
      </c>
      <c r="AJ45" s="17">
        <v>136</v>
      </c>
      <c r="AK45" s="15">
        <v>4.5333333333333332</v>
      </c>
    </row>
    <row r="46" spans="1:37" ht="15" hidden="1" x14ac:dyDescent="0.2">
      <c r="A46" s="124" t="s">
        <v>143</v>
      </c>
      <c r="B46" s="125" t="s">
        <v>53</v>
      </c>
      <c r="C46" s="125" t="s">
        <v>151</v>
      </c>
      <c r="D46" s="125" t="s">
        <v>203</v>
      </c>
      <c r="E46" s="127">
        <v>21.859000000000002</v>
      </c>
      <c r="F46" s="127">
        <v>6.0999999999999999E-2</v>
      </c>
      <c r="G46" s="127">
        <v>0.36599999999999999</v>
      </c>
      <c r="H46" s="126">
        <v>12.1</v>
      </c>
      <c r="I46" s="17">
        <v>31.3</v>
      </c>
      <c r="J46" s="17">
        <v>2.6999999999999993</v>
      </c>
      <c r="K46" s="15">
        <v>8.6261980830670895E-2</v>
      </c>
      <c r="L46" s="17">
        <v>54.31309904153354</v>
      </c>
      <c r="M46" s="11">
        <v>53.4621578099839</v>
      </c>
      <c r="N46" s="125" t="s">
        <v>487</v>
      </c>
      <c r="O46" s="125" t="s">
        <v>476</v>
      </c>
      <c r="P46" s="128" t="s">
        <v>475</v>
      </c>
      <c r="Q46" s="128">
        <v>42</v>
      </c>
      <c r="R46" s="128">
        <v>1.4</v>
      </c>
      <c r="S46" s="128" t="s">
        <v>474</v>
      </c>
      <c r="T46" s="128">
        <v>5</v>
      </c>
      <c r="U46" s="129"/>
      <c r="W46" s="142" t="s">
        <v>143</v>
      </c>
      <c r="X46" s="14" t="s">
        <v>41</v>
      </c>
      <c r="Y46" s="14" t="s">
        <v>331</v>
      </c>
      <c r="Z46" s="14" t="s">
        <v>386</v>
      </c>
      <c r="AA46" s="16">
        <v>10.755000000000001</v>
      </c>
      <c r="AB46" s="16">
        <v>0.03</v>
      </c>
      <c r="AC46" s="16">
        <v>0.26500000000000001</v>
      </c>
      <c r="AD46" s="15">
        <v>95.1</v>
      </c>
      <c r="AE46" s="17">
        <v>26.4</v>
      </c>
      <c r="AF46" s="17">
        <v>-2.7999999999999989</v>
      </c>
      <c r="AG46" s="15">
        <v>-0.10606060606060602</v>
      </c>
      <c r="AH46" s="17">
        <v>44.696969696969703</v>
      </c>
      <c r="AI46" s="17">
        <v>45.549738219895282</v>
      </c>
      <c r="AJ46" s="17">
        <v>125</v>
      </c>
      <c r="AK46" s="15">
        <v>4.166666666666667</v>
      </c>
    </row>
    <row r="47" spans="1:37" ht="15" x14ac:dyDescent="0.2">
      <c r="A47" s="124" t="s">
        <v>145</v>
      </c>
      <c r="B47" s="125" t="s">
        <v>41</v>
      </c>
      <c r="C47" s="125" t="s">
        <v>151</v>
      </c>
      <c r="D47" s="125" t="s">
        <v>208</v>
      </c>
      <c r="E47" s="127">
        <v>15.161</v>
      </c>
      <c r="F47" s="127">
        <v>4.2000000000000003E-2</v>
      </c>
      <c r="G47" s="127">
        <v>0.755</v>
      </c>
      <c r="H47" s="126">
        <v>18.899999999999999</v>
      </c>
      <c r="I47" s="17">
        <v>27.5</v>
      </c>
      <c r="J47" s="17">
        <v>4.8999999999999986</v>
      </c>
      <c r="K47" s="15">
        <v>0.17818181818181814</v>
      </c>
      <c r="L47" s="17">
        <v>58.909090909090914</v>
      </c>
      <c r="M47" s="11">
        <v>50.292397660818722</v>
      </c>
      <c r="N47" s="125" t="s">
        <v>487</v>
      </c>
      <c r="O47" s="125" t="s">
        <v>476</v>
      </c>
      <c r="P47" s="128" t="s">
        <v>473</v>
      </c>
      <c r="Q47" s="128">
        <v>42</v>
      </c>
      <c r="R47" s="128">
        <v>1.4</v>
      </c>
      <c r="S47" s="128" t="s">
        <v>477</v>
      </c>
      <c r="T47" s="128">
        <v>8</v>
      </c>
      <c r="U47" s="129"/>
      <c r="W47" s="142" t="s">
        <v>145</v>
      </c>
      <c r="X47" s="14" t="s">
        <v>46</v>
      </c>
      <c r="Y47" s="14" t="s">
        <v>331</v>
      </c>
      <c r="Z47" s="14" t="s">
        <v>386</v>
      </c>
      <c r="AA47" s="16">
        <v>10.329000000000001</v>
      </c>
      <c r="AB47" s="16">
        <v>2.9000000000000001E-2</v>
      </c>
      <c r="AC47" s="16">
        <v>0.25</v>
      </c>
      <c r="AD47" s="15">
        <v>32.1</v>
      </c>
      <c r="AE47" s="17">
        <v>63.2</v>
      </c>
      <c r="AF47" s="17">
        <v>-12</v>
      </c>
      <c r="AG47" s="15">
        <v>-0.18987341772151897</v>
      </c>
      <c r="AH47" s="17">
        <v>40.506329113924053</v>
      </c>
      <c r="AI47" s="17">
        <v>54.509018036072142</v>
      </c>
      <c r="AJ47" s="17">
        <v>125</v>
      </c>
      <c r="AK47" s="15">
        <v>4.166666666666667</v>
      </c>
    </row>
    <row r="48" spans="1:37" ht="15" hidden="1" x14ac:dyDescent="0.2">
      <c r="A48" s="124" t="s">
        <v>148</v>
      </c>
      <c r="B48" s="125" t="s">
        <v>46</v>
      </c>
      <c r="C48" s="125" t="s">
        <v>151</v>
      </c>
      <c r="D48" s="125" t="s">
        <v>208</v>
      </c>
      <c r="E48" s="127">
        <v>15.92</v>
      </c>
      <c r="F48" s="127">
        <v>4.3999999999999997E-2</v>
      </c>
      <c r="G48" s="127">
        <v>0.25</v>
      </c>
      <c r="H48" s="126">
        <v>23.1</v>
      </c>
      <c r="I48" s="17">
        <v>84.6</v>
      </c>
      <c r="J48" s="17">
        <v>-17.800000000000004</v>
      </c>
      <c r="K48" s="15">
        <v>-0.21040189125295514</v>
      </c>
      <c r="L48" s="17">
        <v>39.479905437352244</v>
      </c>
      <c r="M48" s="11">
        <v>42.807924203273039</v>
      </c>
      <c r="N48" s="14" t="s">
        <v>487</v>
      </c>
      <c r="O48" s="14" t="s">
        <v>476</v>
      </c>
      <c r="P48" s="128" t="s">
        <v>473</v>
      </c>
      <c r="Q48" s="128">
        <v>42</v>
      </c>
      <c r="R48" s="126">
        <v>1.4</v>
      </c>
      <c r="S48" s="128" t="s">
        <v>474</v>
      </c>
      <c r="T48" s="128">
        <v>7</v>
      </c>
      <c r="U48" s="129"/>
      <c r="W48" s="142" t="s">
        <v>148</v>
      </c>
      <c r="X48" s="14" t="s">
        <v>49</v>
      </c>
      <c r="Y48" s="14" t="s">
        <v>331</v>
      </c>
      <c r="Z48" s="14" t="s">
        <v>389</v>
      </c>
      <c r="AA48" s="16">
        <v>7.6289999999999996</v>
      </c>
      <c r="AB48" s="16">
        <v>2.1000000000000001E-2</v>
      </c>
      <c r="AC48" s="16">
        <v>0.26500000000000001</v>
      </c>
      <c r="AD48" s="15">
        <v>135.4</v>
      </c>
      <c r="AE48" s="17">
        <v>28.4</v>
      </c>
      <c r="AF48" s="17">
        <v>-1.2000000000000011</v>
      </c>
      <c r="AG48" s="15">
        <v>-4.2253521126760604E-2</v>
      </c>
      <c r="AH48" s="17">
        <v>47.887323943661976</v>
      </c>
      <c r="AI48" s="17">
        <v>50.722891566265062</v>
      </c>
      <c r="AJ48" s="17">
        <v>125</v>
      </c>
      <c r="AK48" s="15">
        <v>4.166666666666667</v>
      </c>
    </row>
    <row r="52" spans="1:46" ht="14" thickBot="1" x14ac:dyDescent="0.2">
      <c r="C52" s="29" t="s">
        <v>497</v>
      </c>
      <c r="Y52" s="29" t="s">
        <v>498</v>
      </c>
    </row>
    <row r="53" spans="1:46" ht="15" x14ac:dyDescent="0.15">
      <c r="B53" s="222" t="s">
        <v>496</v>
      </c>
      <c r="C53" s="223" t="s">
        <v>531</v>
      </c>
      <c r="D53" s="223" t="s">
        <v>532</v>
      </c>
      <c r="E53" s="223" t="s">
        <v>533</v>
      </c>
      <c r="F53" s="224" t="s">
        <v>534</v>
      </c>
      <c r="X53" s="222" t="s">
        <v>496</v>
      </c>
      <c r="Y53" s="223" t="s">
        <v>531</v>
      </c>
      <c r="Z53" s="223" t="s">
        <v>532</v>
      </c>
      <c r="AA53" s="223" t="s">
        <v>533</v>
      </c>
      <c r="AB53" s="224" t="s">
        <v>534</v>
      </c>
      <c r="AC53" s="238" t="s">
        <v>537</v>
      </c>
    </row>
    <row r="54" spans="1:46" x14ac:dyDescent="0.15">
      <c r="B54" s="225" t="s">
        <v>499</v>
      </c>
      <c r="C54" s="112">
        <f>J70</f>
        <v>7.0600000000000005</v>
      </c>
      <c r="D54" s="226">
        <f>K70</f>
        <v>-0.33992353457575264</v>
      </c>
      <c r="E54" s="112">
        <f>L70</f>
        <v>33.003823271212369</v>
      </c>
      <c r="F54" s="227">
        <f>M70</f>
        <v>48.214335357029604</v>
      </c>
      <c r="X54" s="225" t="s">
        <v>499</v>
      </c>
      <c r="Y54" s="112">
        <f>AF70</f>
        <v>-9.0599999999999987</v>
      </c>
      <c r="Z54" s="226">
        <f>AG70</f>
        <v>-0.12791306111414738</v>
      </c>
      <c r="AA54" s="239">
        <f>AH70/100</f>
        <v>0.43604346944292627</v>
      </c>
      <c r="AB54" s="227">
        <f>AI70</f>
        <v>49.577517419975791</v>
      </c>
      <c r="AC54" s="241">
        <f>AH71/100</f>
        <v>0.10652598268603088</v>
      </c>
    </row>
    <row r="55" spans="1:46" x14ac:dyDescent="0.15">
      <c r="B55" s="225" t="s">
        <v>500</v>
      </c>
      <c r="C55" s="112">
        <f>J78</f>
        <v>-54.4</v>
      </c>
      <c r="D55" s="226">
        <f>K78</f>
        <v>-0.44598665225943906</v>
      </c>
      <c r="E55" s="112">
        <f>L78</f>
        <v>27.700667387028044</v>
      </c>
      <c r="F55" s="227">
        <f>M78</f>
        <v>67.392324619983114</v>
      </c>
      <c r="X55" s="225" t="s">
        <v>500</v>
      </c>
      <c r="Y55" s="112">
        <f>AF78</f>
        <v>36.033333333333331</v>
      </c>
      <c r="Z55" s="226">
        <f>AG78</f>
        <v>0.31050807097014416</v>
      </c>
      <c r="AA55" s="239">
        <f>AH78/100</f>
        <v>0.65525403548507211</v>
      </c>
      <c r="AB55" s="227">
        <f>AI78</f>
        <v>47.595629175118468</v>
      </c>
      <c r="AC55" s="241">
        <f>AH79/100</f>
        <v>6.4074786010674054E-2</v>
      </c>
    </row>
    <row r="56" spans="1:46" x14ac:dyDescent="0.15">
      <c r="B56" s="225" t="s">
        <v>501</v>
      </c>
      <c r="C56" s="112">
        <f>J89</f>
        <v>-9.1999999999999993</v>
      </c>
      <c r="D56" s="226">
        <f>K89</f>
        <v>0.125</v>
      </c>
      <c r="E56" s="112">
        <f>L89</f>
        <v>55</v>
      </c>
      <c r="F56" s="227">
        <f>M89</f>
        <v>34.6</v>
      </c>
      <c r="X56" s="225" t="s">
        <v>501</v>
      </c>
      <c r="Y56" s="112">
        <f>AF89</f>
        <v>29.8</v>
      </c>
      <c r="Z56" s="226">
        <f>AG89</f>
        <v>0.33999999999999997</v>
      </c>
      <c r="AA56" s="239">
        <f>AH89/100</f>
        <v>0.66200000000000003</v>
      </c>
      <c r="AB56" s="227">
        <f>AI89</f>
        <v>51.2</v>
      </c>
      <c r="AC56" s="241">
        <f>AH90/100</f>
        <v>0.12701968351401288</v>
      </c>
    </row>
    <row r="57" spans="1:46" x14ac:dyDescent="0.15">
      <c r="B57" s="225" t="s">
        <v>502</v>
      </c>
      <c r="C57" s="112">
        <f>J99</f>
        <v>21.5</v>
      </c>
      <c r="D57" s="226">
        <f>K99</f>
        <v>0.19999999999999998</v>
      </c>
      <c r="E57" s="112">
        <f>L99</f>
        <v>60.5</v>
      </c>
      <c r="F57" s="227">
        <f>M99</f>
        <v>50.75</v>
      </c>
      <c r="X57" s="225" t="s">
        <v>502</v>
      </c>
      <c r="Y57" s="112">
        <f>AF99</f>
        <v>-11.5</v>
      </c>
      <c r="Z57" s="226">
        <f>AG99</f>
        <v>4.9999999999999989E-2</v>
      </c>
      <c r="AA57" s="239">
        <f>AH99/100</f>
        <v>0.50749999999999995</v>
      </c>
      <c r="AB57" s="227">
        <f>AI99</f>
        <v>48.25</v>
      </c>
      <c r="AC57" s="241">
        <f>AH100/100</f>
        <v>0.16306312683538646</v>
      </c>
    </row>
    <row r="58" spans="1:46" x14ac:dyDescent="0.15">
      <c r="B58" s="225" t="s">
        <v>503</v>
      </c>
      <c r="C58" s="112">
        <f>J112</f>
        <v>7.75</v>
      </c>
      <c r="D58" s="226">
        <f>K112</f>
        <v>0.26250000000000001</v>
      </c>
      <c r="E58" s="112">
        <f>L112</f>
        <v>62.625</v>
      </c>
      <c r="F58" s="227">
        <f>M112</f>
        <v>47.125</v>
      </c>
      <c r="X58" s="225" t="s">
        <v>503</v>
      </c>
      <c r="Y58" s="112">
        <f>AF112</f>
        <v>-3.125</v>
      </c>
      <c r="Z58" s="226">
        <f>AG112</f>
        <v>0</v>
      </c>
      <c r="AA58" s="239">
        <f>AH112/100</f>
        <v>0.49249999999999999</v>
      </c>
      <c r="AB58" s="227">
        <f>AI112</f>
        <v>53.2</v>
      </c>
      <c r="AC58" s="241">
        <f>AH113/100</f>
        <v>9.3288148075886743E-2</v>
      </c>
    </row>
    <row r="59" spans="1:46" x14ac:dyDescent="0.15">
      <c r="B59" s="225" t="s">
        <v>504</v>
      </c>
      <c r="C59" s="112">
        <f>J123</f>
        <v>-41</v>
      </c>
      <c r="D59" s="226">
        <f>K123</f>
        <v>-0.3</v>
      </c>
      <c r="E59" s="112">
        <f>L123</f>
        <v>33.6</v>
      </c>
      <c r="F59" s="227">
        <f>M123</f>
        <v>48.25</v>
      </c>
      <c r="X59" s="225" t="s">
        <v>504</v>
      </c>
      <c r="Y59" s="112">
        <f>AF123</f>
        <v>-19</v>
      </c>
      <c r="Z59" s="226">
        <f>AG123</f>
        <v>-0.18</v>
      </c>
      <c r="AA59" s="239">
        <f>AH123/100</f>
        <v>0.41799999999999998</v>
      </c>
      <c r="AB59" s="227">
        <f>AI123</f>
        <v>68.2</v>
      </c>
      <c r="AC59" s="241">
        <f>AH124/100</f>
        <v>0.1283510810238854</v>
      </c>
    </row>
    <row r="60" spans="1:46" x14ac:dyDescent="0.15">
      <c r="B60" s="225" t="s">
        <v>505</v>
      </c>
      <c r="C60" s="112">
        <f>J135</f>
        <v>-14.666666666666666</v>
      </c>
      <c r="D60" s="226">
        <f>K135</f>
        <v>-0.11666666666666665</v>
      </c>
      <c r="E60" s="112">
        <f>L135</f>
        <v>44.166666666666664</v>
      </c>
      <c r="F60" s="227">
        <f>M135</f>
        <v>44</v>
      </c>
      <c r="X60" s="225" t="s">
        <v>505</v>
      </c>
      <c r="Y60" s="112">
        <f>AF135</f>
        <v>8.3333333333333339</v>
      </c>
      <c r="Z60" s="226">
        <f>AG135</f>
        <v>5.000000000000001E-2</v>
      </c>
      <c r="AA60" s="239">
        <f>AH135/100</f>
        <v>0.53</v>
      </c>
      <c r="AB60" s="227">
        <f>AI135</f>
        <v>49.5</v>
      </c>
      <c r="AC60" s="241">
        <f>AH136/100</f>
        <v>9.6298148130342223E-2</v>
      </c>
    </row>
    <row r="61" spans="1:46" ht="14" thickBot="1" x14ac:dyDescent="0.2">
      <c r="B61" s="228" t="s">
        <v>506</v>
      </c>
      <c r="C61" s="229">
        <f>J148</f>
        <v>-11.857142857142858</v>
      </c>
      <c r="D61" s="230">
        <f>K148</f>
        <v>-9.9999999999999992E-2</v>
      </c>
      <c r="E61" s="229">
        <f>L148</f>
        <v>44.714285714285715</v>
      </c>
      <c r="F61" s="231">
        <f>M148</f>
        <v>42.142857142857146</v>
      </c>
      <c r="X61" s="228" t="s">
        <v>506</v>
      </c>
      <c r="Y61" s="229">
        <f>AF148</f>
        <v>-18.571428571428573</v>
      </c>
      <c r="Z61" s="230">
        <f>AG148</f>
        <v>-0.18571428571428572</v>
      </c>
      <c r="AA61" s="240">
        <f>AH148/100</f>
        <v>0.40857142857142853</v>
      </c>
      <c r="AB61" s="231">
        <f>AI148</f>
        <v>54.142857142857146</v>
      </c>
      <c r="AC61" s="241">
        <f>AH149/100</f>
        <v>7.4015074765327413E-2</v>
      </c>
    </row>
    <row r="62" spans="1:46" x14ac:dyDescent="0.15">
      <c r="B62" s="156"/>
    </row>
    <row r="63" spans="1:46" x14ac:dyDescent="0.15">
      <c r="A63" s="29" t="s">
        <v>488</v>
      </c>
      <c r="AS63" s="29" t="s">
        <v>535</v>
      </c>
      <c r="AT63" s="29" t="s">
        <v>535</v>
      </c>
    </row>
    <row r="64" spans="1:46" ht="15" x14ac:dyDescent="0.2">
      <c r="A64" s="146" t="s">
        <v>0</v>
      </c>
      <c r="B64" s="147" t="s">
        <v>2</v>
      </c>
      <c r="C64" s="147" t="s">
        <v>3</v>
      </c>
      <c r="D64" s="147" t="s">
        <v>4</v>
      </c>
      <c r="E64" s="148" t="s">
        <v>7</v>
      </c>
      <c r="F64" s="148" t="s">
        <v>8</v>
      </c>
      <c r="G64" s="148" t="s">
        <v>9</v>
      </c>
      <c r="H64" s="149" t="s">
        <v>10</v>
      </c>
      <c r="I64" s="150" t="s">
        <v>454</v>
      </c>
      <c r="J64" s="151" t="s">
        <v>455</v>
      </c>
      <c r="K64" s="151" t="s">
        <v>457</v>
      </c>
      <c r="L64" s="151" t="s">
        <v>456</v>
      </c>
      <c r="M64" s="151" t="s">
        <v>452</v>
      </c>
      <c r="N64" s="151" t="s">
        <v>485</v>
      </c>
      <c r="O64" s="151" t="s">
        <v>478</v>
      </c>
      <c r="P64" s="151" t="s">
        <v>479</v>
      </c>
      <c r="Q64" s="151" t="s">
        <v>480</v>
      </c>
      <c r="R64" s="151" t="s">
        <v>481</v>
      </c>
      <c r="S64" s="151" t="s">
        <v>482</v>
      </c>
      <c r="T64" s="151" t="s">
        <v>483</v>
      </c>
      <c r="U64" s="151" t="s">
        <v>484</v>
      </c>
      <c r="V64" s="143" t="s">
        <v>513</v>
      </c>
      <c r="W64" s="151" t="s">
        <v>514</v>
      </c>
      <c r="X64" s="151" t="s">
        <v>515</v>
      </c>
      <c r="Y64" s="151" t="s">
        <v>516</v>
      </c>
      <c r="Z64" s="151" t="s">
        <v>517</v>
      </c>
      <c r="AA64" s="152" t="s">
        <v>518</v>
      </c>
      <c r="AB64" s="152" t="s">
        <v>519</v>
      </c>
      <c r="AC64" s="152" t="s">
        <v>520</v>
      </c>
      <c r="AD64" s="153" t="s">
        <v>521</v>
      </c>
      <c r="AE64" s="150" t="s">
        <v>522</v>
      </c>
      <c r="AF64" s="151" t="s">
        <v>523</v>
      </c>
      <c r="AG64" s="151" t="s">
        <v>524</v>
      </c>
      <c r="AH64" s="151" t="s">
        <v>525</v>
      </c>
      <c r="AI64" s="150" t="s">
        <v>526</v>
      </c>
      <c r="AJ64" s="150" t="s">
        <v>527</v>
      </c>
      <c r="AK64" s="154" t="s">
        <v>528</v>
      </c>
      <c r="AR64" s="108" t="s">
        <v>496</v>
      </c>
      <c r="AS64" s="109" t="s">
        <v>497</v>
      </c>
      <c r="AT64" s="110" t="s">
        <v>498</v>
      </c>
    </row>
    <row r="65" spans="1:46" ht="15" x14ac:dyDescent="0.2">
      <c r="A65" s="124" t="s">
        <v>45</v>
      </c>
      <c r="B65" s="125" t="s">
        <v>46</v>
      </c>
      <c r="C65" s="125" t="s">
        <v>151</v>
      </c>
      <c r="D65" s="125" t="s">
        <v>152</v>
      </c>
      <c r="E65" s="127">
        <v>8.0890000000000004</v>
      </c>
      <c r="F65" s="127">
        <v>2.1999999999999999E-2</v>
      </c>
      <c r="G65" s="127">
        <v>0.32700000000000001</v>
      </c>
      <c r="H65" s="126">
        <v>80.2</v>
      </c>
      <c r="I65" s="17">
        <v>144.69999999999999</v>
      </c>
      <c r="J65" s="17">
        <v>83.5</v>
      </c>
      <c r="K65" s="15">
        <v>0.57705597788527996</v>
      </c>
      <c r="L65" s="17">
        <v>78.852798894263998</v>
      </c>
      <c r="M65" s="11">
        <v>58.62573099415205</v>
      </c>
      <c r="N65" s="14" t="s">
        <v>487</v>
      </c>
      <c r="O65" s="14" t="s">
        <v>472</v>
      </c>
      <c r="P65" s="128" t="s">
        <v>475</v>
      </c>
      <c r="Q65" s="128">
        <v>99</v>
      </c>
      <c r="R65" s="126">
        <v>3.3</v>
      </c>
      <c r="S65" s="128" t="s">
        <v>474</v>
      </c>
      <c r="T65" s="128">
        <v>1</v>
      </c>
      <c r="U65" s="129"/>
      <c r="V65" s="144"/>
      <c r="W65" s="142" t="s">
        <v>45</v>
      </c>
      <c r="X65" s="14" t="s">
        <v>46</v>
      </c>
      <c r="Y65" s="14" t="s">
        <v>331</v>
      </c>
      <c r="Z65" s="14" t="s">
        <v>334</v>
      </c>
      <c r="AA65" s="16">
        <v>6.7839999999999998</v>
      </c>
      <c r="AB65" s="16">
        <v>1.9E-2</v>
      </c>
      <c r="AC65" s="16">
        <v>0.23699999999999999</v>
      </c>
      <c r="AD65" s="15">
        <v>46.3</v>
      </c>
      <c r="AE65" s="17">
        <v>53.6</v>
      </c>
      <c r="AF65" s="17">
        <v>25.800000000000004</v>
      </c>
      <c r="AG65" s="15">
        <v>0.48134328358208961</v>
      </c>
      <c r="AH65" s="17">
        <v>74.067164179104481</v>
      </c>
      <c r="AI65" s="17">
        <v>55.390835579514828</v>
      </c>
      <c r="AJ65" s="17">
        <v>182</v>
      </c>
      <c r="AK65" s="15">
        <v>6.0666666666666664</v>
      </c>
      <c r="AR65" s="111" t="s">
        <v>499</v>
      </c>
      <c r="AS65" s="232">
        <f>E70</f>
        <v>5.7367999999999997</v>
      </c>
      <c r="AT65" s="235">
        <f>AA70</f>
        <v>8.3704000000000001</v>
      </c>
    </row>
    <row r="66" spans="1:46" ht="15" x14ac:dyDescent="0.2">
      <c r="A66" s="124" t="s">
        <v>78</v>
      </c>
      <c r="B66" s="125" t="s">
        <v>49</v>
      </c>
      <c r="C66" s="125" t="s">
        <v>151</v>
      </c>
      <c r="D66" s="125" t="s">
        <v>168</v>
      </c>
      <c r="E66" s="127">
        <v>5.2240000000000002</v>
      </c>
      <c r="F66" s="127">
        <v>1.4999999999999999E-2</v>
      </c>
      <c r="G66" s="127">
        <v>0.26100000000000001</v>
      </c>
      <c r="H66" s="126">
        <v>232.5</v>
      </c>
      <c r="I66" s="17">
        <v>3.8</v>
      </c>
      <c r="J66" s="17">
        <v>-1.2</v>
      </c>
      <c r="K66" s="15">
        <v>-0.31578947368421051</v>
      </c>
      <c r="L66" s="17">
        <v>34.210526315789473</v>
      </c>
      <c r="M66" s="11">
        <v>52.702702702702695</v>
      </c>
      <c r="N66" s="125" t="s">
        <v>487</v>
      </c>
      <c r="O66" s="125" t="s">
        <v>472</v>
      </c>
      <c r="P66" s="128" t="s">
        <v>475</v>
      </c>
      <c r="Q66" s="128">
        <v>86</v>
      </c>
      <c r="R66" s="128">
        <v>2.8666666666666667</v>
      </c>
      <c r="S66" s="128" t="s">
        <v>474</v>
      </c>
      <c r="T66" s="128">
        <v>1</v>
      </c>
      <c r="U66" s="129"/>
      <c r="V66" s="145"/>
      <c r="W66" s="142" t="s">
        <v>78</v>
      </c>
      <c r="X66" s="14" t="s">
        <v>46</v>
      </c>
      <c r="Y66" s="14" t="s">
        <v>331</v>
      </c>
      <c r="Z66" s="14" t="s">
        <v>351</v>
      </c>
      <c r="AA66" s="16">
        <v>11.711</v>
      </c>
      <c r="AB66" s="16">
        <v>3.3000000000000002E-2</v>
      </c>
      <c r="AC66" s="16">
        <v>0.23300000000000001</v>
      </c>
      <c r="AD66" s="15">
        <v>68.5</v>
      </c>
      <c r="AE66" s="17">
        <v>92.9</v>
      </c>
      <c r="AF66" s="17">
        <v>-46.900000000000006</v>
      </c>
      <c r="AG66" s="15">
        <v>-0.5048439181916039</v>
      </c>
      <c r="AH66" s="17">
        <v>24.757804090419803</v>
      </c>
      <c r="AI66" s="17">
        <v>46.86078252957234</v>
      </c>
      <c r="AJ66" s="17">
        <v>169</v>
      </c>
      <c r="AK66" s="15">
        <v>5.6333333333333337</v>
      </c>
      <c r="AR66" s="111" t="s">
        <v>500</v>
      </c>
      <c r="AS66" s="232">
        <f>E78</f>
        <v>10.122666666666667</v>
      </c>
      <c r="AT66" s="235">
        <f>AA78</f>
        <v>15.738333333333335</v>
      </c>
    </row>
    <row r="67" spans="1:46" ht="15" x14ac:dyDescent="0.2">
      <c r="A67" s="124" t="s">
        <v>121</v>
      </c>
      <c r="B67" s="125" t="s">
        <v>46</v>
      </c>
      <c r="C67" s="125" t="s">
        <v>151</v>
      </c>
      <c r="D67" s="125" t="s">
        <v>193</v>
      </c>
      <c r="E67" s="127">
        <v>4.5960000000000001</v>
      </c>
      <c r="F67" s="127">
        <v>1.2999999999999999E-2</v>
      </c>
      <c r="G67" s="127">
        <v>0.24099999999999999</v>
      </c>
      <c r="H67" s="126">
        <v>115.4</v>
      </c>
      <c r="I67" s="17">
        <v>46.1</v>
      </c>
      <c r="J67" s="17">
        <v>-36.699999999999996</v>
      </c>
      <c r="K67" s="15">
        <v>-0.79609544468546622</v>
      </c>
      <c r="L67" s="17">
        <v>10.195227765726681</v>
      </c>
      <c r="M67" s="11">
        <v>35.704125177809388</v>
      </c>
      <c r="N67" s="125" t="s">
        <v>486</v>
      </c>
      <c r="O67" s="125" t="s">
        <v>472</v>
      </c>
      <c r="P67" s="128" t="s">
        <v>475</v>
      </c>
      <c r="Q67" s="128">
        <v>61</v>
      </c>
      <c r="R67" s="128">
        <v>2.0333333333333332</v>
      </c>
      <c r="S67" s="128" t="s">
        <v>474</v>
      </c>
      <c r="T67" s="128">
        <v>1</v>
      </c>
      <c r="U67" s="129" t="s">
        <v>466</v>
      </c>
      <c r="V67" s="144"/>
      <c r="W67" s="142" t="s">
        <v>121</v>
      </c>
      <c r="X67" s="14" t="s">
        <v>49</v>
      </c>
      <c r="Y67" s="14" t="s">
        <v>331</v>
      </c>
      <c r="Z67" s="14" t="s">
        <v>371</v>
      </c>
      <c r="AA67" s="16">
        <v>11.92</v>
      </c>
      <c r="AB67" s="16">
        <v>3.3000000000000002E-2</v>
      </c>
      <c r="AC67" s="16">
        <v>0.375</v>
      </c>
      <c r="AD67" s="15">
        <v>47.7</v>
      </c>
      <c r="AE67" s="17">
        <v>87.5</v>
      </c>
      <c r="AF67" s="17">
        <v>25.700000000000003</v>
      </c>
      <c r="AG67" s="15">
        <v>0.29371428571428576</v>
      </c>
      <c r="AH67" s="17">
        <v>64.685714285714297</v>
      </c>
      <c r="AI67" s="17">
        <v>52.549751243781095</v>
      </c>
      <c r="AJ67" s="17">
        <v>144</v>
      </c>
      <c r="AK67" s="15">
        <v>4.8</v>
      </c>
      <c r="AR67" s="111" t="s">
        <v>501</v>
      </c>
      <c r="AS67" s="232">
        <f>E89</f>
        <v>7.202</v>
      </c>
      <c r="AT67" s="235">
        <f>AA89</f>
        <v>5.7430000000000003</v>
      </c>
    </row>
    <row r="68" spans="1:46" ht="15" x14ac:dyDescent="0.2">
      <c r="A68" s="124" t="s">
        <v>132</v>
      </c>
      <c r="B68" s="125" t="s">
        <v>49</v>
      </c>
      <c r="C68" s="125" t="s">
        <v>151</v>
      </c>
      <c r="D68" s="125" t="s">
        <v>198</v>
      </c>
      <c r="E68" s="127">
        <v>6.3</v>
      </c>
      <c r="F68" s="127">
        <v>1.7000000000000001E-2</v>
      </c>
      <c r="G68" s="127">
        <v>0.27</v>
      </c>
      <c r="H68" s="126">
        <v>190.7</v>
      </c>
      <c r="I68" s="17">
        <v>10</v>
      </c>
      <c r="J68" s="17">
        <v>-7</v>
      </c>
      <c r="K68" s="15">
        <v>-0.7</v>
      </c>
      <c r="L68" s="17">
        <v>15</v>
      </c>
      <c r="M68" s="11">
        <v>53.669724770642205</v>
      </c>
      <c r="N68" s="125" t="s">
        <v>487</v>
      </c>
      <c r="O68" s="125" t="s">
        <v>472</v>
      </c>
      <c r="P68" s="128" t="s">
        <v>475</v>
      </c>
      <c r="Q68" s="128">
        <v>61</v>
      </c>
      <c r="R68" s="128">
        <v>2.0333333333333332</v>
      </c>
      <c r="S68" s="128" t="s">
        <v>474</v>
      </c>
      <c r="T68" s="128">
        <v>1</v>
      </c>
      <c r="U68" s="129" t="s">
        <v>469</v>
      </c>
      <c r="V68" s="145"/>
      <c r="W68" s="142" t="s">
        <v>132</v>
      </c>
      <c r="X68" s="14" t="s">
        <v>53</v>
      </c>
      <c r="Y68" s="14" t="s">
        <v>331</v>
      </c>
      <c r="Z68" s="14" t="s">
        <v>379</v>
      </c>
      <c r="AA68" s="16">
        <v>4.2389999999999999</v>
      </c>
      <c r="AB68" s="16">
        <v>1.2E-2</v>
      </c>
      <c r="AC68" s="16">
        <v>0.253</v>
      </c>
      <c r="AD68" s="15">
        <v>242.1</v>
      </c>
      <c r="AE68" s="17">
        <v>75.400000000000006</v>
      </c>
      <c r="AF68" s="17">
        <v>-31.4</v>
      </c>
      <c r="AG68" s="15">
        <v>-0.416445623342175</v>
      </c>
      <c r="AH68" s="17">
        <v>29.177718832891241</v>
      </c>
      <c r="AI68" s="17">
        <v>18.857142857142858</v>
      </c>
      <c r="AJ68" s="17">
        <v>144</v>
      </c>
      <c r="AK68" s="15">
        <v>4.8</v>
      </c>
      <c r="AR68" s="111" t="s">
        <v>502</v>
      </c>
      <c r="AS68" s="232">
        <f>E99</f>
        <v>25.943249999999999</v>
      </c>
      <c r="AT68" s="235">
        <f>AA99</f>
        <v>36.562249999999999</v>
      </c>
    </row>
    <row r="69" spans="1:46" ht="16" thickBot="1" x14ac:dyDescent="0.25">
      <c r="A69" s="198" t="s">
        <v>139</v>
      </c>
      <c r="B69" s="199" t="s">
        <v>46</v>
      </c>
      <c r="C69" s="199" t="s">
        <v>151</v>
      </c>
      <c r="D69" s="199" t="s">
        <v>203</v>
      </c>
      <c r="E69" s="200">
        <v>4.4749999999999996</v>
      </c>
      <c r="F69" s="200">
        <v>1.2E-2</v>
      </c>
      <c r="G69" s="200">
        <v>0.24399999999999999</v>
      </c>
      <c r="H69" s="201">
        <v>85.4</v>
      </c>
      <c r="I69" s="202">
        <v>7.1</v>
      </c>
      <c r="J69" s="202">
        <v>-3.3000000000000003</v>
      </c>
      <c r="K69" s="203">
        <v>-0.46478873239436624</v>
      </c>
      <c r="L69" s="202">
        <v>26.760563380281688</v>
      </c>
      <c r="M69" s="204">
        <v>40.369393139841684</v>
      </c>
      <c r="N69" s="199" t="s">
        <v>486</v>
      </c>
      <c r="O69" s="199" t="s">
        <v>472</v>
      </c>
      <c r="P69" s="205" t="s">
        <v>475</v>
      </c>
      <c r="Q69" s="205">
        <v>60</v>
      </c>
      <c r="R69" s="205">
        <v>2</v>
      </c>
      <c r="S69" s="205" t="s">
        <v>474</v>
      </c>
      <c r="T69" s="205">
        <v>1</v>
      </c>
      <c r="U69" s="206" t="s">
        <v>470</v>
      </c>
      <c r="V69" s="207"/>
      <c r="W69" s="208" t="s">
        <v>139</v>
      </c>
      <c r="X69" s="209" t="s">
        <v>49</v>
      </c>
      <c r="Y69" s="209" t="s">
        <v>331</v>
      </c>
      <c r="Z69" s="209" t="s">
        <v>101</v>
      </c>
      <c r="AA69" s="210">
        <v>7.1980000000000004</v>
      </c>
      <c r="AB69" s="210">
        <v>0.02</v>
      </c>
      <c r="AC69" s="210">
        <v>0.22800000000000001</v>
      </c>
      <c r="AD69" s="203">
        <v>105.2</v>
      </c>
      <c r="AE69" s="202">
        <v>37.5</v>
      </c>
      <c r="AF69" s="202">
        <v>-18.5</v>
      </c>
      <c r="AG69" s="203">
        <v>-0.49333333333333335</v>
      </c>
      <c r="AH69" s="202">
        <v>25.333333333333336</v>
      </c>
      <c r="AI69" s="202">
        <v>74.229074889867846</v>
      </c>
      <c r="AJ69" s="202">
        <v>143</v>
      </c>
      <c r="AK69" s="203">
        <v>4.7666666666666666</v>
      </c>
      <c r="AR69" s="111" t="s">
        <v>503</v>
      </c>
      <c r="AS69" s="232">
        <f>E112</f>
        <v>10.392625000000001</v>
      </c>
      <c r="AT69" s="235">
        <f>AA112</f>
        <v>9.2768749999999986</v>
      </c>
    </row>
    <row r="70" spans="1:46" s="221" customFormat="1" ht="16" thickBot="1" x14ac:dyDescent="0.25">
      <c r="A70" s="211" t="s">
        <v>507</v>
      </c>
      <c r="B70" s="212"/>
      <c r="C70" s="212"/>
      <c r="D70" s="212"/>
      <c r="E70" s="213">
        <f>AVERAGE(E65:E69)</f>
        <v>5.7367999999999997</v>
      </c>
      <c r="F70" s="213"/>
      <c r="G70" s="213"/>
      <c r="H70" s="214"/>
      <c r="I70" s="215">
        <f>AVERAGE(I65:I69)</f>
        <v>42.339999999999996</v>
      </c>
      <c r="J70" s="215">
        <f t="shared" ref="J70" si="0">AVERAGE(J65:J69)</f>
        <v>7.0600000000000005</v>
      </c>
      <c r="K70" s="215">
        <f>AVERAGE(K65:K69)</f>
        <v>-0.33992353457575264</v>
      </c>
      <c r="L70" s="215">
        <f>AVERAGE(L65:L69)</f>
        <v>33.003823271212369</v>
      </c>
      <c r="M70" s="215">
        <f>AVERAGE(M65:M69)</f>
        <v>48.214335357029604</v>
      </c>
      <c r="N70" s="212"/>
      <c r="O70" s="212"/>
      <c r="P70" s="216"/>
      <c r="Q70" s="216"/>
      <c r="R70" s="216"/>
      <c r="S70" s="216"/>
      <c r="T70" s="216"/>
      <c r="U70" s="216"/>
      <c r="V70" s="217"/>
      <c r="W70" s="218"/>
      <c r="X70" s="218"/>
      <c r="Y70" s="218"/>
      <c r="Z70" s="218"/>
      <c r="AA70" s="219">
        <f>AVERAGE(AA65:AA69)</f>
        <v>8.3704000000000001</v>
      </c>
      <c r="AB70" s="219"/>
      <c r="AC70" s="219"/>
      <c r="AD70" s="220"/>
      <c r="AE70" s="215">
        <f>AVERAGE(AE65:AE69)</f>
        <v>69.38</v>
      </c>
      <c r="AF70" s="215">
        <f t="shared" ref="AF70:AI70" si="1">AVERAGE(AF65:AF69)</f>
        <v>-9.0599999999999987</v>
      </c>
      <c r="AG70" s="215">
        <f t="shared" si="1"/>
        <v>-0.12791306111414738</v>
      </c>
      <c r="AH70" s="215">
        <f t="shared" si="1"/>
        <v>43.604346944292629</v>
      </c>
      <c r="AI70" s="215">
        <f t="shared" si="1"/>
        <v>49.577517419975791</v>
      </c>
      <c r="AJ70" s="215"/>
      <c r="AK70" s="220"/>
      <c r="AR70" s="111" t="s">
        <v>504</v>
      </c>
      <c r="AS70" s="232">
        <f>E123</f>
        <v>11.0558</v>
      </c>
      <c r="AT70" s="235">
        <f>AA123</f>
        <v>11.497400000000001</v>
      </c>
    </row>
    <row r="71" spans="1:46" ht="15" x14ac:dyDescent="0.2">
      <c r="A71" s="155" t="s">
        <v>536</v>
      </c>
      <c r="AH71" s="237">
        <f>STDEV(AH65:AH69)/SQRT((COUNT(AH65:AH69)))</f>
        <v>10.652598268603088</v>
      </c>
      <c r="AR71" s="111" t="s">
        <v>505</v>
      </c>
      <c r="AS71" s="232">
        <f>E135</f>
        <v>11.091500000000002</v>
      </c>
      <c r="AT71" s="235">
        <f>AA135</f>
        <v>16.379666666666665</v>
      </c>
    </row>
    <row r="72" spans="1:46" x14ac:dyDescent="0.15">
      <c r="AR72" s="113" t="s">
        <v>506</v>
      </c>
      <c r="AS72" s="233">
        <f>E148</f>
        <v>9.3305714285714281</v>
      </c>
      <c r="AT72" s="236">
        <f>AA148</f>
        <v>10.381142857142859</v>
      </c>
    </row>
    <row r="73" spans="1:46" ht="15" x14ac:dyDescent="0.2">
      <c r="A73" s="155" t="s">
        <v>489</v>
      </c>
    </row>
    <row r="74" spans="1:46" ht="15" x14ac:dyDescent="0.2">
      <c r="A74" s="146" t="s">
        <v>0</v>
      </c>
      <c r="B74" s="147" t="s">
        <v>2</v>
      </c>
      <c r="C74" s="147" t="s">
        <v>3</v>
      </c>
      <c r="D74" s="147" t="s">
        <v>4</v>
      </c>
      <c r="E74" s="148" t="s">
        <v>7</v>
      </c>
      <c r="F74" s="148" t="s">
        <v>8</v>
      </c>
      <c r="G74" s="148" t="s">
        <v>9</v>
      </c>
      <c r="H74" s="149" t="s">
        <v>10</v>
      </c>
      <c r="I74" s="150" t="s">
        <v>454</v>
      </c>
      <c r="J74" s="151" t="s">
        <v>455</v>
      </c>
      <c r="K74" s="151" t="s">
        <v>457</v>
      </c>
      <c r="L74" s="151" t="s">
        <v>456</v>
      </c>
      <c r="M74" s="151" t="s">
        <v>452</v>
      </c>
      <c r="N74" s="151" t="s">
        <v>485</v>
      </c>
      <c r="O74" s="151" t="s">
        <v>478</v>
      </c>
      <c r="P74" s="151" t="s">
        <v>479</v>
      </c>
      <c r="Q74" s="151" t="s">
        <v>480</v>
      </c>
      <c r="R74" s="151" t="s">
        <v>481</v>
      </c>
      <c r="S74" s="151" t="s">
        <v>482</v>
      </c>
      <c r="T74" s="151" t="s">
        <v>483</v>
      </c>
      <c r="U74" s="151" t="s">
        <v>484</v>
      </c>
      <c r="V74" s="143" t="s">
        <v>513</v>
      </c>
      <c r="W74" s="151" t="s">
        <v>514</v>
      </c>
      <c r="X74" s="151" t="s">
        <v>515</v>
      </c>
      <c r="Y74" s="151" t="s">
        <v>516</v>
      </c>
      <c r="Z74" s="151" t="s">
        <v>517</v>
      </c>
      <c r="AA74" s="152" t="s">
        <v>518</v>
      </c>
      <c r="AB74" s="152" t="s">
        <v>519</v>
      </c>
      <c r="AC74" s="152" t="s">
        <v>520</v>
      </c>
      <c r="AD74" s="153" t="s">
        <v>521</v>
      </c>
      <c r="AE74" s="150" t="s">
        <v>522</v>
      </c>
      <c r="AF74" s="151" t="s">
        <v>523</v>
      </c>
      <c r="AG74" s="151" t="s">
        <v>524</v>
      </c>
      <c r="AH74" s="151" t="s">
        <v>525</v>
      </c>
      <c r="AI74" s="150" t="s">
        <v>526</v>
      </c>
      <c r="AJ74" s="150" t="s">
        <v>527</v>
      </c>
      <c r="AK74" s="154" t="s">
        <v>528</v>
      </c>
    </row>
    <row r="75" spans="1:46" ht="15" x14ac:dyDescent="0.2">
      <c r="A75" s="124" t="s">
        <v>125</v>
      </c>
      <c r="B75" s="125" t="s">
        <v>53</v>
      </c>
      <c r="C75" s="125" t="s">
        <v>151</v>
      </c>
      <c r="D75" s="125" t="s">
        <v>193</v>
      </c>
      <c r="E75" s="127">
        <v>12.092000000000001</v>
      </c>
      <c r="F75" s="127">
        <v>3.4000000000000002E-2</v>
      </c>
      <c r="G75" s="127">
        <v>0.35399999999999998</v>
      </c>
      <c r="H75" s="126">
        <v>111.1</v>
      </c>
      <c r="I75" s="17">
        <v>111</v>
      </c>
      <c r="J75" s="17">
        <v>-83</v>
      </c>
      <c r="K75" s="15">
        <v>-0.74774774774774777</v>
      </c>
      <c r="L75" s="17">
        <v>12.612612612612612</v>
      </c>
      <c r="M75" s="11">
        <v>60.213618157543394</v>
      </c>
      <c r="N75" s="125" t="s">
        <v>486</v>
      </c>
      <c r="O75" s="125" t="s">
        <v>472</v>
      </c>
      <c r="P75" s="128" t="s">
        <v>475</v>
      </c>
      <c r="Q75" s="128">
        <v>61</v>
      </c>
      <c r="R75" s="128">
        <v>2.0333333333333332</v>
      </c>
      <c r="S75" s="128" t="s">
        <v>477</v>
      </c>
      <c r="T75" s="128">
        <v>2</v>
      </c>
      <c r="U75" s="129" t="s">
        <v>466</v>
      </c>
      <c r="V75" s="144"/>
      <c r="W75" s="142" t="s">
        <v>125</v>
      </c>
      <c r="X75" s="14" t="s">
        <v>41</v>
      </c>
      <c r="Y75" s="14" t="s">
        <v>331</v>
      </c>
      <c r="Z75" s="14" t="s">
        <v>376</v>
      </c>
      <c r="AA75" s="16">
        <v>18.803999999999998</v>
      </c>
      <c r="AB75" s="16">
        <v>5.1999999999999998E-2</v>
      </c>
      <c r="AC75" s="16">
        <v>0.308</v>
      </c>
      <c r="AD75" s="15">
        <v>1.1000000000000001</v>
      </c>
      <c r="AE75" s="17">
        <v>103.19999999999999</v>
      </c>
      <c r="AF75" s="17">
        <v>5.6000000000000014</v>
      </c>
      <c r="AG75" s="15">
        <v>5.4263565891472888E-2</v>
      </c>
      <c r="AH75" s="17">
        <v>52.713178294573652</v>
      </c>
      <c r="AI75" s="17">
        <v>44.403330249768736</v>
      </c>
      <c r="AJ75" s="17">
        <v>144</v>
      </c>
      <c r="AK75" s="15">
        <v>4.8</v>
      </c>
    </row>
    <row r="76" spans="1:46" ht="15" x14ac:dyDescent="0.2">
      <c r="A76" s="124" t="s">
        <v>136</v>
      </c>
      <c r="B76" s="125" t="s">
        <v>41</v>
      </c>
      <c r="C76" s="125" t="s">
        <v>151</v>
      </c>
      <c r="D76" s="125" t="s">
        <v>203</v>
      </c>
      <c r="E76" s="127">
        <v>6.9340000000000002</v>
      </c>
      <c r="F76" s="127">
        <v>1.9E-2</v>
      </c>
      <c r="G76" s="127">
        <v>0.32500000000000001</v>
      </c>
      <c r="H76" s="126">
        <v>138.19999999999999</v>
      </c>
      <c r="I76" s="17">
        <v>112.60000000000001</v>
      </c>
      <c r="J76" s="17">
        <v>-87.2</v>
      </c>
      <c r="K76" s="15">
        <v>-0.77442273534635875</v>
      </c>
      <c r="L76" s="17">
        <v>11.278863232682058</v>
      </c>
      <c r="M76" s="139">
        <v>93.415637860082299</v>
      </c>
      <c r="N76" s="125" t="s">
        <v>487</v>
      </c>
      <c r="O76" s="125" t="s">
        <v>472</v>
      </c>
      <c r="P76" s="128" t="s">
        <v>475</v>
      </c>
      <c r="Q76" s="128">
        <v>61</v>
      </c>
      <c r="R76" s="128">
        <v>2.0333333333333332</v>
      </c>
      <c r="S76" s="128" t="s">
        <v>477</v>
      </c>
      <c r="T76" s="128">
        <v>2</v>
      </c>
      <c r="U76" s="129"/>
      <c r="V76" s="145"/>
      <c r="W76" s="142" t="s">
        <v>136</v>
      </c>
      <c r="X76" s="14" t="s">
        <v>46</v>
      </c>
      <c r="Y76" s="14" t="s">
        <v>331</v>
      </c>
      <c r="Z76" s="14" t="s">
        <v>101</v>
      </c>
      <c r="AA76" s="16">
        <v>9.2620000000000005</v>
      </c>
      <c r="AB76" s="16">
        <v>2.5999999999999999E-2</v>
      </c>
      <c r="AC76" s="16">
        <v>0.25800000000000001</v>
      </c>
      <c r="AD76" s="15">
        <v>110.9</v>
      </c>
      <c r="AE76" s="17">
        <v>144.4</v>
      </c>
      <c r="AF76" s="17">
        <v>64</v>
      </c>
      <c r="AG76" s="15">
        <v>0.44321329639889195</v>
      </c>
      <c r="AH76" s="17">
        <v>72.1606648199446</v>
      </c>
      <c r="AI76" s="17">
        <v>50.567465321563674</v>
      </c>
      <c r="AJ76" s="17">
        <v>144</v>
      </c>
      <c r="AK76" s="15">
        <v>4.8</v>
      </c>
    </row>
    <row r="77" spans="1:46" ht="16" thickBot="1" x14ac:dyDescent="0.25">
      <c r="A77" s="124" t="s">
        <v>141</v>
      </c>
      <c r="B77" s="125" t="s">
        <v>49</v>
      </c>
      <c r="C77" s="125" t="s">
        <v>151</v>
      </c>
      <c r="D77" s="125" t="s">
        <v>203</v>
      </c>
      <c r="E77" s="127">
        <v>11.342000000000001</v>
      </c>
      <c r="F77" s="127">
        <v>3.2000000000000001E-2</v>
      </c>
      <c r="G77" s="127">
        <v>0.25700000000000001</v>
      </c>
      <c r="H77" s="126">
        <v>46.1</v>
      </c>
      <c r="I77" s="17">
        <v>38</v>
      </c>
      <c r="J77" s="17">
        <v>7</v>
      </c>
      <c r="K77" s="15">
        <v>0.18421052631578946</v>
      </c>
      <c r="L77" s="17">
        <v>59.210526315789465</v>
      </c>
      <c r="M77" s="11">
        <v>48.547717842323642</v>
      </c>
      <c r="N77" s="125" t="s">
        <v>487</v>
      </c>
      <c r="O77" s="125" t="s">
        <v>472</v>
      </c>
      <c r="P77" s="128" t="s">
        <v>475</v>
      </c>
      <c r="Q77" s="128">
        <v>53</v>
      </c>
      <c r="R77" s="128">
        <v>1.7666666666666666</v>
      </c>
      <c r="S77" s="128" t="s">
        <v>477</v>
      </c>
      <c r="T77" s="128">
        <v>2</v>
      </c>
      <c r="U77" s="129" t="s">
        <v>471</v>
      </c>
      <c r="V77" s="144"/>
      <c r="W77" s="142" t="s">
        <v>141</v>
      </c>
      <c r="X77" s="14" t="s">
        <v>53</v>
      </c>
      <c r="Y77" s="14" t="s">
        <v>331</v>
      </c>
      <c r="Z77" s="14" t="s">
        <v>101</v>
      </c>
      <c r="AA77" s="16">
        <v>19.149000000000001</v>
      </c>
      <c r="AB77" s="16">
        <v>5.2999999999999999E-2</v>
      </c>
      <c r="AC77" s="16">
        <v>0.28399999999999997</v>
      </c>
      <c r="AD77" s="15">
        <v>1.6</v>
      </c>
      <c r="AE77" s="17">
        <v>88.7</v>
      </c>
      <c r="AF77" s="17">
        <v>38.5</v>
      </c>
      <c r="AG77" s="15">
        <v>0.43404735062006761</v>
      </c>
      <c r="AH77" s="17">
        <v>71.702367531003389</v>
      </c>
      <c r="AI77" s="17">
        <v>47.816091954022987</v>
      </c>
      <c r="AJ77" s="17">
        <v>136</v>
      </c>
      <c r="AK77" s="15">
        <v>4.5333333333333332</v>
      </c>
    </row>
    <row r="78" spans="1:46" s="221" customFormat="1" ht="16" thickBot="1" x14ac:dyDescent="0.25">
      <c r="A78" s="211" t="s">
        <v>507</v>
      </c>
      <c r="B78" s="212"/>
      <c r="C78" s="212"/>
      <c r="D78" s="212"/>
      <c r="E78" s="215">
        <f>AVERAGE(E75:E77)</f>
        <v>10.122666666666667</v>
      </c>
      <c r="F78" s="213"/>
      <c r="G78" s="213"/>
      <c r="H78" s="214"/>
      <c r="I78" s="215">
        <f>AVERAGE(I75:I77)</f>
        <v>87.2</v>
      </c>
      <c r="J78" s="215">
        <f t="shared" ref="J78:M78" si="2">AVERAGE(J75:J77)</f>
        <v>-54.4</v>
      </c>
      <c r="K78" s="215">
        <f t="shared" si="2"/>
        <v>-0.44598665225943906</v>
      </c>
      <c r="L78" s="215">
        <f t="shared" si="2"/>
        <v>27.700667387028044</v>
      </c>
      <c r="M78" s="215">
        <f t="shared" si="2"/>
        <v>67.392324619983114</v>
      </c>
      <c r="N78" s="212"/>
      <c r="O78" s="212"/>
      <c r="P78" s="216"/>
      <c r="Q78" s="216"/>
      <c r="R78" s="216"/>
      <c r="S78" s="216"/>
      <c r="T78" s="216"/>
      <c r="U78" s="216"/>
      <c r="V78" s="217"/>
      <c r="W78" s="218"/>
      <c r="X78" s="218"/>
      <c r="Y78" s="218"/>
      <c r="Z78" s="218"/>
      <c r="AA78" s="215">
        <f>AVERAGE(AA75:AA77)</f>
        <v>15.738333333333335</v>
      </c>
      <c r="AB78" s="219"/>
      <c r="AC78" s="219"/>
      <c r="AD78" s="220"/>
      <c r="AE78" s="215">
        <f t="shared" ref="AE78" si="3">AVERAGE(AE75:AE77)</f>
        <v>112.10000000000001</v>
      </c>
      <c r="AF78" s="215">
        <f t="shared" ref="AF78" si="4">AVERAGE(AF75:AF77)</f>
        <v>36.033333333333331</v>
      </c>
      <c r="AG78" s="215">
        <f t="shared" ref="AG78" si="5">AVERAGE(AG75:AG77)</f>
        <v>0.31050807097014416</v>
      </c>
      <c r="AH78" s="215">
        <f t="shared" ref="AH78" si="6">AVERAGE(AH75:AH77)</f>
        <v>65.525403548507214</v>
      </c>
      <c r="AI78" s="215">
        <f>AVERAGE(AI75:AI77)</f>
        <v>47.595629175118468</v>
      </c>
      <c r="AJ78" s="215"/>
      <c r="AK78" s="220"/>
    </row>
    <row r="79" spans="1:46" ht="15" x14ac:dyDescent="0.2">
      <c r="A79" s="155"/>
      <c r="B79" s="187"/>
      <c r="C79" s="187"/>
      <c r="D79" s="187"/>
      <c r="E79" s="188"/>
      <c r="F79" s="188"/>
      <c r="G79" s="188"/>
      <c r="H79" s="189"/>
      <c r="I79" s="190"/>
      <c r="J79" s="190"/>
      <c r="K79" s="191"/>
      <c r="L79" s="190"/>
      <c r="M79" s="192"/>
      <c r="N79" s="187"/>
      <c r="O79" s="187"/>
      <c r="P79" s="193"/>
      <c r="Q79" s="193"/>
      <c r="R79" s="193"/>
      <c r="S79" s="193"/>
      <c r="T79" s="193"/>
      <c r="U79" s="193"/>
      <c r="V79" s="194"/>
      <c r="W79" s="195"/>
      <c r="X79" s="196"/>
      <c r="Y79" s="196"/>
      <c r="Z79" s="196"/>
      <c r="AA79" s="197"/>
      <c r="AB79" s="197"/>
      <c r="AC79" s="197"/>
      <c r="AD79" s="191"/>
      <c r="AE79" s="190"/>
      <c r="AF79" s="190"/>
      <c r="AG79" s="191"/>
      <c r="AH79" s="237">
        <f>STDEV(AH75:AH77)/SQRT((COUNT(AH75:AH77)))</f>
        <v>6.407478601067405</v>
      </c>
      <c r="AI79" s="190"/>
      <c r="AJ79" s="190"/>
      <c r="AK79" s="191"/>
    </row>
    <row r="82" spans="1:37" ht="15" x14ac:dyDescent="0.2">
      <c r="A82" s="155" t="s">
        <v>490</v>
      </c>
    </row>
    <row r="83" spans="1:37" ht="15" x14ac:dyDescent="0.2">
      <c r="A83" s="30" t="s">
        <v>0</v>
      </c>
      <c r="B83" s="31" t="s">
        <v>2</v>
      </c>
      <c r="C83" s="31" t="s">
        <v>3</v>
      </c>
      <c r="D83" s="31" t="s">
        <v>4</v>
      </c>
      <c r="E83" s="32" t="s">
        <v>7</v>
      </c>
      <c r="F83" s="32" t="s">
        <v>8</v>
      </c>
      <c r="G83" s="32" t="s">
        <v>9</v>
      </c>
      <c r="H83" s="33" t="s">
        <v>10</v>
      </c>
      <c r="I83" s="47" t="s">
        <v>454</v>
      </c>
      <c r="J83" s="35" t="s">
        <v>455</v>
      </c>
      <c r="K83" s="35" t="s">
        <v>457</v>
      </c>
      <c r="L83" s="35" t="s">
        <v>456</v>
      </c>
      <c r="M83" s="35" t="s">
        <v>452</v>
      </c>
      <c r="N83" s="35" t="s">
        <v>485</v>
      </c>
      <c r="O83" s="35" t="s">
        <v>478</v>
      </c>
      <c r="P83" s="35" t="s">
        <v>479</v>
      </c>
      <c r="Q83" s="35" t="s">
        <v>480</v>
      </c>
      <c r="R83" s="35" t="s">
        <v>481</v>
      </c>
      <c r="S83" s="35" t="s">
        <v>482</v>
      </c>
      <c r="T83" s="35" t="s">
        <v>483</v>
      </c>
      <c r="U83" s="35" t="s">
        <v>484</v>
      </c>
      <c r="V83" s="157" t="s">
        <v>513</v>
      </c>
      <c r="W83" s="35" t="s">
        <v>514</v>
      </c>
      <c r="X83" s="35" t="s">
        <v>515</v>
      </c>
      <c r="Y83" s="35" t="s">
        <v>516</v>
      </c>
      <c r="Z83" s="35" t="s">
        <v>517</v>
      </c>
      <c r="AA83" s="45" t="s">
        <v>518</v>
      </c>
      <c r="AB83" s="45" t="s">
        <v>519</v>
      </c>
      <c r="AC83" s="45" t="s">
        <v>520</v>
      </c>
      <c r="AD83" s="46" t="s">
        <v>521</v>
      </c>
      <c r="AE83" s="47" t="s">
        <v>522</v>
      </c>
      <c r="AF83" s="35" t="s">
        <v>523</v>
      </c>
      <c r="AG83" s="35" t="s">
        <v>524</v>
      </c>
      <c r="AH83" s="35" t="s">
        <v>525</v>
      </c>
      <c r="AI83" s="47" t="s">
        <v>526</v>
      </c>
      <c r="AJ83" s="47" t="s">
        <v>527</v>
      </c>
      <c r="AK83" s="158" t="s">
        <v>528</v>
      </c>
    </row>
    <row r="84" spans="1:37" ht="15" x14ac:dyDescent="0.2">
      <c r="A84" s="159">
        <v>1</v>
      </c>
      <c r="B84" s="159" t="s">
        <v>41</v>
      </c>
      <c r="C84" s="159" t="s">
        <v>151</v>
      </c>
      <c r="D84" s="160">
        <v>0.63194444444444442</v>
      </c>
      <c r="E84" s="161">
        <v>11.291</v>
      </c>
      <c r="F84" s="161">
        <v>3.1E-2</v>
      </c>
      <c r="G84" s="161">
        <v>0.25800000000000001</v>
      </c>
      <c r="H84" s="162">
        <v>68.3</v>
      </c>
      <c r="I84" s="163">
        <v>79</v>
      </c>
      <c r="J84" s="163">
        <v>-27</v>
      </c>
      <c r="K84" s="164">
        <v>-0.3</v>
      </c>
      <c r="L84" s="163">
        <v>33</v>
      </c>
      <c r="M84" s="165">
        <v>42</v>
      </c>
      <c r="N84" s="166" t="s">
        <v>486</v>
      </c>
      <c r="O84" s="166" t="s">
        <v>472</v>
      </c>
      <c r="P84" s="167" t="s">
        <v>473</v>
      </c>
      <c r="Q84" s="167">
        <v>99</v>
      </c>
      <c r="R84" s="162">
        <v>3.3</v>
      </c>
      <c r="S84" s="167" t="s">
        <v>474</v>
      </c>
      <c r="T84" s="167">
        <v>3</v>
      </c>
      <c r="U84" s="168"/>
      <c r="V84" s="169"/>
      <c r="W84" s="170">
        <v>1</v>
      </c>
      <c r="X84" s="166" t="s">
        <v>41</v>
      </c>
      <c r="Y84" s="166" t="s">
        <v>331</v>
      </c>
      <c r="Z84" s="171">
        <v>0.61111111111111105</v>
      </c>
      <c r="AA84" s="172">
        <v>4.931</v>
      </c>
      <c r="AB84" s="172">
        <v>1.4E-2</v>
      </c>
      <c r="AC84" s="172">
        <v>0.19500000000000001</v>
      </c>
      <c r="AD84" s="164">
        <v>126.4</v>
      </c>
      <c r="AE84" s="163">
        <v>141</v>
      </c>
      <c r="AF84" s="163">
        <v>42</v>
      </c>
      <c r="AG84" s="164">
        <v>0.3</v>
      </c>
      <c r="AH84" s="163">
        <v>65</v>
      </c>
      <c r="AI84" s="163">
        <v>54</v>
      </c>
      <c r="AJ84" s="163">
        <v>182</v>
      </c>
      <c r="AK84" s="164">
        <v>6.1</v>
      </c>
    </row>
    <row r="85" spans="1:37" ht="15" x14ac:dyDescent="0.2">
      <c r="A85" s="159">
        <v>17</v>
      </c>
      <c r="B85" s="159" t="s">
        <v>41</v>
      </c>
      <c r="C85" s="159" t="s">
        <v>151</v>
      </c>
      <c r="D85" s="160">
        <v>0.6791666666666667</v>
      </c>
      <c r="E85" s="161">
        <v>2.3069999999999999</v>
      </c>
      <c r="F85" s="161">
        <v>6.0000000000000001E-3</v>
      </c>
      <c r="G85" s="161">
        <v>0.224</v>
      </c>
      <c r="H85" s="162">
        <v>113.4</v>
      </c>
      <c r="I85" s="163">
        <v>5</v>
      </c>
      <c r="J85" s="163">
        <v>4</v>
      </c>
      <c r="K85" s="164">
        <v>0.8</v>
      </c>
      <c r="L85" s="163">
        <v>88</v>
      </c>
      <c r="M85" s="165">
        <v>24</v>
      </c>
      <c r="N85" s="159" t="s">
        <v>487</v>
      </c>
      <c r="O85" s="159" t="s">
        <v>472</v>
      </c>
      <c r="P85" s="167" t="s">
        <v>473</v>
      </c>
      <c r="Q85" s="167">
        <v>86</v>
      </c>
      <c r="R85" s="167">
        <v>3</v>
      </c>
      <c r="S85" s="167" t="s">
        <v>474</v>
      </c>
      <c r="T85" s="167">
        <v>3</v>
      </c>
      <c r="U85" s="168"/>
      <c r="V85" s="173"/>
      <c r="W85" s="170">
        <v>17</v>
      </c>
      <c r="X85" s="166" t="s">
        <v>53</v>
      </c>
      <c r="Y85" s="166" t="s">
        <v>331</v>
      </c>
      <c r="Z85" s="171">
        <v>0.64027777777777783</v>
      </c>
      <c r="AA85" s="172">
        <v>2.4660000000000002</v>
      </c>
      <c r="AB85" s="172">
        <v>7.0000000000000001E-3</v>
      </c>
      <c r="AC85" s="172">
        <v>0.215</v>
      </c>
      <c r="AD85" s="164">
        <v>213.7</v>
      </c>
      <c r="AE85" s="163">
        <v>8</v>
      </c>
      <c r="AF85" s="163">
        <v>7</v>
      </c>
      <c r="AG85" s="164">
        <v>0.9</v>
      </c>
      <c r="AH85" s="163">
        <v>94</v>
      </c>
      <c r="AI85" s="163">
        <v>25</v>
      </c>
      <c r="AJ85" s="163">
        <v>169</v>
      </c>
      <c r="AK85" s="164">
        <v>5.6</v>
      </c>
    </row>
    <row r="86" spans="1:37" ht="15" x14ac:dyDescent="0.2">
      <c r="A86" s="159">
        <v>18</v>
      </c>
      <c r="B86" s="159" t="s">
        <v>46</v>
      </c>
      <c r="C86" s="159" t="s">
        <v>151</v>
      </c>
      <c r="D86" s="160">
        <v>0.6791666666666667</v>
      </c>
      <c r="E86" s="161">
        <v>14.929</v>
      </c>
      <c r="F86" s="161">
        <v>4.1000000000000002E-2</v>
      </c>
      <c r="G86" s="161">
        <v>0.30199999999999999</v>
      </c>
      <c r="H86" s="162">
        <v>21.9</v>
      </c>
      <c r="I86" s="163">
        <v>94</v>
      </c>
      <c r="J86" s="163">
        <v>-37</v>
      </c>
      <c r="K86" s="164">
        <v>-0.4</v>
      </c>
      <c r="L86" s="163">
        <v>31</v>
      </c>
      <c r="M86" s="165">
        <v>43</v>
      </c>
      <c r="N86" s="159" t="s">
        <v>486</v>
      </c>
      <c r="O86" s="159" t="s">
        <v>472</v>
      </c>
      <c r="P86" s="167" t="s">
        <v>473</v>
      </c>
      <c r="Q86" s="167">
        <v>76</v>
      </c>
      <c r="R86" s="167">
        <v>3</v>
      </c>
      <c r="S86" s="167" t="s">
        <v>474</v>
      </c>
      <c r="T86" s="167">
        <v>3</v>
      </c>
      <c r="U86" s="168"/>
      <c r="V86" s="169"/>
      <c r="W86" s="170">
        <v>18</v>
      </c>
      <c r="X86" s="166" t="s">
        <v>41</v>
      </c>
      <c r="Y86" s="166" t="s">
        <v>331</v>
      </c>
      <c r="Z86" s="171">
        <v>0.64930555555555558</v>
      </c>
      <c r="AA86" s="172">
        <v>6.1219999999999999</v>
      </c>
      <c r="AB86" s="172">
        <v>1.7000000000000001E-2</v>
      </c>
      <c r="AC86" s="172">
        <v>0.309</v>
      </c>
      <c r="AD86" s="164">
        <v>95</v>
      </c>
      <c r="AE86" s="163">
        <v>148</v>
      </c>
      <c r="AF86" s="163">
        <v>86</v>
      </c>
      <c r="AG86" s="164">
        <v>0.6</v>
      </c>
      <c r="AH86" s="163">
        <v>79</v>
      </c>
      <c r="AI86" s="163">
        <v>62</v>
      </c>
      <c r="AJ86" s="163">
        <v>159</v>
      </c>
      <c r="AK86" s="164">
        <v>5.3</v>
      </c>
    </row>
    <row r="87" spans="1:37" ht="15" x14ac:dyDescent="0.2">
      <c r="A87" s="159">
        <v>20</v>
      </c>
      <c r="B87" s="159" t="s">
        <v>53</v>
      </c>
      <c r="C87" s="159" t="s">
        <v>151</v>
      </c>
      <c r="D87" s="160">
        <v>0.6791666666666667</v>
      </c>
      <c r="E87" s="161">
        <v>7.4829999999999997</v>
      </c>
      <c r="F87" s="161">
        <v>2.1000000000000001E-2</v>
      </c>
      <c r="G87" s="161">
        <v>0.28299999999999997</v>
      </c>
      <c r="H87" s="162">
        <v>116.4</v>
      </c>
      <c r="I87" s="163">
        <v>37</v>
      </c>
      <c r="J87" s="163">
        <v>14</v>
      </c>
      <c r="K87" s="164">
        <v>0.4</v>
      </c>
      <c r="L87" s="163">
        <v>68</v>
      </c>
      <c r="M87" s="165">
        <v>33</v>
      </c>
      <c r="N87" s="159" t="s">
        <v>487</v>
      </c>
      <c r="O87" s="159" t="s">
        <v>472</v>
      </c>
      <c r="P87" s="167" t="s">
        <v>473</v>
      </c>
      <c r="Q87" s="167">
        <v>76</v>
      </c>
      <c r="R87" s="167">
        <v>3</v>
      </c>
      <c r="S87" s="167" t="s">
        <v>474</v>
      </c>
      <c r="T87" s="167">
        <v>3</v>
      </c>
      <c r="U87" s="168"/>
      <c r="V87" s="173"/>
      <c r="W87" s="170">
        <v>20</v>
      </c>
      <c r="X87" s="166" t="s">
        <v>49</v>
      </c>
      <c r="Y87" s="166" t="s">
        <v>331</v>
      </c>
      <c r="Z87" s="171">
        <v>0.65</v>
      </c>
      <c r="AA87" s="172">
        <v>4.367</v>
      </c>
      <c r="AB87" s="172">
        <v>1.2E-2</v>
      </c>
      <c r="AC87" s="172">
        <v>0.253</v>
      </c>
      <c r="AD87" s="164">
        <v>201.7</v>
      </c>
      <c r="AE87" s="163">
        <v>10</v>
      </c>
      <c r="AF87" s="163">
        <v>-6</v>
      </c>
      <c r="AG87" s="164">
        <v>-0.6</v>
      </c>
      <c r="AH87" s="163">
        <v>19</v>
      </c>
      <c r="AI87" s="163">
        <v>65</v>
      </c>
      <c r="AJ87" s="163">
        <v>159</v>
      </c>
      <c r="AK87" s="164">
        <v>5.3</v>
      </c>
    </row>
    <row r="88" spans="1:37" ht="16" thickBot="1" x14ac:dyDescent="0.25">
      <c r="A88" s="159">
        <v>38</v>
      </c>
      <c r="B88" s="159" t="s">
        <v>46</v>
      </c>
      <c r="C88" s="159" t="s">
        <v>151</v>
      </c>
      <c r="D88" s="160">
        <v>0.7368055555555556</v>
      </c>
      <c r="E88" s="161">
        <v>0</v>
      </c>
      <c r="F88" s="161">
        <v>0</v>
      </c>
      <c r="G88" s="161"/>
      <c r="H88" s="162">
        <v>180.3</v>
      </c>
      <c r="I88" s="163">
        <v>0</v>
      </c>
      <c r="J88" s="163">
        <v>0</v>
      </c>
      <c r="K88" s="164"/>
      <c r="L88" s="163"/>
      <c r="M88" s="165">
        <v>31</v>
      </c>
      <c r="N88" s="159" t="s">
        <v>486</v>
      </c>
      <c r="O88" s="159" t="s">
        <v>472</v>
      </c>
      <c r="P88" s="167" t="s">
        <v>473</v>
      </c>
      <c r="Q88" s="167">
        <v>61</v>
      </c>
      <c r="R88" s="167">
        <v>2</v>
      </c>
      <c r="S88" s="167" t="s">
        <v>474</v>
      </c>
      <c r="T88" s="167">
        <v>3</v>
      </c>
      <c r="U88" s="168" t="s">
        <v>468</v>
      </c>
      <c r="V88" s="169"/>
      <c r="W88" s="170">
        <v>38</v>
      </c>
      <c r="X88" s="166" t="s">
        <v>49</v>
      </c>
      <c r="Y88" s="166" t="s">
        <v>331</v>
      </c>
      <c r="Z88" s="171">
        <v>0.68680555555555556</v>
      </c>
      <c r="AA88" s="172">
        <v>10.829000000000001</v>
      </c>
      <c r="AB88" s="172">
        <v>0.03</v>
      </c>
      <c r="AC88" s="172">
        <v>0.29699999999999999</v>
      </c>
      <c r="AD88" s="164">
        <v>147</v>
      </c>
      <c r="AE88" s="163">
        <v>41</v>
      </c>
      <c r="AF88" s="163">
        <v>20</v>
      </c>
      <c r="AG88" s="164">
        <v>0.5</v>
      </c>
      <c r="AH88" s="163">
        <v>74</v>
      </c>
      <c r="AI88" s="163">
        <v>50</v>
      </c>
      <c r="AJ88" s="163">
        <v>144</v>
      </c>
      <c r="AK88" s="164">
        <v>4.8</v>
      </c>
    </row>
    <row r="89" spans="1:37" s="221" customFormat="1" ht="16" thickBot="1" x14ac:dyDescent="0.25">
      <c r="A89" s="211" t="s">
        <v>507</v>
      </c>
      <c r="B89" s="212"/>
      <c r="C89" s="212"/>
      <c r="D89" s="212"/>
      <c r="E89" s="215">
        <f>AVERAGE(E84:E88)</f>
        <v>7.202</v>
      </c>
      <c r="F89" s="213"/>
      <c r="G89" s="213"/>
      <c r="H89" s="214"/>
      <c r="I89" s="215">
        <f>AVERAGE(I84:I88)</f>
        <v>43</v>
      </c>
      <c r="J89" s="215">
        <f t="shared" ref="J89" si="7">AVERAGE(J84:J88)</f>
        <v>-9.1999999999999993</v>
      </c>
      <c r="K89" s="215">
        <f>AVERAGE(K84:K88)</f>
        <v>0.125</v>
      </c>
      <c r="L89" s="215">
        <f>AVERAGE(L84:L88)</f>
        <v>55</v>
      </c>
      <c r="M89" s="215">
        <f>AVERAGE(M84:M88)</f>
        <v>34.6</v>
      </c>
      <c r="N89" s="212"/>
      <c r="O89" s="212"/>
      <c r="P89" s="216"/>
      <c r="Q89" s="216"/>
      <c r="R89" s="216"/>
      <c r="S89" s="216"/>
      <c r="T89" s="216"/>
      <c r="U89" s="216"/>
      <c r="V89" s="217"/>
      <c r="W89" s="218"/>
      <c r="X89" s="218"/>
      <c r="Y89" s="218"/>
      <c r="Z89" s="218"/>
      <c r="AA89" s="215">
        <f>AVERAGE(AA84:AA88)</f>
        <v>5.7430000000000003</v>
      </c>
      <c r="AB89" s="219"/>
      <c r="AC89" s="219"/>
      <c r="AD89" s="220"/>
      <c r="AE89" s="215">
        <f>AVERAGE(AE84:AE88)</f>
        <v>69.599999999999994</v>
      </c>
      <c r="AF89" s="215">
        <f t="shared" ref="AF89" si="8">AVERAGE(AF84:AF88)</f>
        <v>29.8</v>
      </c>
      <c r="AG89" s="215">
        <f t="shared" ref="AG89" si="9">AVERAGE(AG84:AG88)</f>
        <v>0.33999999999999997</v>
      </c>
      <c r="AH89" s="215">
        <f t="shared" ref="AH89" si="10">AVERAGE(AH84:AH88)</f>
        <v>66.2</v>
      </c>
      <c r="AI89" s="215">
        <f t="shared" ref="AI89" si="11">AVERAGE(AI84:AI88)</f>
        <v>51.2</v>
      </c>
      <c r="AJ89" s="215"/>
      <c r="AK89" s="220"/>
    </row>
    <row r="90" spans="1:37" ht="15" x14ac:dyDescent="0.2">
      <c r="A90" s="174"/>
      <c r="B90" s="174"/>
      <c r="C90" s="174"/>
      <c r="D90" s="175"/>
      <c r="E90" s="176"/>
      <c r="F90" s="176"/>
      <c r="G90" s="176"/>
      <c r="H90" s="177"/>
      <c r="I90" s="178"/>
      <c r="J90" s="178"/>
      <c r="K90" s="179"/>
      <c r="L90" s="178"/>
      <c r="M90" s="180"/>
      <c r="N90" s="174"/>
      <c r="O90" s="174"/>
      <c r="P90" s="181"/>
      <c r="Q90" s="181"/>
      <c r="R90" s="181"/>
      <c r="S90" s="181"/>
      <c r="T90" s="181"/>
      <c r="U90" s="181"/>
      <c r="V90" s="182"/>
      <c r="W90" s="183"/>
      <c r="X90" s="184"/>
      <c r="Y90" s="184"/>
      <c r="Z90" s="185"/>
      <c r="AA90" s="186"/>
      <c r="AB90" s="186"/>
      <c r="AC90" s="186"/>
      <c r="AD90" s="179"/>
      <c r="AE90" s="178"/>
      <c r="AF90" s="178"/>
      <c r="AG90" s="179"/>
      <c r="AH90" s="237">
        <f>STDEV(AH84:AH88)/SQRT((COUNT(AH84:AH88)))</f>
        <v>12.701968351401288</v>
      </c>
      <c r="AI90" s="178"/>
      <c r="AJ90" s="178"/>
      <c r="AK90" s="179"/>
    </row>
    <row r="93" spans="1:37" x14ac:dyDescent="0.15">
      <c r="A93" s="29" t="s">
        <v>529</v>
      </c>
    </row>
    <row r="94" spans="1:37" ht="15" x14ac:dyDescent="0.2">
      <c r="A94" s="30" t="s">
        <v>0</v>
      </c>
      <c r="B94" s="31" t="s">
        <v>2</v>
      </c>
      <c r="C94" s="31" t="s">
        <v>3</v>
      </c>
      <c r="D94" s="31" t="s">
        <v>4</v>
      </c>
      <c r="E94" s="32" t="s">
        <v>7</v>
      </c>
      <c r="F94" s="32" t="s">
        <v>8</v>
      </c>
      <c r="G94" s="32" t="s">
        <v>9</v>
      </c>
      <c r="H94" s="33" t="s">
        <v>10</v>
      </c>
      <c r="I94" s="47" t="s">
        <v>454</v>
      </c>
      <c r="J94" s="35" t="s">
        <v>455</v>
      </c>
      <c r="K94" s="35" t="s">
        <v>457</v>
      </c>
      <c r="L94" s="35" t="s">
        <v>456</v>
      </c>
      <c r="M94" s="35" t="s">
        <v>452</v>
      </c>
      <c r="N94" s="35" t="s">
        <v>485</v>
      </c>
      <c r="O94" s="35" t="s">
        <v>478</v>
      </c>
      <c r="P94" s="35" t="s">
        <v>479</v>
      </c>
      <c r="Q94" s="35" t="s">
        <v>480</v>
      </c>
      <c r="R94" s="35" t="s">
        <v>481</v>
      </c>
      <c r="S94" s="35" t="s">
        <v>482</v>
      </c>
      <c r="T94" s="35" t="s">
        <v>483</v>
      </c>
      <c r="U94" s="35" t="s">
        <v>484</v>
      </c>
      <c r="V94" s="157" t="s">
        <v>513</v>
      </c>
      <c r="W94" s="35" t="s">
        <v>514</v>
      </c>
      <c r="X94" s="35" t="s">
        <v>515</v>
      </c>
      <c r="Y94" s="35" t="s">
        <v>516</v>
      </c>
      <c r="Z94" s="35" t="s">
        <v>517</v>
      </c>
      <c r="AA94" s="45" t="s">
        <v>518</v>
      </c>
      <c r="AB94" s="45" t="s">
        <v>519</v>
      </c>
      <c r="AC94" s="45" t="s">
        <v>520</v>
      </c>
      <c r="AD94" s="46" t="s">
        <v>521</v>
      </c>
      <c r="AE94" s="47" t="s">
        <v>522</v>
      </c>
      <c r="AF94" s="35" t="s">
        <v>523</v>
      </c>
      <c r="AG94" s="35" t="s">
        <v>524</v>
      </c>
      <c r="AH94" s="35" t="s">
        <v>525</v>
      </c>
      <c r="AI94" s="47" t="s">
        <v>526</v>
      </c>
      <c r="AJ94" s="47" t="s">
        <v>527</v>
      </c>
      <c r="AK94" s="158" t="s">
        <v>528</v>
      </c>
    </row>
    <row r="95" spans="1:37" ht="15" x14ac:dyDescent="0.2">
      <c r="A95" s="159">
        <v>14</v>
      </c>
      <c r="B95" s="159" t="s">
        <v>46</v>
      </c>
      <c r="C95" s="159" t="s">
        <v>151</v>
      </c>
      <c r="D95" s="160">
        <v>0.66666666666666663</v>
      </c>
      <c r="E95" s="161">
        <v>11.958</v>
      </c>
      <c r="F95" s="161">
        <v>3.3000000000000002E-2</v>
      </c>
      <c r="G95" s="161">
        <v>0.25800000000000001</v>
      </c>
      <c r="H95" s="162">
        <v>34.799999999999997</v>
      </c>
      <c r="I95" s="163">
        <v>137</v>
      </c>
      <c r="J95" s="163">
        <v>74</v>
      </c>
      <c r="K95" s="164">
        <v>0.5</v>
      </c>
      <c r="L95" s="163">
        <v>77</v>
      </c>
      <c r="M95" s="165">
        <v>42</v>
      </c>
      <c r="N95" s="159" t="s">
        <v>486</v>
      </c>
      <c r="O95" s="159" t="s">
        <v>472</v>
      </c>
      <c r="P95" s="167" t="s">
        <v>473</v>
      </c>
      <c r="Q95" s="167">
        <v>86</v>
      </c>
      <c r="R95" s="167">
        <v>3</v>
      </c>
      <c r="S95" s="167" t="s">
        <v>477</v>
      </c>
      <c r="T95" s="167">
        <v>4</v>
      </c>
      <c r="U95" s="168" t="s">
        <v>463</v>
      </c>
      <c r="V95" s="169"/>
      <c r="W95" s="170">
        <v>14</v>
      </c>
      <c r="X95" s="166" t="s">
        <v>41</v>
      </c>
      <c r="Y95" s="166" t="s">
        <v>331</v>
      </c>
      <c r="Z95" s="171">
        <v>0.64097222222222217</v>
      </c>
      <c r="AA95" s="172">
        <v>8.2829999999999995</v>
      </c>
      <c r="AB95" s="172">
        <v>2.3E-2</v>
      </c>
      <c r="AC95" s="172">
        <v>0.26</v>
      </c>
      <c r="AD95" s="164">
        <v>53.5</v>
      </c>
      <c r="AE95" s="163">
        <v>164</v>
      </c>
      <c r="AF95" s="163">
        <v>-136</v>
      </c>
      <c r="AG95" s="164">
        <v>-0.8</v>
      </c>
      <c r="AH95" s="163">
        <v>9</v>
      </c>
      <c r="AI95" s="163">
        <v>58</v>
      </c>
      <c r="AJ95" s="163">
        <v>169</v>
      </c>
      <c r="AK95" s="164">
        <v>5.6</v>
      </c>
    </row>
    <row r="96" spans="1:37" ht="15" x14ac:dyDescent="0.2">
      <c r="A96" s="159">
        <v>35</v>
      </c>
      <c r="B96" s="159" t="s">
        <v>49</v>
      </c>
      <c r="C96" s="159" t="s">
        <v>151</v>
      </c>
      <c r="D96" s="160">
        <v>0.72499999999999998</v>
      </c>
      <c r="E96" s="161">
        <v>72.575999999999993</v>
      </c>
      <c r="F96" s="161">
        <v>0.20200000000000001</v>
      </c>
      <c r="G96" s="161">
        <v>0.43</v>
      </c>
      <c r="H96" s="162">
        <v>1.7</v>
      </c>
      <c r="I96" s="163">
        <v>89</v>
      </c>
      <c r="J96" s="163">
        <v>9</v>
      </c>
      <c r="K96" s="164">
        <v>0.1</v>
      </c>
      <c r="L96" s="163">
        <v>55</v>
      </c>
      <c r="M96" s="165">
        <v>55</v>
      </c>
      <c r="N96" s="159" t="s">
        <v>486</v>
      </c>
      <c r="O96" s="159" t="s">
        <v>472</v>
      </c>
      <c r="P96" s="167" t="s">
        <v>473</v>
      </c>
      <c r="Q96" s="167">
        <v>61</v>
      </c>
      <c r="R96" s="167">
        <v>2</v>
      </c>
      <c r="S96" s="167" t="s">
        <v>477</v>
      </c>
      <c r="T96" s="167">
        <v>4</v>
      </c>
      <c r="U96" s="168" t="s">
        <v>467</v>
      </c>
      <c r="V96" s="173"/>
      <c r="W96" s="170">
        <v>35</v>
      </c>
      <c r="X96" s="166" t="s">
        <v>53</v>
      </c>
      <c r="Y96" s="166" t="s">
        <v>331</v>
      </c>
      <c r="Z96" s="171">
        <v>0.67638888888888893</v>
      </c>
      <c r="AA96" s="172">
        <v>83.534999999999997</v>
      </c>
      <c r="AB96" s="172">
        <v>0.23200000000000001</v>
      </c>
      <c r="AC96" s="172">
        <v>0.45400000000000001</v>
      </c>
      <c r="AD96" s="164">
        <v>10.8</v>
      </c>
      <c r="AE96" s="163">
        <v>129</v>
      </c>
      <c r="AF96" s="163">
        <v>21</v>
      </c>
      <c r="AG96" s="164">
        <v>0.2</v>
      </c>
      <c r="AH96" s="163">
        <v>58</v>
      </c>
      <c r="AI96" s="163">
        <v>30</v>
      </c>
      <c r="AJ96" s="163">
        <v>144</v>
      </c>
      <c r="AK96" s="164">
        <v>4.8</v>
      </c>
    </row>
    <row r="97" spans="1:37" ht="15" x14ac:dyDescent="0.2">
      <c r="A97" s="159">
        <v>37</v>
      </c>
      <c r="B97" s="159" t="s">
        <v>41</v>
      </c>
      <c r="C97" s="159" t="s">
        <v>151</v>
      </c>
      <c r="D97" s="160">
        <v>0.7368055555555556</v>
      </c>
      <c r="E97" s="161">
        <v>12.173999999999999</v>
      </c>
      <c r="F97" s="161">
        <v>3.4000000000000002E-2</v>
      </c>
      <c r="G97" s="161">
        <v>0.28399999999999997</v>
      </c>
      <c r="H97" s="162">
        <v>78.5</v>
      </c>
      <c r="I97" s="163">
        <v>15</v>
      </c>
      <c r="J97" s="163">
        <v>4</v>
      </c>
      <c r="K97" s="164">
        <v>0.3</v>
      </c>
      <c r="L97" s="163">
        <v>64</v>
      </c>
      <c r="M97" s="165">
        <v>59</v>
      </c>
      <c r="N97" s="159" t="s">
        <v>486</v>
      </c>
      <c r="O97" s="159" t="s">
        <v>472</v>
      </c>
      <c r="P97" s="167" t="s">
        <v>473</v>
      </c>
      <c r="Q97" s="167">
        <v>61</v>
      </c>
      <c r="R97" s="167">
        <v>2</v>
      </c>
      <c r="S97" s="167" t="s">
        <v>477</v>
      </c>
      <c r="T97" s="167">
        <v>4</v>
      </c>
      <c r="U97" s="168"/>
      <c r="V97" s="169"/>
      <c r="W97" s="170">
        <v>37</v>
      </c>
      <c r="X97" s="166" t="s">
        <v>46</v>
      </c>
      <c r="Y97" s="166" t="s">
        <v>331</v>
      </c>
      <c r="Z97" s="171">
        <v>0.68611111111111101</v>
      </c>
      <c r="AA97" s="172">
        <v>11.05</v>
      </c>
      <c r="AB97" s="172">
        <v>3.1E-2</v>
      </c>
      <c r="AC97" s="172">
        <v>0.28499999999999998</v>
      </c>
      <c r="AD97" s="164">
        <v>144.6</v>
      </c>
      <c r="AE97" s="163">
        <v>91</v>
      </c>
      <c r="AF97" s="163">
        <v>70</v>
      </c>
      <c r="AG97" s="164">
        <v>0.8</v>
      </c>
      <c r="AH97" s="163">
        <v>88</v>
      </c>
      <c r="AI97" s="163">
        <v>52</v>
      </c>
      <c r="AJ97" s="163">
        <v>144</v>
      </c>
      <c r="AK97" s="164">
        <v>4.8</v>
      </c>
    </row>
    <row r="98" spans="1:37" ht="16" thickBot="1" x14ac:dyDescent="0.25">
      <c r="A98" s="159">
        <v>40</v>
      </c>
      <c r="B98" s="159" t="s">
        <v>53</v>
      </c>
      <c r="C98" s="159" t="s">
        <v>151</v>
      </c>
      <c r="D98" s="160">
        <v>0.7368055555555556</v>
      </c>
      <c r="E98" s="161">
        <v>7.0650000000000004</v>
      </c>
      <c r="F98" s="161">
        <v>0.02</v>
      </c>
      <c r="G98" s="161">
        <v>0.20300000000000001</v>
      </c>
      <c r="H98" s="162">
        <v>111.2</v>
      </c>
      <c r="I98" s="163">
        <v>12</v>
      </c>
      <c r="J98" s="163">
        <v>-1</v>
      </c>
      <c r="K98" s="164">
        <v>-0.1</v>
      </c>
      <c r="L98" s="163">
        <v>46</v>
      </c>
      <c r="M98" s="165">
        <v>47</v>
      </c>
      <c r="N98" s="159" t="s">
        <v>487</v>
      </c>
      <c r="O98" s="159" t="s">
        <v>472</v>
      </c>
      <c r="P98" s="167" t="s">
        <v>473</v>
      </c>
      <c r="Q98" s="167">
        <v>61</v>
      </c>
      <c r="R98" s="167">
        <v>2</v>
      </c>
      <c r="S98" s="167" t="s">
        <v>477</v>
      </c>
      <c r="T98" s="167">
        <v>4</v>
      </c>
      <c r="U98" s="168"/>
      <c r="V98" s="173"/>
      <c r="W98" s="170">
        <v>40</v>
      </c>
      <c r="X98" s="166" t="s">
        <v>41</v>
      </c>
      <c r="Y98" s="166" t="s">
        <v>331</v>
      </c>
      <c r="Z98" s="171">
        <v>0.6958333333333333</v>
      </c>
      <c r="AA98" s="172">
        <v>43.381</v>
      </c>
      <c r="AB98" s="172">
        <v>0.121</v>
      </c>
      <c r="AC98" s="172">
        <v>0.34200000000000003</v>
      </c>
      <c r="AD98" s="164">
        <v>1.1000000000000001</v>
      </c>
      <c r="AE98" s="163">
        <v>36</v>
      </c>
      <c r="AF98" s="163">
        <v>-1</v>
      </c>
      <c r="AG98" s="164">
        <v>0</v>
      </c>
      <c r="AH98" s="163">
        <v>48</v>
      </c>
      <c r="AI98" s="163">
        <v>53</v>
      </c>
      <c r="AJ98" s="163">
        <v>144</v>
      </c>
      <c r="AK98" s="164">
        <v>4.8</v>
      </c>
    </row>
    <row r="99" spans="1:37" s="221" customFormat="1" ht="16" thickBot="1" x14ac:dyDescent="0.25">
      <c r="A99" s="211" t="s">
        <v>507</v>
      </c>
      <c r="B99" s="212"/>
      <c r="C99" s="212"/>
      <c r="D99" s="212"/>
      <c r="E99" s="215">
        <f>AVERAGE(E94:E98)</f>
        <v>25.943249999999999</v>
      </c>
      <c r="F99" s="213"/>
      <c r="G99" s="213"/>
      <c r="H99" s="214"/>
      <c r="I99" s="215">
        <f>AVERAGE(I94:I98)</f>
        <v>63.25</v>
      </c>
      <c r="J99" s="215">
        <f t="shared" ref="J99" si="12">AVERAGE(J94:J98)</f>
        <v>21.5</v>
      </c>
      <c r="K99" s="215">
        <f>AVERAGE(K94:K98)</f>
        <v>0.19999999999999998</v>
      </c>
      <c r="L99" s="215">
        <f>AVERAGE(L94:L98)</f>
        <v>60.5</v>
      </c>
      <c r="M99" s="215">
        <f>AVERAGE(M94:M98)</f>
        <v>50.75</v>
      </c>
      <c r="N99" s="212"/>
      <c r="O99" s="212"/>
      <c r="P99" s="216"/>
      <c r="Q99" s="216"/>
      <c r="R99" s="216"/>
      <c r="S99" s="216"/>
      <c r="T99" s="216"/>
      <c r="U99" s="216"/>
      <c r="V99" s="217"/>
      <c r="W99" s="218"/>
      <c r="X99" s="218"/>
      <c r="Y99" s="218"/>
      <c r="Z99" s="218"/>
      <c r="AA99" s="215">
        <f>AVERAGE(AA94:AA98)</f>
        <v>36.562249999999999</v>
      </c>
      <c r="AB99" s="219"/>
      <c r="AC99" s="219"/>
      <c r="AD99" s="220"/>
      <c r="AE99" s="215">
        <f>AVERAGE(AE94:AE98)</f>
        <v>105</v>
      </c>
      <c r="AF99" s="215">
        <f t="shared" ref="AF99" si="13">AVERAGE(AF94:AF98)</f>
        <v>-11.5</v>
      </c>
      <c r="AG99" s="215">
        <f t="shared" ref="AG99" si="14">AVERAGE(AG94:AG98)</f>
        <v>4.9999999999999989E-2</v>
      </c>
      <c r="AH99" s="215">
        <f t="shared" ref="AH99" si="15">AVERAGE(AH94:AH98)</f>
        <v>50.75</v>
      </c>
      <c r="AI99" s="215">
        <f t="shared" ref="AI99" si="16">AVERAGE(AI94:AI98)</f>
        <v>48.25</v>
      </c>
      <c r="AJ99" s="215"/>
      <c r="AK99" s="220"/>
    </row>
    <row r="100" spans="1:37" x14ac:dyDescent="0.15">
      <c r="AH100" s="237">
        <f>STDEV(AH95:AH98)/SQRT((COUNT(AH95:AH98)))</f>
        <v>16.306312683538646</v>
      </c>
    </row>
    <row r="102" spans="1:37" x14ac:dyDescent="0.15">
      <c r="A102" s="29" t="s">
        <v>492</v>
      </c>
    </row>
    <row r="103" spans="1:37" ht="15" x14ac:dyDescent="0.2">
      <c r="A103" s="30" t="s">
        <v>0</v>
      </c>
      <c r="B103" s="31" t="s">
        <v>2</v>
      </c>
      <c r="C103" s="31" t="s">
        <v>3</v>
      </c>
      <c r="D103" s="31" t="s">
        <v>4</v>
      </c>
      <c r="E103" s="32" t="s">
        <v>7</v>
      </c>
      <c r="F103" s="32" t="s">
        <v>8</v>
      </c>
      <c r="G103" s="32" t="s">
        <v>9</v>
      </c>
      <c r="H103" s="33" t="s">
        <v>10</v>
      </c>
      <c r="I103" s="47" t="s">
        <v>454</v>
      </c>
      <c r="J103" s="35" t="s">
        <v>455</v>
      </c>
      <c r="K103" s="35" t="s">
        <v>457</v>
      </c>
      <c r="L103" s="35" t="s">
        <v>456</v>
      </c>
      <c r="M103" s="35" t="s">
        <v>452</v>
      </c>
      <c r="N103" s="35" t="s">
        <v>485</v>
      </c>
      <c r="O103" s="35" t="s">
        <v>478</v>
      </c>
      <c r="P103" s="35" t="s">
        <v>479</v>
      </c>
      <c r="Q103" s="35" t="s">
        <v>480</v>
      </c>
      <c r="R103" s="35" t="s">
        <v>481</v>
      </c>
      <c r="S103" s="35" t="s">
        <v>482</v>
      </c>
      <c r="T103" s="35" t="s">
        <v>483</v>
      </c>
      <c r="U103" s="35" t="s">
        <v>484</v>
      </c>
      <c r="V103" s="157" t="s">
        <v>513</v>
      </c>
      <c r="W103" s="35" t="s">
        <v>514</v>
      </c>
      <c r="X103" s="35" t="s">
        <v>515</v>
      </c>
      <c r="Y103" s="35" t="s">
        <v>516</v>
      </c>
      <c r="Z103" s="35" t="s">
        <v>517</v>
      </c>
      <c r="AA103" s="45" t="s">
        <v>518</v>
      </c>
      <c r="AB103" s="45" t="s">
        <v>519</v>
      </c>
      <c r="AC103" s="45" t="s">
        <v>520</v>
      </c>
      <c r="AD103" s="46" t="s">
        <v>521</v>
      </c>
      <c r="AE103" s="47" t="s">
        <v>522</v>
      </c>
      <c r="AF103" s="35" t="s">
        <v>523</v>
      </c>
      <c r="AG103" s="35" t="s">
        <v>524</v>
      </c>
      <c r="AH103" s="35" t="s">
        <v>525</v>
      </c>
      <c r="AI103" s="47" t="s">
        <v>526</v>
      </c>
      <c r="AJ103" s="47" t="s">
        <v>527</v>
      </c>
      <c r="AK103" s="158" t="s">
        <v>528</v>
      </c>
    </row>
    <row r="104" spans="1:37" ht="15" x14ac:dyDescent="0.2">
      <c r="A104" s="159">
        <v>3</v>
      </c>
      <c r="B104" s="159" t="s">
        <v>49</v>
      </c>
      <c r="C104" s="159" t="s">
        <v>151</v>
      </c>
      <c r="D104" s="160">
        <v>0.63194444444444442</v>
      </c>
      <c r="E104" s="161">
        <v>10.077</v>
      </c>
      <c r="F104" s="161">
        <v>2.8000000000000001E-2</v>
      </c>
      <c r="G104" s="161">
        <v>0.247</v>
      </c>
      <c r="H104" s="162">
        <v>40.1</v>
      </c>
      <c r="I104" s="163">
        <v>114</v>
      </c>
      <c r="J104" s="163">
        <v>-11</v>
      </c>
      <c r="K104" s="164">
        <v>-0.1</v>
      </c>
      <c r="L104" s="163">
        <v>45</v>
      </c>
      <c r="M104" s="165">
        <v>55</v>
      </c>
      <c r="N104" s="166" t="s">
        <v>486</v>
      </c>
      <c r="O104" s="166" t="s">
        <v>476</v>
      </c>
      <c r="P104" s="167" t="s">
        <v>475</v>
      </c>
      <c r="Q104" s="167">
        <v>94</v>
      </c>
      <c r="R104" s="162">
        <v>3.1</v>
      </c>
      <c r="S104" s="167" t="s">
        <v>474</v>
      </c>
      <c r="T104" s="167">
        <v>5</v>
      </c>
      <c r="U104" s="168" t="s">
        <v>458</v>
      </c>
      <c r="V104" s="169"/>
      <c r="W104" s="170">
        <v>3</v>
      </c>
      <c r="X104" s="166" t="s">
        <v>49</v>
      </c>
      <c r="Y104" s="166" t="s">
        <v>331</v>
      </c>
      <c r="Z104" s="171">
        <v>0.61041666666666672</v>
      </c>
      <c r="AA104" s="172">
        <v>4.2880000000000003</v>
      </c>
      <c r="AB104" s="172">
        <v>1.2E-2</v>
      </c>
      <c r="AC104" s="172">
        <v>0.216</v>
      </c>
      <c r="AD104" s="164">
        <v>118.7</v>
      </c>
      <c r="AE104" s="163">
        <v>29</v>
      </c>
      <c r="AF104" s="163">
        <v>20</v>
      </c>
      <c r="AG104" s="164">
        <v>0.7</v>
      </c>
      <c r="AH104" s="163">
        <v>84</v>
      </c>
      <c r="AI104" s="163">
        <v>54</v>
      </c>
      <c r="AJ104" s="163">
        <v>177</v>
      </c>
      <c r="AK104" s="164">
        <v>5.9</v>
      </c>
    </row>
    <row r="105" spans="1:37" ht="15" x14ac:dyDescent="0.2">
      <c r="A105" s="159">
        <v>7</v>
      </c>
      <c r="B105" s="159" t="s">
        <v>49</v>
      </c>
      <c r="C105" s="159" t="s">
        <v>151</v>
      </c>
      <c r="D105" s="160">
        <v>0.64374999999999993</v>
      </c>
      <c r="E105" s="161">
        <v>6.0679999999999996</v>
      </c>
      <c r="F105" s="161">
        <v>1.7000000000000001E-2</v>
      </c>
      <c r="G105" s="161">
        <v>0.216</v>
      </c>
      <c r="H105" s="162">
        <v>139.5</v>
      </c>
      <c r="I105" s="163">
        <v>82</v>
      </c>
      <c r="J105" s="163">
        <v>37</v>
      </c>
      <c r="K105" s="164">
        <v>0.5</v>
      </c>
      <c r="L105" s="163">
        <v>73</v>
      </c>
      <c r="M105" s="165">
        <v>36</v>
      </c>
      <c r="N105" s="166" t="s">
        <v>487</v>
      </c>
      <c r="O105" s="166" t="s">
        <v>476</v>
      </c>
      <c r="P105" s="167" t="s">
        <v>475</v>
      </c>
      <c r="Q105" s="167">
        <v>94</v>
      </c>
      <c r="R105" s="162">
        <v>3.1</v>
      </c>
      <c r="S105" s="167" t="s">
        <v>474</v>
      </c>
      <c r="T105" s="167">
        <v>5</v>
      </c>
      <c r="U105" s="168"/>
      <c r="V105" s="173"/>
      <c r="W105" s="170">
        <v>7</v>
      </c>
      <c r="X105" s="166" t="s">
        <v>49</v>
      </c>
      <c r="Y105" s="166" t="s">
        <v>331</v>
      </c>
      <c r="Z105" s="171">
        <v>0.62083333333333335</v>
      </c>
      <c r="AA105" s="172">
        <v>14.375</v>
      </c>
      <c r="AB105" s="172">
        <v>0.04</v>
      </c>
      <c r="AC105" s="172">
        <v>0.28199999999999997</v>
      </c>
      <c r="AD105" s="164">
        <v>57.1</v>
      </c>
      <c r="AE105" s="163">
        <v>69</v>
      </c>
      <c r="AF105" s="163">
        <v>-9</v>
      </c>
      <c r="AG105" s="164">
        <v>-0.1</v>
      </c>
      <c r="AH105" s="163">
        <v>43</v>
      </c>
      <c r="AI105" s="163">
        <v>52</v>
      </c>
      <c r="AJ105" s="163">
        <v>177</v>
      </c>
      <c r="AK105" s="164">
        <v>5.9</v>
      </c>
    </row>
    <row r="106" spans="1:37" ht="15" x14ac:dyDescent="0.2">
      <c r="A106" s="159">
        <v>11</v>
      </c>
      <c r="B106" s="159" t="s">
        <v>49</v>
      </c>
      <c r="C106" s="159" t="s">
        <v>151</v>
      </c>
      <c r="D106" s="160">
        <v>0.65625</v>
      </c>
      <c r="E106" s="161">
        <v>9.2850000000000001</v>
      </c>
      <c r="F106" s="161">
        <v>2.5999999999999999E-2</v>
      </c>
      <c r="G106" s="161">
        <v>0.27400000000000002</v>
      </c>
      <c r="H106" s="162">
        <v>87.9</v>
      </c>
      <c r="I106" s="163">
        <v>42</v>
      </c>
      <c r="J106" s="163">
        <v>29</v>
      </c>
      <c r="K106" s="164">
        <v>0.7</v>
      </c>
      <c r="L106" s="163">
        <v>85</v>
      </c>
      <c r="M106" s="165">
        <v>62</v>
      </c>
      <c r="N106" s="166" t="s">
        <v>487</v>
      </c>
      <c r="O106" s="166" t="s">
        <v>476</v>
      </c>
      <c r="P106" s="167" t="s">
        <v>475</v>
      </c>
      <c r="Q106" s="167">
        <v>94</v>
      </c>
      <c r="R106" s="162">
        <v>3.1</v>
      </c>
      <c r="S106" s="167" t="s">
        <v>474</v>
      </c>
      <c r="T106" s="167">
        <v>5</v>
      </c>
      <c r="U106" s="168" t="s">
        <v>462</v>
      </c>
      <c r="V106" s="169"/>
      <c r="W106" s="170">
        <v>11</v>
      </c>
      <c r="X106" s="166" t="s">
        <v>49</v>
      </c>
      <c r="Y106" s="166" t="s">
        <v>331</v>
      </c>
      <c r="Z106" s="171">
        <v>0.63055555555555554</v>
      </c>
      <c r="AA106" s="172">
        <v>12.996</v>
      </c>
      <c r="AB106" s="172">
        <v>3.5999999999999997E-2</v>
      </c>
      <c r="AC106" s="172">
        <v>0.3</v>
      </c>
      <c r="AD106" s="164">
        <v>58.5</v>
      </c>
      <c r="AE106" s="163">
        <v>80</v>
      </c>
      <c r="AF106" s="163">
        <v>-43</v>
      </c>
      <c r="AG106" s="164">
        <v>-0.5</v>
      </c>
      <c r="AH106" s="163">
        <v>23</v>
      </c>
      <c r="AI106" s="163">
        <v>60</v>
      </c>
      <c r="AJ106" s="163">
        <v>177</v>
      </c>
      <c r="AK106" s="164">
        <v>5.9</v>
      </c>
    </row>
    <row r="107" spans="1:37" ht="15" x14ac:dyDescent="0.2">
      <c r="A107" s="159">
        <v>21</v>
      </c>
      <c r="B107" s="159" t="s">
        <v>41</v>
      </c>
      <c r="C107" s="159" t="s">
        <v>151</v>
      </c>
      <c r="D107" s="160">
        <v>0.69027777777777777</v>
      </c>
      <c r="E107" s="161">
        <v>15.304</v>
      </c>
      <c r="F107" s="161">
        <v>4.2999999999999997E-2</v>
      </c>
      <c r="G107" s="161">
        <v>0.29799999999999999</v>
      </c>
      <c r="H107" s="162">
        <v>16.5</v>
      </c>
      <c r="I107" s="163">
        <v>16</v>
      </c>
      <c r="J107" s="163">
        <v>0</v>
      </c>
      <c r="K107" s="164">
        <v>0</v>
      </c>
      <c r="L107" s="163">
        <v>49</v>
      </c>
      <c r="M107" s="165">
        <v>52</v>
      </c>
      <c r="N107" s="159" t="s">
        <v>487</v>
      </c>
      <c r="O107" s="159" t="s">
        <v>476</v>
      </c>
      <c r="P107" s="167" t="s">
        <v>475</v>
      </c>
      <c r="Q107" s="167">
        <v>76</v>
      </c>
      <c r="R107" s="167">
        <v>3</v>
      </c>
      <c r="S107" s="167" t="s">
        <v>474</v>
      </c>
      <c r="T107" s="167">
        <v>5</v>
      </c>
      <c r="U107" s="168"/>
      <c r="V107" s="173"/>
      <c r="W107" s="170">
        <v>21</v>
      </c>
      <c r="X107" s="166" t="s">
        <v>53</v>
      </c>
      <c r="Y107" s="166" t="s">
        <v>331</v>
      </c>
      <c r="Z107" s="171">
        <v>0.65</v>
      </c>
      <c r="AA107" s="172">
        <v>6.827</v>
      </c>
      <c r="AB107" s="172">
        <v>1.9E-2</v>
      </c>
      <c r="AC107" s="172">
        <v>0.27600000000000002</v>
      </c>
      <c r="AD107" s="164">
        <v>121.2</v>
      </c>
      <c r="AE107" s="163">
        <v>89</v>
      </c>
      <c r="AF107" s="163">
        <v>76</v>
      </c>
      <c r="AG107" s="164">
        <v>0.9</v>
      </c>
      <c r="AH107" s="163">
        <v>93</v>
      </c>
      <c r="AI107" s="163">
        <v>48</v>
      </c>
      <c r="AJ107" s="163">
        <v>159</v>
      </c>
      <c r="AK107" s="164">
        <v>5.3</v>
      </c>
    </row>
    <row r="108" spans="1:37" ht="15" x14ac:dyDescent="0.2">
      <c r="A108" s="159">
        <v>24</v>
      </c>
      <c r="B108" s="159" t="s">
        <v>53</v>
      </c>
      <c r="C108" s="159" t="s">
        <v>151</v>
      </c>
      <c r="D108" s="160">
        <v>0.69027777777777777</v>
      </c>
      <c r="E108" s="161">
        <v>9.3710000000000004</v>
      </c>
      <c r="F108" s="161">
        <v>2.5999999999999999E-2</v>
      </c>
      <c r="G108" s="161">
        <v>0.29099999999999998</v>
      </c>
      <c r="H108" s="162">
        <v>45.6</v>
      </c>
      <c r="I108" s="163">
        <v>62</v>
      </c>
      <c r="J108" s="163">
        <v>33</v>
      </c>
      <c r="K108" s="164">
        <v>0.5</v>
      </c>
      <c r="L108" s="163">
        <v>77</v>
      </c>
      <c r="M108" s="165">
        <v>40</v>
      </c>
      <c r="N108" s="159" t="s">
        <v>486</v>
      </c>
      <c r="O108" s="159" t="s">
        <v>476</v>
      </c>
      <c r="P108" s="167" t="s">
        <v>475</v>
      </c>
      <c r="Q108" s="167">
        <v>68</v>
      </c>
      <c r="R108" s="167">
        <v>2</v>
      </c>
      <c r="S108" s="167" t="s">
        <v>474</v>
      </c>
      <c r="T108" s="167">
        <v>5</v>
      </c>
      <c r="U108" s="168"/>
      <c r="V108" s="169"/>
      <c r="W108" s="170">
        <v>24</v>
      </c>
      <c r="X108" s="166" t="s">
        <v>46</v>
      </c>
      <c r="Y108" s="166" t="s">
        <v>331</v>
      </c>
      <c r="Z108" s="171">
        <v>0.65833333333333333</v>
      </c>
      <c r="AA108" s="172">
        <v>9.343</v>
      </c>
      <c r="AB108" s="172">
        <v>2.5999999999999999E-2</v>
      </c>
      <c r="AC108" s="172">
        <v>0.28199999999999997</v>
      </c>
      <c r="AD108" s="164">
        <v>124.1</v>
      </c>
      <c r="AE108" s="163">
        <v>58</v>
      </c>
      <c r="AF108" s="163">
        <v>-29</v>
      </c>
      <c r="AG108" s="164">
        <v>-0.5</v>
      </c>
      <c r="AH108" s="163">
        <v>25</v>
      </c>
      <c r="AI108" s="163">
        <v>88</v>
      </c>
      <c r="AJ108" s="163">
        <v>151</v>
      </c>
      <c r="AK108" s="164">
        <v>5</v>
      </c>
    </row>
    <row r="109" spans="1:37" ht="15" x14ac:dyDescent="0.2">
      <c r="A109" s="159">
        <v>28</v>
      </c>
      <c r="B109" s="159" t="s">
        <v>53</v>
      </c>
      <c r="C109" s="159" t="s">
        <v>151</v>
      </c>
      <c r="D109" s="160">
        <v>0.70208333333333339</v>
      </c>
      <c r="E109" s="161">
        <v>7.0460000000000003</v>
      </c>
      <c r="F109" s="161">
        <v>0.02</v>
      </c>
      <c r="G109" s="161">
        <v>0.224</v>
      </c>
      <c r="H109" s="162">
        <v>85.6</v>
      </c>
      <c r="I109" s="163">
        <v>68</v>
      </c>
      <c r="J109" s="163">
        <v>-43</v>
      </c>
      <c r="K109" s="164">
        <v>-0.6</v>
      </c>
      <c r="L109" s="163">
        <v>18</v>
      </c>
      <c r="M109" s="165">
        <v>35</v>
      </c>
      <c r="N109" s="159" t="s">
        <v>486</v>
      </c>
      <c r="O109" s="159" t="s">
        <v>476</v>
      </c>
      <c r="P109" s="167" t="s">
        <v>475</v>
      </c>
      <c r="Q109" s="167">
        <v>68</v>
      </c>
      <c r="R109" s="167">
        <v>2</v>
      </c>
      <c r="S109" s="167" t="s">
        <v>474</v>
      </c>
      <c r="T109" s="167">
        <v>5</v>
      </c>
      <c r="U109" s="168" t="s">
        <v>464</v>
      </c>
      <c r="V109" s="173"/>
      <c r="W109" s="170">
        <v>28</v>
      </c>
      <c r="X109" s="166" t="s">
        <v>41</v>
      </c>
      <c r="Y109" s="166" t="s">
        <v>331</v>
      </c>
      <c r="Z109" s="171">
        <v>0.66736111111111107</v>
      </c>
      <c r="AA109" s="172">
        <v>5.1550000000000002</v>
      </c>
      <c r="AB109" s="172">
        <v>1.4E-2</v>
      </c>
      <c r="AC109" s="172">
        <v>0.215</v>
      </c>
      <c r="AD109" s="164">
        <v>129.30000000000001</v>
      </c>
      <c r="AE109" s="163">
        <v>27</v>
      </c>
      <c r="AF109" s="163">
        <v>1</v>
      </c>
      <c r="AG109" s="164">
        <v>0</v>
      </c>
      <c r="AH109" s="163">
        <v>52</v>
      </c>
      <c r="AI109" s="163">
        <v>34</v>
      </c>
      <c r="AJ109" s="163">
        <v>151</v>
      </c>
      <c r="AK109" s="164">
        <v>5</v>
      </c>
    </row>
    <row r="110" spans="1:37" ht="15" x14ac:dyDescent="0.2">
      <c r="A110" s="159">
        <v>33</v>
      </c>
      <c r="B110" s="159" t="s">
        <v>41</v>
      </c>
      <c r="C110" s="159" t="s">
        <v>151</v>
      </c>
      <c r="D110" s="160">
        <v>0.72499999999999998</v>
      </c>
      <c r="E110" s="161">
        <v>4.1310000000000002</v>
      </c>
      <c r="F110" s="161">
        <v>1.0999999999999999E-2</v>
      </c>
      <c r="G110" s="161">
        <v>0.216</v>
      </c>
      <c r="H110" s="162">
        <v>230</v>
      </c>
      <c r="I110" s="163">
        <v>14</v>
      </c>
      <c r="J110" s="163">
        <v>14</v>
      </c>
      <c r="K110" s="164">
        <v>1</v>
      </c>
      <c r="L110" s="163">
        <v>100</v>
      </c>
      <c r="M110" s="165">
        <v>44</v>
      </c>
      <c r="N110" s="159" t="s">
        <v>487</v>
      </c>
      <c r="O110" s="159" t="s">
        <v>476</v>
      </c>
      <c r="P110" s="167" t="s">
        <v>475</v>
      </c>
      <c r="Q110" s="167">
        <v>68</v>
      </c>
      <c r="R110" s="167">
        <v>2</v>
      </c>
      <c r="S110" s="167" t="s">
        <v>474</v>
      </c>
      <c r="T110" s="167">
        <v>5</v>
      </c>
      <c r="U110" s="168" t="s">
        <v>465</v>
      </c>
      <c r="V110" s="169"/>
      <c r="W110" s="170">
        <v>33</v>
      </c>
      <c r="X110" s="166" t="s">
        <v>46</v>
      </c>
      <c r="Y110" s="166" t="s">
        <v>331</v>
      </c>
      <c r="Z110" s="171">
        <v>0.67638888888888893</v>
      </c>
      <c r="AA110" s="172">
        <v>10.476000000000001</v>
      </c>
      <c r="AB110" s="172">
        <v>2.9000000000000001E-2</v>
      </c>
      <c r="AC110" s="172">
        <v>0.252</v>
      </c>
      <c r="AD110" s="164">
        <v>61.1</v>
      </c>
      <c r="AE110" s="163">
        <v>90</v>
      </c>
      <c r="AF110" s="163">
        <v>-38</v>
      </c>
      <c r="AG110" s="164">
        <v>-0.4</v>
      </c>
      <c r="AH110" s="163">
        <v>29</v>
      </c>
      <c r="AI110" s="163">
        <v>50</v>
      </c>
      <c r="AJ110" s="163">
        <v>151</v>
      </c>
      <c r="AK110" s="164">
        <v>5</v>
      </c>
    </row>
    <row r="111" spans="1:37" ht="16" thickBot="1" x14ac:dyDescent="0.25">
      <c r="A111" s="159">
        <v>44</v>
      </c>
      <c r="B111" s="159" t="s">
        <v>53</v>
      </c>
      <c r="C111" s="159" t="s">
        <v>151</v>
      </c>
      <c r="D111" s="160">
        <v>0.74791666666666667</v>
      </c>
      <c r="E111" s="161">
        <v>21.859000000000002</v>
      </c>
      <c r="F111" s="161">
        <v>6.0999999999999999E-2</v>
      </c>
      <c r="G111" s="161">
        <v>0.36599999999999999</v>
      </c>
      <c r="H111" s="162">
        <v>12.1</v>
      </c>
      <c r="I111" s="163">
        <v>31</v>
      </c>
      <c r="J111" s="163">
        <v>3</v>
      </c>
      <c r="K111" s="164">
        <v>0.1</v>
      </c>
      <c r="L111" s="163">
        <v>54</v>
      </c>
      <c r="M111" s="165">
        <v>53</v>
      </c>
      <c r="N111" s="159" t="s">
        <v>487</v>
      </c>
      <c r="O111" s="159" t="s">
        <v>476</v>
      </c>
      <c r="P111" s="167" t="s">
        <v>475</v>
      </c>
      <c r="Q111" s="167">
        <v>42</v>
      </c>
      <c r="R111" s="167">
        <v>1</v>
      </c>
      <c r="S111" s="167" t="s">
        <v>474</v>
      </c>
      <c r="T111" s="167">
        <v>5</v>
      </c>
      <c r="U111" s="168"/>
      <c r="V111" s="173"/>
      <c r="W111" s="170">
        <v>44</v>
      </c>
      <c r="X111" s="166" t="s">
        <v>41</v>
      </c>
      <c r="Y111" s="166" t="s">
        <v>331</v>
      </c>
      <c r="Z111" s="171">
        <v>0.70416666666666661</v>
      </c>
      <c r="AA111" s="172">
        <v>10.755000000000001</v>
      </c>
      <c r="AB111" s="172">
        <v>0.03</v>
      </c>
      <c r="AC111" s="172">
        <v>0.26500000000000001</v>
      </c>
      <c r="AD111" s="164">
        <v>95.1</v>
      </c>
      <c r="AE111" s="163">
        <v>26</v>
      </c>
      <c r="AF111" s="163">
        <v>-3</v>
      </c>
      <c r="AG111" s="164">
        <v>-0.1</v>
      </c>
      <c r="AH111" s="163">
        <v>45</v>
      </c>
      <c r="AI111" s="163">
        <v>46</v>
      </c>
      <c r="AJ111" s="163">
        <v>125</v>
      </c>
      <c r="AK111" s="164">
        <v>4.2</v>
      </c>
    </row>
    <row r="112" spans="1:37" s="221" customFormat="1" ht="16" thickBot="1" x14ac:dyDescent="0.25">
      <c r="A112" s="211" t="s">
        <v>507</v>
      </c>
      <c r="B112" s="212"/>
      <c r="C112" s="212"/>
      <c r="D112" s="212"/>
      <c r="E112" s="215">
        <f>AVERAGE(E104:E111)</f>
        <v>10.392625000000001</v>
      </c>
      <c r="F112" s="213"/>
      <c r="G112" s="213"/>
      <c r="H112" s="214"/>
      <c r="I112" s="215">
        <f>AVERAGE(I104:I111)</f>
        <v>53.625</v>
      </c>
      <c r="J112" s="215">
        <f t="shared" ref="J112:M112" si="17">AVERAGE(J104:J111)</f>
        <v>7.75</v>
      </c>
      <c r="K112" s="215">
        <f t="shared" si="17"/>
        <v>0.26250000000000001</v>
      </c>
      <c r="L112" s="215">
        <f t="shared" si="17"/>
        <v>62.625</v>
      </c>
      <c r="M112" s="215">
        <f t="shared" si="17"/>
        <v>47.125</v>
      </c>
      <c r="N112" s="212"/>
      <c r="O112" s="212"/>
      <c r="P112" s="216"/>
      <c r="Q112" s="216"/>
      <c r="R112" s="216"/>
      <c r="S112" s="216"/>
      <c r="T112" s="216"/>
      <c r="U112" s="216"/>
      <c r="V112" s="217"/>
      <c r="W112" s="218"/>
      <c r="X112" s="218"/>
      <c r="Y112" s="218"/>
      <c r="Z112" s="218"/>
      <c r="AA112" s="215">
        <f>AVERAGE(AA104:AA111)</f>
        <v>9.2768749999999986</v>
      </c>
      <c r="AB112" s="219"/>
      <c r="AC112" s="219"/>
      <c r="AD112" s="220"/>
      <c r="AE112" s="215">
        <f t="shared" ref="AE112" si="18">AVERAGE(AE104:AE111)</f>
        <v>58.5</v>
      </c>
      <c r="AF112" s="215">
        <f>AVERAGE(AF104:AF111)</f>
        <v>-3.125</v>
      </c>
      <c r="AG112" s="215">
        <f t="shared" ref="AG112" si="19">AVERAGE(AG104:AG111)</f>
        <v>0</v>
      </c>
      <c r="AH112" s="215">
        <f t="shared" ref="AH112" si="20">AVERAGE(AH104:AH111)</f>
        <v>49.25</v>
      </c>
      <c r="AI112" s="215">
        <f t="shared" ref="AI112" si="21">AVERAGE(AI107:AI111)</f>
        <v>53.2</v>
      </c>
      <c r="AJ112" s="215"/>
      <c r="AK112" s="220"/>
    </row>
    <row r="113" spans="1:37" x14ac:dyDescent="0.15">
      <c r="AH113" s="237">
        <f>STDEV(AH104:AH111)/SQRT((COUNT(AH104:AH111)))</f>
        <v>9.3288148075886745</v>
      </c>
    </row>
    <row r="116" spans="1:37" x14ac:dyDescent="0.15">
      <c r="A116" s="29" t="s">
        <v>493</v>
      </c>
    </row>
    <row r="117" spans="1:37" ht="15" x14ac:dyDescent="0.2">
      <c r="A117" s="30" t="s">
        <v>0</v>
      </c>
      <c r="B117" s="31" t="s">
        <v>2</v>
      </c>
      <c r="C117" s="31" t="s">
        <v>3</v>
      </c>
      <c r="D117" s="31" t="s">
        <v>4</v>
      </c>
      <c r="E117" s="32" t="s">
        <v>7</v>
      </c>
      <c r="F117" s="32" t="s">
        <v>8</v>
      </c>
      <c r="G117" s="32" t="s">
        <v>9</v>
      </c>
      <c r="H117" s="33" t="s">
        <v>10</v>
      </c>
      <c r="I117" s="47" t="s">
        <v>454</v>
      </c>
      <c r="J117" s="35" t="s">
        <v>455</v>
      </c>
      <c r="K117" s="35" t="s">
        <v>457</v>
      </c>
      <c r="L117" s="35" t="s">
        <v>456</v>
      </c>
      <c r="M117" s="35" t="s">
        <v>452</v>
      </c>
      <c r="N117" s="35" t="s">
        <v>485</v>
      </c>
      <c r="O117" s="35" t="s">
        <v>478</v>
      </c>
      <c r="P117" s="35" t="s">
        <v>479</v>
      </c>
      <c r="Q117" s="35" t="s">
        <v>480</v>
      </c>
      <c r="R117" s="35" t="s">
        <v>481</v>
      </c>
      <c r="S117" s="35" t="s">
        <v>482</v>
      </c>
      <c r="T117" s="35" t="s">
        <v>483</v>
      </c>
      <c r="U117" s="35" t="s">
        <v>484</v>
      </c>
      <c r="V117" s="157" t="s">
        <v>513</v>
      </c>
      <c r="W117" s="35" t="s">
        <v>514</v>
      </c>
      <c r="X117" s="35" t="s">
        <v>515</v>
      </c>
      <c r="Y117" s="35" t="s">
        <v>516</v>
      </c>
      <c r="Z117" s="35" t="s">
        <v>517</v>
      </c>
      <c r="AA117" s="45" t="s">
        <v>518</v>
      </c>
      <c r="AB117" s="45" t="s">
        <v>519</v>
      </c>
      <c r="AC117" s="45" t="s">
        <v>520</v>
      </c>
      <c r="AD117" s="46" t="s">
        <v>521</v>
      </c>
      <c r="AE117" s="47" t="s">
        <v>522</v>
      </c>
      <c r="AF117" s="35" t="s">
        <v>523</v>
      </c>
      <c r="AG117" s="35" t="s">
        <v>524</v>
      </c>
      <c r="AH117" s="35" t="s">
        <v>525</v>
      </c>
      <c r="AI117" s="47" t="s">
        <v>526</v>
      </c>
      <c r="AJ117" s="47" t="s">
        <v>527</v>
      </c>
      <c r="AK117" s="158" t="s">
        <v>528</v>
      </c>
    </row>
    <row r="118" spans="1:37" ht="15" x14ac:dyDescent="0.2">
      <c r="A118" s="159">
        <v>10</v>
      </c>
      <c r="B118" s="159" t="s">
        <v>46</v>
      </c>
      <c r="C118" s="159" t="s">
        <v>151</v>
      </c>
      <c r="D118" s="160">
        <v>0.65625</v>
      </c>
      <c r="E118" s="161">
        <v>24.497</v>
      </c>
      <c r="F118" s="161">
        <v>6.8000000000000005E-2</v>
      </c>
      <c r="G118" s="161">
        <v>0.29699999999999999</v>
      </c>
      <c r="H118" s="162">
        <v>2.4</v>
      </c>
      <c r="I118" s="163">
        <v>64</v>
      </c>
      <c r="J118" s="163">
        <v>-27</v>
      </c>
      <c r="K118" s="164">
        <v>-0.4</v>
      </c>
      <c r="L118" s="163">
        <v>29</v>
      </c>
      <c r="M118" s="165">
        <v>31</v>
      </c>
      <c r="N118" s="166" t="s">
        <v>487</v>
      </c>
      <c r="O118" s="166" t="s">
        <v>476</v>
      </c>
      <c r="P118" s="167" t="s">
        <v>475</v>
      </c>
      <c r="Q118" s="167">
        <v>94</v>
      </c>
      <c r="R118" s="162">
        <v>3.1</v>
      </c>
      <c r="S118" s="167" t="s">
        <v>477</v>
      </c>
      <c r="T118" s="167">
        <v>6</v>
      </c>
      <c r="U118" s="168" t="s">
        <v>461</v>
      </c>
      <c r="V118" s="169"/>
      <c r="W118" s="170">
        <v>10</v>
      </c>
      <c r="X118" s="166" t="s">
        <v>46</v>
      </c>
      <c r="Y118" s="166" t="s">
        <v>331</v>
      </c>
      <c r="Z118" s="171">
        <v>0.63055555555555554</v>
      </c>
      <c r="AA118" s="172">
        <v>31.84</v>
      </c>
      <c r="AB118" s="172">
        <v>8.7999999999999995E-2</v>
      </c>
      <c r="AC118" s="172">
        <v>0.33800000000000002</v>
      </c>
      <c r="AD118" s="164">
        <v>13</v>
      </c>
      <c r="AE118" s="163">
        <v>83</v>
      </c>
      <c r="AF118" s="163">
        <v>12</v>
      </c>
      <c r="AG118" s="164">
        <v>0.1</v>
      </c>
      <c r="AH118" s="163">
        <v>57</v>
      </c>
      <c r="AI118" s="163">
        <v>51</v>
      </c>
      <c r="AJ118" s="163">
        <v>177</v>
      </c>
      <c r="AK118" s="164">
        <v>5.9</v>
      </c>
    </row>
    <row r="119" spans="1:37" ht="15" x14ac:dyDescent="0.2">
      <c r="A119" s="159">
        <v>12</v>
      </c>
      <c r="B119" s="159" t="s">
        <v>53</v>
      </c>
      <c r="C119" s="159" t="s">
        <v>151</v>
      </c>
      <c r="D119" s="160">
        <v>0.65625</v>
      </c>
      <c r="E119" s="161">
        <v>3.9940000000000002</v>
      </c>
      <c r="F119" s="161">
        <v>1.0999999999999999E-2</v>
      </c>
      <c r="G119" s="161">
        <v>0.19400000000000001</v>
      </c>
      <c r="H119" s="162">
        <v>212</v>
      </c>
      <c r="I119" s="163">
        <v>191</v>
      </c>
      <c r="J119" s="163">
        <v>-141</v>
      </c>
      <c r="K119" s="164">
        <v>-0.7</v>
      </c>
      <c r="L119" s="163">
        <v>13</v>
      </c>
      <c r="M119" s="165"/>
      <c r="N119" s="166" t="s">
        <v>487</v>
      </c>
      <c r="O119" s="166" t="s">
        <v>476</v>
      </c>
      <c r="P119" s="167" t="s">
        <v>475</v>
      </c>
      <c r="Q119" s="167">
        <v>94</v>
      </c>
      <c r="R119" s="162">
        <v>3.1</v>
      </c>
      <c r="S119" s="167" t="s">
        <v>477</v>
      </c>
      <c r="T119" s="167">
        <v>6</v>
      </c>
      <c r="U119" s="168"/>
      <c r="V119" s="173"/>
      <c r="W119" s="170">
        <v>12</v>
      </c>
      <c r="X119" s="166" t="s">
        <v>53</v>
      </c>
      <c r="Y119" s="166" t="s">
        <v>331</v>
      </c>
      <c r="Z119" s="171">
        <v>0.63124999999999998</v>
      </c>
      <c r="AA119" s="172">
        <v>9.8480000000000008</v>
      </c>
      <c r="AB119" s="172">
        <v>2.7E-2</v>
      </c>
      <c r="AC119" s="172">
        <v>0.30199999999999999</v>
      </c>
      <c r="AD119" s="164">
        <v>175</v>
      </c>
      <c r="AE119" s="163">
        <v>56</v>
      </c>
      <c r="AF119" s="163">
        <v>-8</v>
      </c>
      <c r="AG119" s="164">
        <v>-0.1</v>
      </c>
      <c r="AH119" s="163">
        <v>43</v>
      </c>
      <c r="AI119" s="163">
        <v>91</v>
      </c>
      <c r="AJ119" s="163">
        <v>177</v>
      </c>
      <c r="AK119" s="164">
        <v>5.9</v>
      </c>
    </row>
    <row r="120" spans="1:37" ht="15" x14ac:dyDescent="0.2">
      <c r="A120" s="159">
        <v>23</v>
      </c>
      <c r="B120" s="159" t="s">
        <v>49</v>
      </c>
      <c r="C120" s="159" t="s">
        <v>151</v>
      </c>
      <c r="D120" s="160">
        <v>0.69027777777777777</v>
      </c>
      <c r="E120" s="161">
        <v>5.6989999999999998</v>
      </c>
      <c r="F120" s="161">
        <v>1.6E-2</v>
      </c>
      <c r="G120" s="161">
        <v>0.24199999999999999</v>
      </c>
      <c r="H120" s="162">
        <v>107.7</v>
      </c>
      <c r="I120" s="163">
        <v>79</v>
      </c>
      <c r="J120" s="163">
        <v>-27</v>
      </c>
      <c r="K120" s="164">
        <v>-0.3</v>
      </c>
      <c r="L120" s="163">
        <v>33</v>
      </c>
      <c r="M120" s="165">
        <v>42</v>
      </c>
      <c r="N120" s="159" t="s">
        <v>486</v>
      </c>
      <c r="O120" s="159" t="s">
        <v>476</v>
      </c>
      <c r="P120" s="167" t="s">
        <v>475</v>
      </c>
      <c r="Q120" s="167">
        <v>68</v>
      </c>
      <c r="R120" s="167">
        <v>2</v>
      </c>
      <c r="S120" s="167" t="s">
        <v>477</v>
      </c>
      <c r="T120" s="167">
        <v>6</v>
      </c>
      <c r="U120" s="168"/>
      <c r="V120" s="169"/>
      <c r="W120" s="170">
        <v>23</v>
      </c>
      <c r="X120" s="166" t="s">
        <v>41</v>
      </c>
      <c r="Y120" s="166" t="s">
        <v>331</v>
      </c>
      <c r="Z120" s="171">
        <v>0.65833333333333333</v>
      </c>
      <c r="AA120" s="172">
        <v>5.0129999999999999</v>
      </c>
      <c r="AB120" s="172">
        <v>1.4E-2</v>
      </c>
      <c r="AC120" s="172">
        <v>0.22900000000000001</v>
      </c>
      <c r="AD120" s="164">
        <v>185.1</v>
      </c>
      <c r="AE120" s="163">
        <v>113</v>
      </c>
      <c r="AF120" s="163">
        <v>69</v>
      </c>
      <c r="AG120" s="164">
        <v>0.6</v>
      </c>
      <c r="AH120" s="163">
        <v>80</v>
      </c>
      <c r="AI120" s="163">
        <v>81</v>
      </c>
      <c r="AJ120" s="163">
        <v>151</v>
      </c>
      <c r="AK120" s="164">
        <v>5</v>
      </c>
    </row>
    <row r="121" spans="1:37" ht="15" x14ac:dyDescent="0.2">
      <c r="A121" s="159">
        <v>26</v>
      </c>
      <c r="B121" s="159" t="s">
        <v>46</v>
      </c>
      <c r="C121" s="159" t="s">
        <v>151</v>
      </c>
      <c r="D121" s="160">
        <v>0.70208333333333339</v>
      </c>
      <c r="E121" s="161">
        <v>10.589</v>
      </c>
      <c r="F121" s="161">
        <v>2.9000000000000001E-2</v>
      </c>
      <c r="G121" s="161">
        <v>0.24199999999999999</v>
      </c>
      <c r="H121" s="162">
        <v>42.4</v>
      </c>
      <c r="I121" s="163">
        <v>68</v>
      </c>
      <c r="J121" s="163">
        <v>18</v>
      </c>
      <c r="K121" s="164">
        <v>0.3</v>
      </c>
      <c r="L121" s="163">
        <v>63</v>
      </c>
      <c r="M121" s="165">
        <v>58</v>
      </c>
      <c r="N121" s="159" t="s">
        <v>486</v>
      </c>
      <c r="O121" s="159" t="s">
        <v>476</v>
      </c>
      <c r="P121" s="167" t="s">
        <v>475</v>
      </c>
      <c r="Q121" s="167">
        <v>68</v>
      </c>
      <c r="R121" s="167">
        <v>2</v>
      </c>
      <c r="S121" s="167" t="s">
        <v>477</v>
      </c>
      <c r="T121" s="167">
        <v>6</v>
      </c>
      <c r="U121" s="168"/>
      <c r="V121" s="173"/>
      <c r="W121" s="170">
        <v>26</v>
      </c>
      <c r="X121" s="166" t="s">
        <v>49</v>
      </c>
      <c r="Y121" s="166" t="s">
        <v>331</v>
      </c>
      <c r="Z121" s="171">
        <v>0.65833333333333333</v>
      </c>
      <c r="AA121" s="172">
        <v>6.4550000000000001</v>
      </c>
      <c r="AB121" s="172">
        <v>1.7999999999999999E-2</v>
      </c>
      <c r="AC121" s="172">
        <v>0.28000000000000003</v>
      </c>
      <c r="AD121" s="164">
        <v>132.1</v>
      </c>
      <c r="AE121" s="163">
        <v>88</v>
      </c>
      <c r="AF121" s="163">
        <v>-49</v>
      </c>
      <c r="AG121" s="164">
        <v>-0.6</v>
      </c>
      <c r="AH121" s="163">
        <v>22</v>
      </c>
      <c r="AI121" s="163">
        <v>59</v>
      </c>
      <c r="AJ121" s="163">
        <v>151</v>
      </c>
      <c r="AK121" s="164">
        <v>5</v>
      </c>
    </row>
    <row r="122" spans="1:37" ht="16" thickBot="1" x14ac:dyDescent="0.25">
      <c r="A122" s="159">
        <v>30</v>
      </c>
      <c r="B122" s="159" t="s">
        <v>46</v>
      </c>
      <c r="C122" s="159" t="s">
        <v>151</v>
      </c>
      <c r="D122" s="160">
        <v>0.71388888888888891</v>
      </c>
      <c r="E122" s="161">
        <v>10.5</v>
      </c>
      <c r="F122" s="161">
        <v>2.9000000000000001E-2</v>
      </c>
      <c r="G122" s="161">
        <v>0.249</v>
      </c>
      <c r="H122" s="162">
        <v>38.4</v>
      </c>
      <c r="I122" s="163">
        <v>71</v>
      </c>
      <c r="J122" s="163">
        <v>-28</v>
      </c>
      <c r="K122" s="164">
        <v>-0.4</v>
      </c>
      <c r="L122" s="163">
        <v>30</v>
      </c>
      <c r="M122" s="165">
        <v>62</v>
      </c>
      <c r="N122" s="159" t="s">
        <v>487</v>
      </c>
      <c r="O122" s="159" t="s">
        <v>476</v>
      </c>
      <c r="P122" s="167" t="s">
        <v>475</v>
      </c>
      <c r="Q122" s="167">
        <v>68</v>
      </c>
      <c r="R122" s="167">
        <v>2</v>
      </c>
      <c r="S122" s="167" t="s">
        <v>477</v>
      </c>
      <c r="T122" s="167">
        <v>6</v>
      </c>
      <c r="U122" s="168"/>
      <c r="V122" s="169"/>
      <c r="W122" s="170">
        <v>30</v>
      </c>
      <c r="X122" s="166" t="s">
        <v>49</v>
      </c>
      <c r="Y122" s="166" t="s">
        <v>331</v>
      </c>
      <c r="Z122" s="171">
        <v>0.66736111111111107</v>
      </c>
      <c r="AA122" s="172">
        <v>4.3310000000000004</v>
      </c>
      <c r="AB122" s="172">
        <v>1.2E-2</v>
      </c>
      <c r="AC122" s="172">
        <v>0.223</v>
      </c>
      <c r="AD122" s="164">
        <v>101.7</v>
      </c>
      <c r="AE122" s="163">
        <v>137</v>
      </c>
      <c r="AF122" s="163">
        <v>-119</v>
      </c>
      <c r="AG122" s="164">
        <v>-0.9</v>
      </c>
      <c r="AH122" s="163">
        <v>7</v>
      </c>
      <c r="AI122" s="163">
        <v>59</v>
      </c>
      <c r="AJ122" s="163">
        <v>151</v>
      </c>
      <c r="AK122" s="164">
        <v>5</v>
      </c>
    </row>
    <row r="123" spans="1:37" s="221" customFormat="1" ht="16" thickBot="1" x14ac:dyDescent="0.25">
      <c r="A123" s="211" t="s">
        <v>507</v>
      </c>
      <c r="B123" s="212"/>
      <c r="C123" s="212"/>
      <c r="D123" s="212"/>
      <c r="E123" s="215">
        <f>AVERAGE(E118:E122)</f>
        <v>11.0558</v>
      </c>
      <c r="F123" s="213"/>
      <c r="G123" s="213"/>
      <c r="H123" s="214"/>
      <c r="I123" s="215">
        <f>AVERAGE(I118:I122)</f>
        <v>94.6</v>
      </c>
      <c r="J123" s="215">
        <f>AVERAGE(J118:J122)</f>
        <v>-41</v>
      </c>
      <c r="K123" s="215">
        <f>AVERAGE(K118:K122)</f>
        <v>-0.3</v>
      </c>
      <c r="L123" s="215">
        <f>AVERAGE(L118:L122)</f>
        <v>33.6</v>
      </c>
      <c r="M123" s="215">
        <f>AVERAGE(M118:M122)</f>
        <v>48.25</v>
      </c>
      <c r="N123" s="212"/>
      <c r="O123" s="212"/>
      <c r="P123" s="216"/>
      <c r="Q123" s="216"/>
      <c r="R123" s="216"/>
      <c r="S123" s="216"/>
      <c r="T123" s="216"/>
      <c r="U123" s="216"/>
      <c r="V123" s="217"/>
      <c r="W123" s="218"/>
      <c r="X123" s="218"/>
      <c r="Y123" s="218"/>
      <c r="Z123" s="218"/>
      <c r="AA123" s="215">
        <f>AVERAGE(AA118:AA122)</f>
        <v>11.497400000000001</v>
      </c>
      <c r="AB123" s="219"/>
      <c r="AC123" s="219"/>
      <c r="AD123" s="220"/>
      <c r="AE123" s="215">
        <f>AVERAGE(AE118:AE122)</f>
        <v>95.4</v>
      </c>
      <c r="AF123" s="215">
        <f t="shared" ref="AF123" si="22">AVERAGE(AF118:AF122)</f>
        <v>-19</v>
      </c>
      <c r="AG123" s="215">
        <f t="shared" ref="AG123" si="23">AVERAGE(AG118:AG122)</f>
        <v>-0.18</v>
      </c>
      <c r="AH123" s="215">
        <f t="shared" ref="AH123" si="24">AVERAGE(AH118:AH122)</f>
        <v>41.8</v>
      </c>
      <c r="AI123" s="215">
        <f t="shared" ref="AI123" si="25">AVERAGE(AI118:AI122)</f>
        <v>68.2</v>
      </c>
      <c r="AJ123" s="215"/>
      <c r="AK123" s="220"/>
    </row>
    <row r="124" spans="1:37" x14ac:dyDescent="0.15">
      <c r="AH124" s="237">
        <f>STDEV(AH118:AH122)/SQRT((COUNT(AH118:AH122)))</f>
        <v>12.83510810238854</v>
      </c>
    </row>
    <row r="127" spans="1:37" x14ac:dyDescent="0.15">
      <c r="A127" s="29" t="s">
        <v>494</v>
      </c>
    </row>
    <row r="128" spans="1:37" ht="15" x14ac:dyDescent="0.2">
      <c r="A128" s="30" t="s">
        <v>0</v>
      </c>
      <c r="B128" s="31" t="s">
        <v>2</v>
      </c>
      <c r="C128" s="31" t="s">
        <v>3</v>
      </c>
      <c r="D128" s="31" t="s">
        <v>4</v>
      </c>
      <c r="E128" s="32" t="s">
        <v>7</v>
      </c>
      <c r="F128" s="32" t="s">
        <v>8</v>
      </c>
      <c r="G128" s="32" t="s">
        <v>9</v>
      </c>
      <c r="H128" s="33" t="s">
        <v>10</v>
      </c>
      <c r="I128" s="47" t="s">
        <v>454</v>
      </c>
      <c r="J128" s="35" t="s">
        <v>455</v>
      </c>
      <c r="K128" s="35" t="s">
        <v>457</v>
      </c>
      <c r="L128" s="35" t="s">
        <v>456</v>
      </c>
      <c r="M128" s="35" t="s">
        <v>452</v>
      </c>
      <c r="N128" s="35" t="s">
        <v>485</v>
      </c>
      <c r="O128" s="35" t="s">
        <v>478</v>
      </c>
      <c r="P128" s="35" t="s">
        <v>479</v>
      </c>
      <c r="Q128" s="35" t="s">
        <v>480</v>
      </c>
      <c r="R128" s="35" t="s">
        <v>481</v>
      </c>
      <c r="S128" s="35" t="s">
        <v>482</v>
      </c>
      <c r="T128" s="35" t="s">
        <v>483</v>
      </c>
      <c r="U128" s="35" t="s">
        <v>484</v>
      </c>
      <c r="V128" s="157" t="s">
        <v>513</v>
      </c>
      <c r="W128" s="35" t="s">
        <v>514</v>
      </c>
      <c r="X128" s="35" t="s">
        <v>515</v>
      </c>
      <c r="Y128" s="35" t="s">
        <v>516</v>
      </c>
      <c r="Z128" s="35" t="s">
        <v>517</v>
      </c>
      <c r="AA128" s="45" t="s">
        <v>518</v>
      </c>
      <c r="AB128" s="45" t="s">
        <v>519</v>
      </c>
      <c r="AC128" s="45" t="s">
        <v>520</v>
      </c>
      <c r="AD128" s="46" t="s">
        <v>521</v>
      </c>
      <c r="AE128" s="47" t="s">
        <v>522</v>
      </c>
      <c r="AF128" s="35" t="s">
        <v>523</v>
      </c>
      <c r="AG128" s="35" t="s">
        <v>524</v>
      </c>
      <c r="AH128" s="35" t="s">
        <v>525</v>
      </c>
      <c r="AI128" s="47" t="s">
        <v>526</v>
      </c>
      <c r="AJ128" s="47" t="s">
        <v>527</v>
      </c>
      <c r="AK128" s="158" t="s">
        <v>528</v>
      </c>
    </row>
    <row r="129" spans="1:37" ht="15" x14ac:dyDescent="0.2">
      <c r="A129" s="159">
        <v>5</v>
      </c>
      <c r="B129" s="159" t="s">
        <v>41</v>
      </c>
      <c r="C129" s="159" t="s">
        <v>151</v>
      </c>
      <c r="D129" s="160">
        <v>0.64374999999999993</v>
      </c>
      <c r="E129" s="161">
        <v>8.4329999999999998</v>
      </c>
      <c r="F129" s="161">
        <v>2.3E-2</v>
      </c>
      <c r="G129" s="161">
        <v>0.20200000000000001</v>
      </c>
      <c r="H129" s="162">
        <v>38.1</v>
      </c>
      <c r="I129" s="163">
        <v>22</v>
      </c>
      <c r="J129" s="163">
        <v>-4</v>
      </c>
      <c r="K129" s="164">
        <v>-0.2</v>
      </c>
      <c r="L129" s="163">
        <v>42</v>
      </c>
      <c r="M129" s="165">
        <v>46</v>
      </c>
      <c r="N129" s="166" t="s">
        <v>486</v>
      </c>
      <c r="O129" s="166" t="s">
        <v>476</v>
      </c>
      <c r="P129" s="167" t="s">
        <v>473</v>
      </c>
      <c r="Q129" s="167">
        <v>94</v>
      </c>
      <c r="R129" s="162">
        <v>3.1</v>
      </c>
      <c r="S129" s="167" t="s">
        <v>474</v>
      </c>
      <c r="T129" s="167">
        <v>7</v>
      </c>
      <c r="U129" s="168" t="s">
        <v>458</v>
      </c>
      <c r="V129" s="169"/>
      <c r="W129" s="170">
        <v>5</v>
      </c>
      <c r="X129" s="166" t="s">
        <v>41</v>
      </c>
      <c r="Y129" s="166" t="s">
        <v>331</v>
      </c>
      <c r="Z129" s="171">
        <v>0.62152777777777779</v>
      </c>
      <c r="AA129" s="172">
        <v>9.7129999999999992</v>
      </c>
      <c r="AB129" s="172">
        <v>2.7E-2</v>
      </c>
      <c r="AC129" s="172">
        <v>0.36099999999999999</v>
      </c>
      <c r="AD129" s="164">
        <v>59.6</v>
      </c>
      <c r="AE129" s="163">
        <v>60</v>
      </c>
      <c r="AF129" s="163">
        <v>19</v>
      </c>
      <c r="AG129" s="164">
        <v>0.3</v>
      </c>
      <c r="AH129" s="163">
        <v>66</v>
      </c>
      <c r="AI129" s="163">
        <v>46</v>
      </c>
      <c r="AJ129" s="163">
        <v>177</v>
      </c>
      <c r="AK129" s="164">
        <v>5.9</v>
      </c>
    </row>
    <row r="130" spans="1:37" ht="15" x14ac:dyDescent="0.2">
      <c r="A130" s="159">
        <v>9</v>
      </c>
      <c r="B130" s="159" t="s">
        <v>41</v>
      </c>
      <c r="C130" s="159" t="s">
        <v>151</v>
      </c>
      <c r="D130" s="160">
        <v>0.65625</v>
      </c>
      <c r="E130" s="161">
        <v>6.5229999999999997</v>
      </c>
      <c r="F130" s="161">
        <v>1.7999999999999999E-2</v>
      </c>
      <c r="G130" s="161">
        <v>0.217</v>
      </c>
      <c r="H130" s="162">
        <v>187.3</v>
      </c>
      <c r="I130" s="163">
        <v>23</v>
      </c>
      <c r="J130" s="163">
        <v>3</v>
      </c>
      <c r="K130" s="164">
        <v>0.1</v>
      </c>
      <c r="L130" s="163">
        <v>57</v>
      </c>
      <c r="M130" s="165">
        <v>48</v>
      </c>
      <c r="N130" s="166" t="s">
        <v>487</v>
      </c>
      <c r="O130" s="166" t="s">
        <v>476</v>
      </c>
      <c r="P130" s="167" t="s">
        <v>473</v>
      </c>
      <c r="Q130" s="167">
        <v>94</v>
      </c>
      <c r="R130" s="162">
        <v>3.1</v>
      </c>
      <c r="S130" s="167" t="s">
        <v>474</v>
      </c>
      <c r="T130" s="167">
        <v>7</v>
      </c>
      <c r="U130" s="168" t="s">
        <v>460</v>
      </c>
      <c r="V130" s="173"/>
      <c r="W130" s="170">
        <v>9</v>
      </c>
      <c r="X130" s="166" t="s">
        <v>41</v>
      </c>
      <c r="Y130" s="166" t="s">
        <v>331</v>
      </c>
      <c r="Z130" s="171">
        <v>0.63055555555555554</v>
      </c>
      <c r="AA130" s="172">
        <v>11.5</v>
      </c>
      <c r="AB130" s="172">
        <v>3.2000000000000001E-2</v>
      </c>
      <c r="AC130" s="172">
        <v>0.36399999999999999</v>
      </c>
      <c r="AD130" s="164">
        <v>62.5</v>
      </c>
      <c r="AE130" s="163">
        <v>99</v>
      </c>
      <c r="AF130" s="163">
        <v>-43</v>
      </c>
      <c r="AG130" s="164">
        <v>-0.4</v>
      </c>
      <c r="AH130" s="163">
        <v>28</v>
      </c>
      <c r="AI130" s="163">
        <v>50</v>
      </c>
      <c r="AJ130" s="163">
        <v>177</v>
      </c>
      <c r="AK130" s="164">
        <v>5.9</v>
      </c>
    </row>
    <row r="131" spans="1:37" ht="15" x14ac:dyDescent="0.2">
      <c r="A131" s="159">
        <v>16</v>
      </c>
      <c r="B131" s="159" t="s">
        <v>53</v>
      </c>
      <c r="C131" s="159" t="s">
        <v>151</v>
      </c>
      <c r="D131" s="160">
        <v>0.66666666666666663</v>
      </c>
      <c r="E131" s="161">
        <v>22.835999999999999</v>
      </c>
      <c r="F131" s="161">
        <v>6.3E-2</v>
      </c>
      <c r="G131" s="161">
        <v>0.308</v>
      </c>
      <c r="H131" s="162">
        <v>19.2</v>
      </c>
      <c r="I131" s="163">
        <v>75</v>
      </c>
      <c r="J131" s="163">
        <v>7</v>
      </c>
      <c r="K131" s="164">
        <v>0.1</v>
      </c>
      <c r="L131" s="163">
        <v>54</v>
      </c>
      <c r="M131" s="165">
        <v>36</v>
      </c>
      <c r="N131" s="159" t="s">
        <v>487</v>
      </c>
      <c r="O131" s="159" t="s">
        <v>476</v>
      </c>
      <c r="P131" s="167" t="s">
        <v>473</v>
      </c>
      <c r="Q131" s="167">
        <v>86</v>
      </c>
      <c r="R131" s="167">
        <v>3</v>
      </c>
      <c r="S131" s="167" t="s">
        <v>474</v>
      </c>
      <c r="T131" s="167">
        <v>7</v>
      </c>
      <c r="U131" s="168"/>
      <c r="V131" s="169"/>
      <c r="W131" s="170">
        <v>16</v>
      </c>
      <c r="X131" s="166" t="s">
        <v>49</v>
      </c>
      <c r="Y131" s="166" t="s">
        <v>331</v>
      </c>
      <c r="Z131" s="171">
        <v>0.64027777777777783</v>
      </c>
      <c r="AA131" s="172">
        <v>52.59</v>
      </c>
      <c r="AB131" s="172">
        <v>0.14599999999999999</v>
      </c>
      <c r="AC131" s="172">
        <v>0.35699999999999998</v>
      </c>
      <c r="AD131" s="164">
        <v>2.5</v>
      </c>
      <c r="AE131" s="163">
        <v>107</v>
      </c>
      <c r="AF131" s="163">
        <v>4</v>
      </c>
      <c r="AG131" s="164">
        <v>0</v>
      </c>
      <c r="AH131" s="163">
        <v>52</v>
      </c>
      <c r="AI131" s="163">
        <v>49</v>
      </c>
      <c r="AJ131" s="163">
        <v>169</v>
      </c>
      <c r="AK131" s="164">
        <v>5.6</v>
      </c>
    </row>
    <row r="132" spans="1:37" ht="15" x14ac:dyDescent="0.2">
      <c r="A132" s="159">
        <v>29</v>
      </c>
      <c r="B132" s="159" t="s">
        <v>41</v>
      </c>
      <c r="C132" s="159" t="s">
        <v>151</v>
      </c>
      <c r="D132" s="160">
        <v>0.71388888888888891</v>
      </c>
      <c r="E132" s="161">
        <v>7.5490000000000004</v>
      </c>
      <c r="F132" s="161">
        <v>2.1000000000000001E-2</v>
      </c>
      <c r="G132" s="161">
        <v>0.29699999999999999</v>
      </c>
      <c r="H132" s="162">
        <v>68.3</v>
      </c>
      <c r="I132" s="163">
        <v>121</v>
      </c>
      <c r="J132" s="163">
        <v>-78</v>
      </c>
      <c r="K132" s="164">
        <v>-0.6</v>
      </c>
      <c r="L132" s="163">
        <v>18</v>
      </c>
      <c r="M132" s="165">
        <v>35</v>
      </c>
      <c r="N132" s="159" t="s">
        <v>486</v>
      </c>
      <c r="O132" s="159" t="s">
        <v>476</v>
      </c>
      <c r="P132" s="167" t="s">
        <v>473</v>
      </c>
      <c r="Q132" s="167">
        <v>68</v>
      </c>
      <c r="R132" s="167">
        <v>2</v>
      </c>
      <c r="S132" s="167" t="s">
        <v>474</v>
      </c>
      <c r="T132" s="167">
        <v>7</v>
      </c>
      <c r="U132" s="168"/>
      <c r="V132" s="173"/>
      <c r="W132" s="170">
        <v>29</v>
      </c>
      <c r="X132" s="166" t="s">
        <v>46</v>
      </c>
      <c r="Y132" s="166" t="s">
        <v>331</v>
      </c>
      <c r="Z132" s="171">
        <v>0.66666666666666663</v>
      </c>
      <c r="AA132" s="172">
        <v>9.7070000000000007</v>
      </c>
      <c r="AB132" s="172">
        <v>2.7E-2</v>
      </c>
      <c r="AC132" s="172">
        <v>0.22700000000000001</v>
      </c>
      <c r="AD132" s="164">
        <v>105</v>
      </c>
      <c r="AE132" s="163">
        <v>71</v>
      </c>
      <c r="AF132" s="163">
        <v>-25</v>
      </c>
      <c r="AG132" s="164">
        <v>-0.4</v>
      </c>
      <c r="AH132" s="163">
        <v>32</v>
      </c>
      <c r="AI132" s="163">
        <v>75</v>
      </c>
      <c r="AJ132" s="163">
        <v>151</v>
      </c>
      <c r="AK132" s="164">
        <v>5</v>
      </c>
    </row>
    <row r="133" spans="1:37" ht="15" x14ac:dyDescent="0.2">
      <c r="A133" s="159">
        <v>32</v>
      </c>
      <c r="B133" s="159" t="s">
        <v>53</v>
      </c>
      <c r="C133" s="159" t="s">
        <v>151</v>
      </c>
      <c r="D133" s="160">
        <v>0.71388888888888891</v>
      </c>
      <c r="E133" s="161">
        <v>5.2880000000000003</v>
      </c>
      <c r="F133" s="161">
        <v>1.4999999999999999E-2</v>
      </c>
      <c r="G133" s="161">
        <v>0.17100000000000001</v>
      </c>
      <c r="H133" s="162">
        <v>198.5</v>
      </c>
      <c r="I133" s="163">
        <v>25</v>
      </c>
      <c r="J133" s="163">
        <v>2</v>
      </c>
      <c r="K133" s="164">
        <v>0.1</v>
      </c>
      <c r="L133" s="163">
        <v>55</v>
      </c>
      <c r="M133" s="165">
        <v>56</v>
      </c>
      <c r="N133" s="159" t="s">
        <v>487</v>
      </c>
      <c r="O133" s="159" t="s">
        <v>476</v>
      </c>
      <c r="P133" s="167" t="s">
        <v>473</v>
      </c>
      <c r="Q133" s="167">
        <v>68</v>
      </c>
      <c r="R133" s="167">
        <v>2</v>
      </c>
      <c r="S133" s="167" t="s">
        <v>474</v>
      </c>
      <c r="T133" s="167">
        <v>7</v>
      </c>
      <c r="U133" s="168"/>
      <c r="V133" s="169"/>
      <c r="W133" s="170">
        <v>32</v>
      </c>
      <c r="X133" s="166" t="s">
        <v>41</v>
      </c>
      <c r="Y133" s="166" t="s">
        <v>331</v>
      </c>
      <c r="Z133" s="171">
        <v>0.67638888888888893</v>
      </c>
      <c r="AA133" s="172">
        <v>7.1390000000000002</v>
      </c>
      <c r="AB133" s="172">
        <v>0.02</v>
      </c>
      <c r="AC133" s="172">
        <v>0.29299999999999998</v>
      </c>
      <c r="AD133" s="164">
        <v>122.2</v>
      </c>
      <c r="AE133" s="163">
        <v>113</v>
      </c>
      <c r="AF133" s="163">
        <v>96</v>
      </c>
      <c r="AG133" s="164">
        <v>0.8</v>
      </c>
      <c r="AH133" s="163">
        <v>92</v>
      </c>
      <c r="AI133" s="163">
        <v>26</v>
      </c>
      <c r="AJ133" s="163">
        <v>151</v>
      </c>
      <c r="AK133" s="164">
        <v>5</v>
      </c>
    </row>
    <row r="134" spans="1:37" ht="16" thickBot="1" x14ac:dyDescent="0.25">
      <c r="A134" s="159">
        <v>46</v>
      </c>
      <c r="B134" s="159" t="s">
        <v>46</v>
      </c>
      <c r="C134" s="159" t="s">
        <v>151</v>
      </c>
      <c r="D134" s="160">
        <v>0.75694444444444453</v>
      </c>
      <c r="E134" s="161">
        <v>15.92</v>
      </c>
      <c r="F134" s="161">
        <v>4.3999999999999997E-2</v>
      </c>
      <c r="G134" s="161">
        <v>0.25</v>
      </c>
      <c r="H134" s="162">
        <v>23.1</v>
      </c>
      <c r="I134" s="163">
        <v>85</v>
      </c>
      <c r="J134" s="163">
        <v>-18</v>
      </c>
      <c r="K134" s="164">
        <v>-0.2</v>
      </c>
      <c r="L134" s="163">
        <v>39</v>
      </c>
      <c r="M134" s="165">
        <v>43</v>
      </c>
      <c r="N134" s="166" t="s">
        <v>487</v>
      </c>
      <c r="O134" s="166" t="s">
        <v>476</v>
      </c>
      <c r="P134" s="167" t="s">
        <v>473</v>
      </c>
      <c r="Q134" s="167">
        <v>42</v>
      </c>
      <c r="R134" s="162">
        <v>1.4</v>
      </c>
      <c r="S134" s="167" t="s">
        <v>474</v>
      </c>
      <c r="T134" s="167">
        <v>7</v>
      </c>
      <c r="U134" s="168"/>
      <c r="V134" s="173"/>
      <c r="W134" s="170">
        <v>46</v>
      </c>
      <c r="X134" s="166" t="s">
        <v>49</v>
      </c>
      <c r="Y134" s="166" t="s">
        <v>331</v>
      </c>
      <c r="Z134" s="171">
        <v>0.70486111111111116</v>
      </c>
      <c r="AA134" s="172">
        <v>7.6289999999999996</v>
      </c>
      <c r="AB134" s="172">
        <v>2.1000000000000001E-2</v>
      </c>
      <c r="AC134" s="172">
        <v>0.26500000000000001</v>
      </c>
      <c r="AD134" s="164">
        <v>135.4</v>
      </c>
      <c r="AE134" s="163">
        <v>28</v>
      </c>
      <c r="AF134" s="163">
        <v>-1</v>
      </c>
      <c r="AG134" s="164">
        <v>0</v>
      </c>
      <c r="AH134" s="163">
        <v>48</v>
      </c>
      <c r="AI134" s="163">
        <v>51</v>
      </c>
      <c r="AJ134" s="163">
        <v>125</v>
      </c>
      <c r="AK134" s="164">
        <v>4.2</v>
      </c>
    </row>
    <row r="135" spans="1:37" s="221" customFormat="1" ht="16" thickBot="1" x14ac:dyDescent="0.25">
      <c r="A135" s="211" t="s">
        <v>507</v>
      </c>
      <c r="B135" s="212"/>
      <c r="C135" s="212"/>
      <c r="D135" s="212"/>
      <c r="E135" s="215">
        <f>AVERAGE(E129:E134)</f>
        <v>11.091500000000002</v>
      </c>
      <c r="F135" s="213"/>
      <c r="G135" s="213"/>
      <c r="H135" s="214"/>
      <c r="I135" s="215">
        <f>AVERAGE(I129:I134)</f>
        <v>58.5</v>
      </c>
      <c r="J135" s="215">
        <f t="shared" ref="J135:L135" si="26">AVERAGE(J129:J134)</f>
        <v>-14.666666666666666</v>
      </c>
      <c r="K135" s="215">
        <f t="shared" si="26"/>
        <v>-0.11666666666666665</v>
      </c>
      <c r="L135" s="215">
        <f t="shared" si="26"/>
        <v>44.166666666666664</v>
      </c>
      <c r="M135" s="215">
        <f>AVERAGE(M129:M134)</f>
        <v>44</v>
      </c>
      <c r="N135" s="212"/>
      <c r="O135" s="212"/>
      <c r="P135" s="216"/>
      <c r="Q135" s="216"/>
      <c r="R135" s="216"/>
      <c r="S135" s="216"/>
      <c r="T135" s="216"/>
      <c r="U135" s="216"/>
      <c r="V135" s="217"/>
      <c r="W135" s="218"/>
      <c r="X135" s="218"/>
      <c r="Y135" s="218"/>
      <c r="Z135" s="218"/>
      <c r="AA135" s="215">
        <f>AVERAGE(AA129:AA134)</f>
        <v>16.379666666666665</v>
      </c>
      <c r="AB135" s="219"/>
      <c r="AC135" s="219"/>
      <c r="AD135" s="220"/>
      <c r="AE135" s="215">
        <f>AVERAGE(AE129:AE134)</f>
        <v>79.666666666666671</v>
      </c>
      <c r="AF135" s="215">
        <f t="shared" ref="AF135:AH135" si="27">AVERAGE(AF129:AF134)</f>
        <v>8.3333333333333339</v>
      </c>
      <c r="AG135" s="215">
        <f t="shared" si="27"/>
        <v>5.000000000000001E-2</v>
      </c>
      <c r="AH135" s="215">
        <f t="shared" si="27"/>
        <v>53</v>
      </c>
      <c r="AI135" s="215">
        <f>AVERAGE(AI129:AI134)</f>
        <v>49.5</v>
      </c>
      <c r="AJ135" s="215"/>
      <c r="AK135" s="220"/>
    </row>
    <row r="136" spans="1:37" x14ac:dyDescent="0.15">
      <c r="AH136" s="237">
        <f>STDEV(AH129:AH134)/SQRT((COUNT(AH129:AH134)))</f>
        <v>9.6298148130342227</v>
      </c>
    </row>
    <row r="139" spans="1:37" x14ac:dyDescent="0.15">
      <c r="A139" s="29" t="s">
        <v>530</v>
      </c>
    </row>
    <row r="140" spans="1:37" ht="15" x14ac:dyDescent="0.2">
      <c r="A140" s="30" t="s">
        <v>0</v>
      </c>
      <c r="B140" s="31" t="s">
        <v>2</v>
      </c>
      <c r="C140" s="31" t="s">
        <v>3</v>
      </c>
      <c r="D140" s="31" t="s">
        <v>4</v>
      </c>
      <c r="E140" s="32" t="s">
        <v>7</v>
      </c>
      <c r="F140" s="32" t="s">
        <v>8</v>
      </c>
      <c r="G140" s="32" t="s">
        <v>9</v>
      </c>
      <c r="H140" s="33" t="s">
        <v>10</v>
      </c>
      <c r="I140" s="47" t="s">
        <v>454</v>
      </c>
      <c r="J140" s="35" t="s">
        <v>455</v>
      </c>
      <c r="K140" s="35" t="s">
        <v>457</v>
      </c>
      <c r="L140" s="35" t="s">
        <v>456</v>
      </c>
      <c r="M140" s="35" t="s">
        <v>452</v>
      </c>
      <c r="N140" s="35" t="s">
        <v>485</v>
      </c>
      <c r="O140" s="35" t="s">
        <v>478</v>
      </c>
      <c r="P140" s="35" t="s">
        <v>479</v>
      </c>
      <c r="Q140" s="35" t="s">
        <v>480</v>
      </c>
      <c r="R140" s="35" t="s">
        <v>481</v>
      </c>
      <c r="S140" s="35" t="s">
        <v>482</v>
      </c>
      <c r="T140" s="35" t="s">
        <v>483</v>
      </c>
      <c r="U140" s="35" t="s">
        <v>484</v>
      </c>
      <c r="V140" s="157" t="s">
        <v>513</v>
      </c>
      <c r="W140" s="35" t="s">
        <v>514</v>
      </c>
      <c r="X140" s="35" t="s">
        <v>515</v>
      </c>
      <c r="Y140" s="35" t="s">
        <v>516</v>
      </c>
      <c r="Z140" s="35" t="s">
        <v>517</v>
      </c>
      <c r="AA140" s="45" t="s">
        <v>518</v>
      </c>
      <c r="AB140" s="45" t="s">
        <v>519</v>
      </c>
      <c r="AC140" s="45" t="s">
        <v>520</v>
      </c>
      <c r="AD140" s="46" t="s">
        <v>521</v>
      </c>
      <c r="AE140" s="47" t="s">
        <v>522</v>
      </c>
      <c r="AF140" s="35" t="s">
        <v>523</v>
      </c>
      <c r="AG140" s="35" t="s">
        <v>524</v>
      </c>
      <c r="AH140" s="35" t="s">
        <v>525</v>
      </c>
      <c r="AI140" s="47" t="s">
        <v>526</v>
      </c>
      <c r="AJ140" s="47" t="s">
        <v>527</v>
      </c>
      <c r="AK140" s="158" t="s">
        <v>528</v>
      </c>
    </row>
    <row r="141" spans="1:37" ht="15" x14ac:dyDescent="0.2">
      <c r="A141" s="159">
        <v>4</v>
      </c>
      <c r="B141" s="159" t="s">
        <v>53</v>
      </c>
      <c r="C141" s="159" t="s">
        <v>151</v>
      </c>
      <c r="D141" s="160">
        <v>0.63194444444444442</v>
      </c>
      <c r="E141" s="161">
        <v>20.376999999999999</v>
      </c>
      <c r="F141" s="161">
        <v>5.7000000000000002E-2</v>
      </c>
      <c r="G141" s="161">
        <v>0.248</v>
      </c>
      <c r="H141" s="162">
        <v>8.4</v>
      </c>
      <c r="I141" s="163">
        <v>99</v>
      </c>
      <c r="J141" s="163">
        <v>-8</v>
      </c>
      <c r="K141" s="164">
        <v>-0.1</v>
      </c>
      <c r="L141" s="163">
        <v>46</v>
      </c>
      <c r="M141" s="165">
        <v>47</v>
      </c>
      <c r="N141" s="166" t="s">
        <v>486</v>
      </c>
      <c r="O141" s="166" t="s">
        <v>476</v>
      </c>
      <c r="P141" s="167" t="s">
        <v>473</v>
      </c>
      <c r="Q141" s="167">
        <v>94</v>
      </c>
      <c r="R141" s="162">
        <v>3.1</v>
      </c>
      <c r="S141" s="167" t="s">
        <v>477</v>
      </c>
      <c r="T141" s="167">
        <v>8</v>
      </c>
      <c r="U141" s="168"/>
      <c r="V141" s="169"/>
      <c r="W141" s="170">
        <v>4</v>
      </c>
      <c r="X141" s="166" t="s">
        <v>53</v>
      </c>
      <c r="Y141" s="166" t="s">
        <v>331</v>
      </c>
      <c r="Z141" s="171">
        <v>0.61041666666666672</v>
      </c>
      <c r="AA141" s="172">
        <v>14.268000000000001</v>
      </c>
      <c r="AB141" s="172">
        <v>0.04</v>
      </c>
      <c r="AC141" s="172">
        <v>0.30399999999999999</v>
      </c>
      <c r="AD141" s="164">
        <v>64.3</v>
      </c>
      <c r="AE141" s="163">
        <v>71</v>
      </c>
      <c r="AF141" s="163">
        <v>34</v>
      </c>
      <c r="AG141" s="164">
        <v>0.5</v>
      </c>
      <c r="AH141" s="163">
        <v>74</v>
      </c>
      <c r="AI141" s="163">
        <v>42</v>
      </c>
      <c r="AJ141" s="163">
        <v>177</v>
      </c>
      <c r="AK141" s="164">
        <v>5.9</v>
      </c>
    </row>
    <row r="142" spans="1:37" ht="15" x14ac:dyDescent="0.2">
      <c r="A142" s="159">
        <v>6</v>
      </c>
      <c r="B142" s="159" t="s">
        <v>46</v>
      </c>
      <c r="C142" s="159" t="s">
        <v>151</v>
      </c>
      <c r="D142" s="160">
        <v>0.64166666666666672</v>
      </c>
      <c r="E142" s="161">
        <v>5.8029999999999999</v>
      </c>
      <c r="F142" s="161">
        <v>1.6E-2</v>
      </c>
      <c r="G142" s="161">
        <v>0.27300000000000002</v>
      </c>
      <c r="H142" s="162">
        <v>164.9</v>
      </c>
      <c r="I142" s="163">
        <v>36</v>
      </c>
      <c r="J142" s="163">
        <v>-24</v>
      </c>
      <c r="K142" s="164">
        <v>-0.7</v>
      </c>
      <c r="L142" s="163">
        <v>17</v>
      </c>
      <c r="M142" s="165">
        <v>24</v>
      </c>
      <c r="N142" s="166" t="s">
        <v>487</v>
      </c>
      <c r="O142" s="166" t="s">
        <v>476</v>
      </c>
      <c r="P142" s="167" t="s">
        <v>473</v>
      </c>
      <c r="Q142" s="167">
        <v>94</v>
      </c>
      <c r="R142" s="162">
        <v>3.1</v>
      </c>
      <c r="S142" s="167" t="s">
        <v>477</v>
      </c>
      <c r="T142" s="167">
        <v>8</v>
      </c>
      <c r="U142" s="168"/>
      <c r="V142" s="173"/>
      <c r="W142" s="170">
        <v>6</v>
      </c>
      <c r="X142" s="166" t="s">
        <v>46</v>
      </c>
      <c r="Y142" s="166" t="s">
        <v>331</v>
      </c>
      <c r="Z142" s="171">
        <v>0.62083333333333335</v>
      </c>
      <c r="AA142" s="172">
        <v>10.512</v>
      </c>
      <c r="AB142" s="172">
        <v>2.9000000000000001E-2</v>
      </c>
      <c r="AC142" s="172">
        <v>0.33</v>
      </c>
      <c r="AD142" s="164">
        <v>149.80000000000001</v>
      </c>
      <c r="AE142" s="163">
        <v>98</v>
      </c>
      <c r="AF142" s="163">
        <v>-53</v>
      </c>
      <c r="AG142" s="164">
        <v>-0.5</v>
      </c>
      <c r="AH142" s="163">
        <v>23</v>
      </c>
      <c r="AI142" s="163">
        <v>61</v>
      </c>
      <c r="AJ142" s="163">
        <v>177</v>
      </c>
      <c r="AK142" s="164">
        <v>5.9</v>
      </c>
    </row>
    <row r="143" spans="1:37" ht="15" x14ac:dyDescent="0.2">
      <c r="A143" s="159">
        <v>8</v>
      </c>
      <c r="B143" s="159" t="s">
        <v>53</v>
      </c>
      <c r="C143" s="159" t="s">
        <v>151</v>
      </c>
      <c r="D143" s="160">
        <v>0.64374999999999993</v>
      </c>
      <c r="E143" s="161">
        <v>3.5430000000000001</v>
      </c>
      <c r="F143" s="161">
        <v>0.01</v>
      </c>
      <c r="G143" s="161">
        <v>0.252</v>
      </c>
      <c r="H143" s="162">
        <v>185.1</v>
      </c>
      <c r="I143" s="163">
        <v>7</v>
      </c>
      <c r="J143" s="163">
        <v>7</v>
      </c>
      <c r="K143" s="164">
        <v>1</v>
      </c>
      <c r="L143" s="163">
        <v>100</v>
      </c>
      <c r="M143" s="165">
        <v>24</v>
      </c>
      <c r="N143" s="166" t="s">
        <v>487</v>
      </c>
      <c r="O143" s="166" t="s">
        <v>476</v>
      </c>
      <c r="P143" s="167" t="s">
        <v>473</v>
      </c>
      <c r="Q143" s="167">
        <v>94</v>
      </c>
      <c r="R143" s="162">
        <v>3.1</v>
      </c>
      <c r="S143" s="167" t="s">
        <v>477</v>
      </c>
      <c r="T143" s="167">
        <v>8</v>
      </c>
      <c r="U143" s="168" t="s">
        <v>459</v>
      </c>
      <c r="V143" s="169"/>
      <c r="W143" s="170">
        <v>8</v>
      </c>
      <c r="X143" s="166" t="s">
        <v>53</v>
      </c>
      <c r="Y143" s="166" t="s">
        <v>331</v>
      </c>
      <c r="Z143" s="171">
        <v>0.62083333333333335</v>
      </c>
      <c r="AA143" s="172">
        <v>11.79</v>
      </c>
      <c r="AB143" s="172">
        <v>3.3000000000000002E-2</v>
      </c>
      <c r="AC143" s="172">
        <v>0.33</v>
      </c>
      <c r="AD143" s="164">
        <v>79.599999999999994</v>
      </c>
      <c r="AE143" s="163">
        <v>105</v>
      </c>
      <c r="AF143" s="163">
        <v>-32</v>
      </c>
      <c r="AG143" s="164">
        <v>-0.3</v>
      </c>
      <c r="AH143" s="163">
        <v>35</v>
      </c>
      <c r="AI143" s="163">
        <v>41</v>
      </c>
      <c r="AJ143" s="163">
        <v>177</v>
      </c>
      <c r="AK143" s="164">
        <v>5.9</v>
      </c>
    </row>
    <row r="144" spans="1:37" ht="15" x14ac:dyDescent="0.2">
      <c r="A144" s="159">
        <v>19</v>
      </c>
      <c r="B144" s="159" t="s">
        <v>49</v>
      </c>
      <c r="C144" s="159" t="s">
        <v>151</v>
      </c>
      <c r="D144" s="160">
        <v>0.6791666666666667</v>
      </c>
      <c r="E144" s="161">
        <v>6.8639999999999999</v>
      </c>
      <c r="F144" s="161">
        <v>1.9E-2</v>
      </c>
      <c r="G144" s="161">
        <v>0.23699999999999999</v>
      </c>
      <c r="H144" s="162">
        <v>57.7</v>
      </c>
      <c r="I144" s="163">
        <v>31</v>
      </c>
      <c r="J144" s="163">
        <v>-20</v>
      </c>
      <c r="K144" s="164">
        <v>-0.6</v>
      </c>
      <c r="L144" s="163">
        <v>18</v>
      </c>
      <c r="M144" s="165">
        <v>45</v>
      </c>
      <c r="N144" s="159" t="s">
        <v>486</v>
      </c>
      <c r="O144" s="159" t="s">
        <v>476</v>
      </c>
      <c r="P144" s="167" t="s">
        <v>473</v>
      </c>
      <c r="Q144" s="167">
        <v>76</v>
      </c>
      <c r="R144" s="167">
        <v>3</v>
      </c>
      <c r="S144" s="167" t="s">
        <v>477</v>
      </c>
      <c r="T144" s="167">
        <v>8</v>
      </c>
      <c r="U144" s="168"/>
      <c r="V144" s="173"/>
      <c r="W144" s="170">
        <v>19</v>
      </c>
      <c r="X144" s="166" t="s">
        <v>46</v>
      </c>
      <c r="Y144" s="166" t="s">
        <v>331</v>
      </c>
      <c r="Z144" s="171">
        <v>0.64930555555555558</v>
      </c>
      <c r="AA144" s="172">
        <v>7.92</v>
      </c>
      <c r="AB144" s="172">
        <v>2.1999999999999999E-2</v>
      </c>
      <c r="AC144" s="172">
        <v>0.20799999999999999</v>
      </c>
      <c r="AD144" s="164">
        <v>65.400000000000006</v>
      </c>
      <c r="AE144" s="163">
        <v>88</v>
      </c>
      <c r="AF144" s="163">
        <v>-44</v>
      </c>
      <c r="AG144" s="164">
        <v>-0.5</v>
      </c>
      <c r="AH144" s="163">
        <v>25</v>
      </c>
      <c r="AI144" s="163">
        <v>56</v>
      </c>
      <c r="AJ144" s="163">
        <v>159</v>
      </c>
      <c r="AK144" s="164">
        <v>5.3</v>
      </c>
    </row>
    <row r="145" spans="1:37" ht="15" x14ac:dyDescent="0.2">
      <c r="A145" s="159">
        <v>27</v>
      </c>
      <c r="B145" s="159" t="s">
        <v>49</v>
      </c>
      <c r="C145" s="159" t="s">
        <v>151</v>
      </c>
      <c r="D145" s="160">
        <v>0.70208333333333339</v>
      </c>
      <c r="E145" s="161">
        <v>7.2729999999999997</v>
      </c>
      <c r="F145" s="161">
        <v>0.02</v>
      </c>
      <c r="G145" s="161">
        <v>0.28000000000000003</v>
      </c>
      <c r="H145" s="162">
        <v>78.8</v>
      </c>
      <c r="I145" s="163">
        <v>22</v>
      </c>
      <c r="J145" s="163">
        <v>4</v>
      </c>
      <c r="K145" s="164">
        <v>0.2</v>
      </c>
      <c r="L145" s="163">
        <v>60</v>
      </c>
      <c r="M145" s="165">
        <v>46</v>
      </c>
      <c r="N145" s="159" t="s">
        <v>486</v>
      </c>
      <c r="O145" s="159" t="s">
        <v>476</v>
      </c>
      <c r="P145" s="167" t="s">
        <v>473</v>
      </c>
      <c r="Q145" s="167">
        <v>68</v>
      </c>
      <c r="R145" s="167">
        <v>2</v>
      </c>
      <c r="S145" s="167" t="s">
        <v>477</v>
      </c>
      <c r="T145" s="167">
        <v>8</v>
      </c>
      <c r="U145" s="168"/>
      <c r="V145" s="169"/>
      <c r="W145" s="170">
        <v>27</v>
      </c>
      <c r="X145" s="166" t="s">
        <v>53</v>
      </c>
      <c r="Y145" s="166" t="s">
        <v>331</v>
      </c>
      <c r="Z145" s="171">
        <v>0.65833333333333333</v>
      </c>
      <c r="AA145" s="172">
        <v>6.1479999999999997</v>
      </c>
      <c r="AB145" s="172">
        <v>1.7000000000000001E-2</v>
      </c>
      <c r="AC145" s="172">
        <v>0.27900000000000003</v>
      </c>
      <c r="AD145" s="164">
        <v>164.3</v>
      </c>
      <c r="AE145" s="163">
        <v>72</v>
      </c>
      <c r="AF145" s="163">
        <v>-33</v>
      </c>
      <c r="AG145" s="164">
        <v>-0.5</v>
      </c>
      <c r="AH145" s="163">
        <v>27</v>
      </c>
      <c r="AI145" s="163">
        <v>58</v>
      </c>
      <c r="AJ145" s="163">
        <v>151</v>
      </c>
      <c r="AK145" s="164">
        <v>5</v>
      </c>
    </row>
    <row r="146" spans="1:37" ht="15" x14ac:dyDescent="0.2">
      <c r="A146" s="159">
        <v>31</v>
      </c>
      <c r="B146" s="159" t="s">
        <v>49</v>
      </c>
      <c r="C146" s="159" t="s">
        <v>151</v>
      </c>
      <c r="D146" s="160">
        <v>0.71388888888888891</v>
      </c>
      <c r="E146" s="161">
        <v>6.2930000000000001</v>
      </c>
      <c r="F146" s="161">
        <v>1.7000000000000001E-2</v>
      </c>
      <c r="G146" s="161">
        <v>0.22900000000000001</v>
      </c>
      <c r="H146" s="162">
        <v>64</v>
      </c>
      <c r="I146" s="163">
        <v>65</v>
      </c>
      <c r="J146" s="163">
        <v>-47</v>
      </c>
      <c r="K146" s="164">
        <v>-0.7</v>
      </c>
      <c r="L146" s="163">
        <v>13</v>
      </c>
      <c r="M146" s="165">
        <v>59</v>
      </c>
      <c r="N146" s="159" t="s">
        <v>487</v>
      </c>
      <c r="O146" s="159" t="s">
        <v>476</v>
      </c>
      <c r="P146" s="167" t="s">
        <v>473</v>
      </c>
      <c r="Q146" s="167">
        <v>68</v>
      </c>
      <c r="R146" s="167">
        <v>2</v>
      </c>
      <c r="S146" s="167" t="s">
        <v>477</v>
      </c>
      <c r="T146" s="167">
        <v>8</v>
      </c>
      <c r="U146" s="168"/>
      <c r="V146" s="173"/>
      <c r="W146" s="170">
        <v>31</v>
      </c>
      <c r="X146" s="166" t="s">
        <v>53</v>
      </c>
      <c r="Y146" s="166" t="s">
        <v>331</v>
      </c>
      <c r="Z146" s="171">
        <v>0.66736111111111107</v>
      </c>
      <c r="AA146" s="172">
        <v>11.701000000000001</v>
      </c>
      <c r="AB146" s="172">
        <v>3.3000000000000002E-2</v>
      </c>
      <c r="AC146" s="172">
        <v>0.33600000000000002</v>
      </c>
      <c r="AD146" s="164">
        <v>21.9</v>
      </c>
      <c r="AE146" s="163">
        <v>45</v>
      </c>
      <c r="AF146" s="163">
        <v>10</v>
      </c>
      <c r="AG146" s="164">
        <v>0.2</v>
      </c>
      <c r="AH146" s="163">
        <v>61</v>
      </c>
      <c r="AI146" s="163">
        <v>66</v>
      </c>
      <c r="AJ146" s="163">
        <v>151</v>
      </c>
      <c r="AK146" s="164">
        <v>5</v>
      </c>
    </row>
    <row r="147" spans="1:37" ht="16" thickBot="1" x14ac:dyDescent="0.25">
      <c r="A147" s="159">
        <v>45</v>
      </c>
      <c r="B147" s="159" t="s">
        <v>41</v>
      </c>
      <c r="C147" s="159" t="s">
        <v>151</v>
      </c>
      <c r="D147" s="160">
        <v>0.75694444444444453</v>
      </c>
      <c r="E147" s="161">
        <v>15.161</v>
      </c>
      <c r="F147" s="161">
        <v>4.2000000000000003E-2</v>
      </c>
      <c r="G147" s="161">
        <v>0.755</v>
      </c>
      <c r="H147" s="162">
        <v>18.899999999999999</v>
      </c>
      <c r="I147" s="163">
        <v>28</v>
      </c>
      <c r="J147" s="163">
        <v>5</v>
      </c>
      <c r="K147" s="164">
        <v>0.2</v>
      </c>
      <c r="L147" s="163">
        <v>59</v>
      </c>
      <c r="M147" s="165">
        <v>50</v>
      </c>
      <c r="N147" s="159" t="s">
        <v>487</v>
      </c>
      <c r="O147" s="159" t="s">
        <v>476</v>
      </c>
      <c r="P147" s="167" t="s">
        <v>473</v>
      </c>
      <c r="Q147" s="167">
        <v>42</v>
      </c>
      <c r="R147" s="167">
        <v>1</v>
      </c>
      <c r="S147" s="167" t="s">
        <v>477</v>
      </c>
      <c r="T147" s="167">
        <v>8</v>
      </c>
      <c r="U147" s="168"/>
      <c r="V147" s="169"/>
      <c r="W147" s="170">
        <v>45</v>
      </c>
      <c r="X147" s="166" t="s">
        <v>46</v>
      </c>
      <c r="Y147" s="166" t="s">
        <v>331</v>
      </c>
      <c r="Z147" s="171">
        <v>0.70416666666666661</v>
      </c>
      <c r="AA147" s="172">
        <v>10.329000000000001</v>
      </c>
      <c r="AB147" s="172">
        <v>2.9000000000000001E-2</v>
      </c>
      <c r="AC147" s="172">
        <v>0.25</v>
      </c>
      <c r="AD147" s="164">
        <v>32.1</v>
      </c>
      <c r="AE147" s="163">
        <v>63</v>
      </c>
      <c r="AF147" s="163">
        <v>-12</v>
      </c>
      <c r="AG147" s="164">
        <v>-0.2</v>
      </c>
      <c r="AH147" s="163">
        <v>41</v>
      </c>
      <c r="AI147" s="163">
        <v>55</v>
      </c>
      <c r="AJ147" s="163">
        <v>125</v>
      </c>
      <c r="AK147" s="164">
        <v>4.2</v>
      </c>
    </row>
    <row r="148" spans="1:37" s="221" customFormat="1" ht="16" thickBot="1" x14ac:dyDescent="0.25">
      <c r="A148" s="211" t="s">
        <v>507</v>
      </c>
      <c r="B148" s="212"/>
      <c r="C148" s="212"/>
      <c r="D148" s="212"/>
      <c r="E148" s="215">
        <f>AVERAGE(E141:E147)</f>
        <v>9.3305714285714281</v>
      </c>
      <c r="F148" s="213"/>
      <c r="G148" s="213"/>
      <c r="H148" s="214"/>
      <c r="I148" s="215">
        <f>AVERAGE(I141:I147)</f>
        <v>41.142857142857146</v>
      </c>
      <c r="J148" s="215">
        <f t="shared" ref="J148:M148" si="28">AVERAGE(J141:J147)</f>
        <v>-11.857142857142858</v>
      </c>
      <c r="K148" s="215">
        <f t="shared" si="28"/>
        <v>-9.9999999999999992E-2</v>
      </c>
      <c r="L148" s="215">
        <f t="shared" si="28"/>
        <v>44.714285714285715</v>
      </c>
      <c r="M148" s="215">
        <f t="shared" si="28"/>
        <v>42.142857142857146</v>
      </c>
      <c r="N148" s="212"/>
      <c r="O148" s="212"/>
      <c r="P148" s="216"/>
      <c r="Q148" s="216"/>
      <c r="R148" s="216"/>
      <c r="S148" s="216"/>
      <c r="T148" s="216"/>
      <c r="U148" s="216"/>
      <c r="V148" s="217"/>
      <c r="W148" s="218"/>
      <c r="X148" s="218"/>
      <c r="Y148" s="218"/>
      <c r="Z148" s="218"/>
      <c r="AA148" s="215">
        <f>AVERAGE(AA141:AA147)</f>
        <v>10.381142857142859</v>
      </c>
      <c r="AB148" s="219"/>
      <c r="AC148" s="219"/>
      <c r="AD148" s="220"/>
      <c r="AE148" s="215">
        <f>AVERAGE(AE141:AE147)</f>
        <v>77.428571428571431</v>
      </c>
      <c r="AF148" s="215">
        <f t="shared" ref="AF148:AG148" si="29">AVERAGE(AF141:AF147)</f>
        <v>-18.571428571428573</v>
      </c>
      <c r="AG148" s="215">
        <f t="shared" si="29"/>
        <v>-0.18571428571428572</v>
      </c>
      <c r="AH148" s="215">
        <f>AVERAGE(AH141:AH147)</f>
        <v>40.857142857142854</v>
      </c>
      <c r="AI148" s="215">
        <f t="shared" ref="AI148" si="30">AVERAGE(AI141:AI147)</f>
        <v>54.142857142857146</v>
      </c>
      <c r="AJ148" s="215"/>
      <c r="AK148" s="220"/>
    </row>
    <row r="149" spans="1:37" x14ac:dyDescent="0.15">
      <c r="AH149" s="237">
        <f>STDEV(AH141:AH147)/SQRT((COUNT(AH141:AH147)))</f>
        <v>7.4015074765327418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1EE6-5D28-F047-BC08-63989DE2A432}">
  <dimension ref="A1:D48"/>
  <sheetViews>
    <sheetView workbookViewId="0"/>
  </sheetViews>
  <sheetFormatPr baseColWidth="10" defaultRowHeight="13" x14ac:dyDescent="0.15"/>
  <cols>
    <col min="1" max="1" width="15.6640625" customWidth="1"/>
    <col min="2" max="2" width="14.33203125" customWidth="1"/>
    <col min="3" max="3" width="18.33203125" customWidth="1"/>
    <col min="4" max="4" width="19.5" customWidth="1"/>
  </cols>
  <sheetData>
    <row r="1" spans="1:4" ht="14" thickBot="1" x14ac:dyDescent="0.2">
      <c r="A1" s="246" t="s">
        <v>42</v>
      </c>
      <c r="B1" s="247"/>
      <c r="C1" s="246" t="s">
        <v>270</v>
      </c>
      <c r="D1" s="247"/>
    </row>
    <row r="2" spans="1:4" x14ac:dyDescent="0.15">
      <c r="A2" s="248" t="s">
        <v>539</v>
      </c>
      <c r="B2" s="245" t="s">
        <v>538</v>
      </c>
      <c r="C2" s="245" t="s">
        <v>539</v>
      </c>
      <c r="D2" s="249" t="s">
        <v>538</v>
      </c>
    </row>
    <row r="3" spans="1:4" ht="15" x14ac:dyDescent="0.2">
      <c r="A3" s="250" t="s">
        <v>39</v>
      </c>
      <c r="B3" s="242" t="s">
        <v>45</v>
      </c>
      <c r="C3" s="244" t="s">
        <v>39</v>
      </c>
      <c r="D3" s="251" t="s">
        <v>45</v>
      </c>
    </row>
    <row r="4" spans="1:4" ht="15" x14ac:dyDescent="0.2">
      <c r="A4" s="250" t="s">
        <v>52</v>
      </c>
      <c r="B4" s="242" t="s">
        <v>48</v>
      </c>
      <c r="C4" s="244" t="s">
        <v>52</v>
      </c>
      <c r="D4" s="251" t="s">
        <v>48</v>
      </c>
    </row>
    <row r="5" spans="1:4" ht="15" x14ac:dyDescent="0.2">
      <c r="A5" s="250" t="s">
        <v>55</v>
      </c>
      <c r="B5" s="242" t="s">
        <v>58</v>
      </c>
      <c r="C5" s="244" t="s">
        <v>55</v>
      </c>
      <c r="D5" s="251" t="s">
        <v>58</v>
      </c>
    </row>
    <row r="6" spans="1:4" ht="15" x14ac:dyDescent="0.2">
      <c r="A6" s="250" t="s">
        <v>62</v>
      </c>
      <c r="B6" s="242" t="s">
        <v>60</v>
      </c>
      <c r="C6" s="244" t="s">
        <v>62</v>
      </c>
      <c r="D6" s="251" t="s">
        <v>60</v>
      </c>
    </row>
    <row r="7" spans="1:4" ht="15" x14ac:dyDescent="0.2">
      <c r="A7" s="250" t="s">
        <v>64</v>
      </c>
      <c r="B7" s="242" t="s">
        <v>67</v>
      </c>
      <c r="C7" s="244" t="s">
        <v>64</v>
      </c>
      <c r="D7" s="251" t="s">
        <v>67</v>
      </c>
    </row>
    <row r="8" spans="1:4" ht="15" x14ac:dyDescent="0.2">
      <c r="A8" s="250" t="s">
        <v>71</v>
      </c>
      <c r="B8" s="242" t="s">
        <v>69</v>
      </c>
      <c r="C8" s="244" t="s">
        <v>71</v>
      </c>
      <c r="D8" s="251" t="s">
        <v>69</v>
      </c>
    </row>
    <row r="9" spans="1:4" ht="15" x14ac:dyDescent="0.2">
      <c r="A9" s="252" t="s">
        <v>73</v>
      </c>
      <c r="B9" s="242" t="s">
        <v>76</v>
      </c>
      <c r="C9" s="244" t="s">
        <v>76</v>
      </c>
      <c r="D9" s="251" t="s">
        <v>78</v>
      </c>
    </row>
    <row r="10" spans="1:4" ht="15" x14ac:dyDescent="0.2">
      <c r="A10" s="250" t="s">
        <v>80</v>
      </c>
      <c r="B10" s="242" t="s">
        <v>78</v>
      </c>
      <c r="C10" s="244" t="s">
        <v>82</v>
      </c>
      <c r="D10" s="251" t="s">
        <v>80</v>
      </c>
    </row>
    <row r="11" spans="1:4" ht="15" x14ac:dyDescent="0.2">
      <c r="A11" s="250" t="s">
        <v>82</v>
      </c>
      <c r="B11" s="242" t="s">
        <v>85</v>
      </c>
      <c r="C11" s="244" t="s">
        <v>85</v>
      </c>
      <c r="D11" s="251" t="s">
        <v>87</v>
      </c>
    </row>
    <row r="12" spans="1:4" ht="15" x14ac:dyDescent="0.2">
      <c r="A12" s="250" t="s">
        <v>89</v>
      </c>
      <c r="B12" s="242" t="s">
        <v>87</v>
      </c>
      <c r="C12" s="244" t="s">
        <v>91</v>
      </c>
      <c r="D12" s="251" t="s">
        <v>89</v>
      </c>
    </row>
    <row r="13" spans="1:4" ht="15" x14ac:dyDescent="0.2">
      <c r="A13" s="250" t="s">
        <v>91</v>
      </c>
      <c r="B13" s="243" t="s">
        <v>94</v>
      </c>
      <c r="C13" s="244" t="s">
        <v>96</v>
      </c>
      <c r="D13" s="251" t="s">
        <v>98</v>
      </c>
    </row>
    <row r="14" spans="1:4" ht="15" x14ac:dyDescent="0.2">
      <c r="A14" s="250" t="s">
        <v>98</v>
      </c>
      <c r="B14" s="242" t="s">
        <v>96</v>
      </c>
      <c r="C14" s="244" t="s">
        <v>105</v>
      </c>
      <c r="D14" s="251" t="s">
        <v>103</v>
      </c>
    </row>
    <row r="15" spans="1:4" ht="15" x14ac:dyDescent="0.2">
      <c r="A15" s="252" t="s">
        <v>100</v>
      </c>
      <c r="B15" s="242" t="s">
        <v>103</v>
      </c>
      <c r="C15" s="244" t="s">
        <v>107</v>
      </c>
      <c r="D15" s="251" t="s">
        <v>109</v>
      </c>
    </row>
    <row r="16" spans="1:4" ht="15" x14ac:dyDescent="0.2">
      <c r="A16" s="250" t="s">
        <v>107</v>
      </c>
      <c r="B16" s="242" t="s">
        <v>105</v>
      </c>
      <c r="C16" s="244" t="s">
        <v>114</v>
      </c>
      <c r="D16" s="251" t="s">
        <v>112</v>
      </c>
    </row>
    <row r="17" spans="1:4" ht="15" x14ac:dyDescent="0.2">
      <c r="A17" s="250" t="s">
        <v>109</v>
      </c>
      <c r="B17" s="242" t="s">
        <v>112</v>
      </c>
      <c r="C17" s="244" t="s">
        <v>116</v>
      </c>
      <c r="D17" s="251" t="s">
        <v>118</v>
      </c>
    </row>
    <row r="18" spans="1:4" ht="15" x14ac:dyDescent="0.2">
      <c r="A18" s="250" t="s">
        <v>116</v>
      </c>
      <c r="B18" s="242" t="s">
        <v>114</v>
      </c>
      <c r="C18" s="244" t="s">
        <v>123</v>
      </c>
      <c r="D18" s="251" t="s">
        <v>121</v>
      </c>
    </row>
    <row r="19" spans="1:4" ht="15" x14ac:dyDescent="0.2">
      <c r="A19" s="250" t="s">
        <v>118</v>
      </c>
      <c r="B19" s="242" t="s">
        <v>121</v>
      </c>
      <c r="C19" s="244" t="s">
        <v>125</v>
      </c>
      <c r="D19" s="251" t="s">
        <v>127</v>
      </c>
    </row>
    <row r="20" spans="1:4" ht="15" x14ac:dyDescent="0.2">
      <c r="A20" s="250" t="s">
        <v>125</v>
      </c>
      <c r="B20" s="242" t="s">
        <v>123</v>
      </c>
      <c r="C20" s="244" t="s">
        <v>132</v>
      </c>
      <c r="D20" s="251" t="s">
        <v>130</v>
      </c>
    </row>
    <row r="21" spans="1:4" ht="15" x14ac:dyDescent="0.2">
      <c r="A21" s="250" t="s">
        <v>127</v>
      </c>
      <c r="B21" s="242" t="s">
        <v>130</v>
      </c>
      <c r="C21" s="244" t="s">
        <v>134</v>
      </c>
      <c r="D21" s="251" t="s">
        <v>136</v>
      </c>
    </row>
    <row r="22" spans="1:4" ht="15" x14ac:dyDescent="0.2">
      <c r="A22" s="250" t="s">
        <v>134</v>
      </c>
      <c r="B22" s="242" t="s">
        <v>132</v>
      </c>
      <c r="C22" s="244" t="s">
        <v>141</v>
      </c>
      <c r="D22" s="251" t="s">
        <v>139</v>
      </c>
    </row>
    <row r="23" spans="1:4" ht="15" x14ac:dyDescent="0.2">
      <c r="A23" s="250" t="s">
        <v>136</v>
      </c>
      <c r="B23" s="242" t="s">
        <v>139</v>
      </c>
      <c r="C23" s="244" t="s">
        <v>143</v>
      </c>
      <c r="D23" s="251" t="s">
        <v>145</v>
      </c>
    </row>
    <row r="24" spans="1:4" ht="15" x14ac:dyDescent="0.2">
      <c r="A24" s="250" t="s">
        <v>143</v>
      </c>
      <c r="B24" s="242" t="s">
        <v>141</v>
      </c>
      <c r="C24" s="142" t="s">
        <v>39</v>
      </c>
      <c r="D24" s="251" t="s">
        <v>148</v>
      </c>
    </row>
    <row r="25" spans="1:4" ht="15" x14ac:dyDescent="0.2">
      <c r="A25" s="250" t="s">
        <v>145</v>
      </c>
      <c r="B25" s="242" t="s">
        <v>148</v>
      </c>
      <c r="C25" s="142" t="s">
        <v>52</v>
      </c>
      <c r="D25" s="253" t="s">
        <v>45</v>
      </c>
    </row>
    <row r="26" spans="1:4" ht="15" x14ac:dyDescent="0.2">
      <c r="A26" s="254" t="s">
        <v>39</v>
      </c>
      <c r="B26" s="124" t="s">
        <v>45</v>
      </c>
      <c r="C26" s="142" t="s">
        <v>55</v>
      </c>
      <c r="D26" s="253" t="s">
        <v>48</v>
      </c>
    </row>
    <row r="27" spans="1:4" ht="15" x14ac:dyDescent="0.2">
      <c r="A27" s="254" t="s">
        <v>52</v>
      </c>
      <c r="B27" s="124" t="s">
        <v>48</v>
      </c>
      <c r="C27" s="142" t="s">
        <v>62</v>
      </c>
      <c r="D27" s="253" t="s">
        <v>58</v>
      </c>
    </row>
    <row r="28" spans="1:4" ht="15" x14ac:dyDescent="0.2">
      <c r="A28" s="254" t="s">
        <v>55</v>
      </c>
      <c r="B28" s="124" t="s">
        <v>58</v>
      </c>
      <c r="C28" s="142" t="s">
        <v>64</v>
      </c>
      <c r="D28" s="253" t="s">
        <v>60</v>
      </c>
    </row>
    <row r="29" spans="1:4" ht="15" x14ac:dyDescent="0.2">
      <c r="A29" s="254" t="s">
        <v>62</v>
      </c>
      <c r="B29" s="124" t="s">
        <v>60</v>
      </c>
      <c r="C29" s="142" t="s">
        <v>71</v>
      </c>
      <c r="D29" s="253" t="s">
        <v>67</v>
      </c>
    </row>
    <row r="30" spans="1:4" ht="15" x14ac:dyDescent="0.2">
      <c r="A30" s="254" t="s">
        <v>64</v>
      </c>
      <c r="B30" s="124" t="s">
        <v>67</v>
      </c>
      <c r="C30" s="142" t="s">
        <v>76</v>
      </c>
      <c r="D30" s="253" t="s">
        <v>69</v>
      </c>
    </row>
    <row r="31" spans="1:4" ht="15" x14ac:dyDescent="0.2">
      <c r="A31" s="254" t="s">
        <v>71</v>
      </c>
      <c r="B31" s="124" t="s">
        <v>69</v>
      </c>
      <c r="C31" s="142" t="s">
        <v>82</v>
      </c>
      <c r="D31" s="253" t="s">
        <v>78</v>
      </c>
    </row>
    <row r="32" spans="1:4" ht="15" x14ac:dyDescent="0.2">
      <c r="A32" s="255" t="s">
        <v>73</v>
      </c>
      <c r="B32" s="124" t="s">
        <v>76</v>
      </c>
      <c r="C32" s="142" t="s">
        <v>85</v>
      </c>
      <c r="D32" s="253" t="s">
        <v>80</v>
      </c>
    </row>
    <row r="33" spans="1:4" ht="15" x14ac:dyDescent="0.2">
      <c r="A33" s="254" t="s">
        <v>80</v>
      </c>
      <c r="B33" s="124" t="s">
        <v>78</v>
      </c>
      <c r="C33" s="142" t="s">
        <v>91</v>
      </c>
      <c r="D33" s="253" t="s">
        <v>87</v>
      </c>
    </row>
    <row r="34" spans="1:4" ht="15" x14ac:dyDescent="0.2">
      <c r="A34" s="254" t="s">
        <v>82</v>
      </c>
      <c r="B34" s="124" t="s">
        <v>85</v>
      </c>
      <c r="C34" s="142" t="s">
        <v>96</v>
      </c>
      <c r="D34" s="253" t="s">
        <v>89</v>
      </c>
    </row>
    <row r="35" spans="1:4" ht="15" x14ac:dyDescent="0.2">
      <c r="A35" s="254" t="s">
        <v>89</v>
      </c>
      <c r="B35" s="124" t="s">
        <v>87</v>
      </c>
      <c r="C35" s="142" t="s">
        <v>105</v>
      </c>
      <c r="D35" s="253" t="s">
        <v>98</v>
      </c>
    </row>
    <row r="36" spans="1:4" ht="15" x14ac:dyDescent="0.2">
      <c r="A36" s="254" t="s">
        <v>91</v>
      </c>
      <c r="B36" s="130" t="s">
        <v>94</v>
      </c>
      <c r="C36" s="142" t="s">
        <v>107</v>
      </c>
      <c r="D36" s="253" t="s">
        <v>103</v>
      </c>
    </row>
    <row r="37" spans="1:4" ht="15" x14ac:dyDescent="0.2">
      <c r="A37" s="254" t="s">
        <v>98</v>
      </c>
      <c r="B37" s="124" t="s">
        <v>96</v>
      </c>
      <c r="C37" s="142" t="s">
        <v>114</v>
      </c>
      <c r="D37" s="253" t="s">
        <v>109</v>
      </c>
    </row>
    <row r="38" spans="1:4" ht="15" x14ac:dyDescent="0.2">
      <c r="A38" s="255" t="s">
        <v>100</v>
      </c>
      <c r="B38" s="124" t="s">
        <v>103</v>
      </c>
      <c r="C38" s="142" t="s">
        <v>116</v>
      </c>
      <c r="D38" s="253" t="s">
        <v>112</v>
      </c>
    </row>
    <row r="39" spans="1:4" ht="15" x14ac:dyDescent="0.2">
      <c r="A39" s="254" t="s">
        <v>107</v>
      </c>
      <c r="B39" s="124" t="s">
        <v>105</v>
      </c>
      <c r="C39" s="142" t="s">
        <v>123</v>
      </c>
      <c r="D39" s="253" t="s">
        <v>118</v>
      </c>
    </row>
    <row r="40" spans="1:4" ht="15" x14ac:dyDescent="0.2">
      <c r="A40" s="254" t="s">
        <v>109</v>
      </c>
      <c r="B40" s="124" t="s">
        <v>112</v>
      </c>
      <c r="C40" s="142" t="s">
        <v>125</v>
      </c>
      <c r="D40" s="253" t="s">
        <v>121</v>
      </c>
    </row>
    <row r="41" spans="1:4" ht="15" x14ac:dyDescent="0.2">
      <c r="A41" s="254" t="s">
        <v>116</v>
      </c>
      <c r="B41" s="124" t="s">
        <v>114</v>
      </c>
      <c r="C41" s="142" t="s">
        <v>132</v>
      </c>
      <c r="D41" s="253" t="s">
        <v>127</v>
      </c>
    </row>
    <row r="42" spans="1:4" ht="15" x14ac:dyDescent="0.2">
      <c r="A42" s="254" t="s">
        <v>118</v>
      </c>
      <c r="B42" s="124" t="s">
        <v>121</v>
      </c>
      <c r="C42" s="142" t="s">
        <v>134</v>
      </c>
      <c r="D42" s="253" t="s">
        <v>130</v>
      </c>
    </row>
    <row r="43" spans="1:4" ht="15" x14ac:dyDescent="0.2">
      <c r="A43" s="254" t="s">
        <v>125</v>
      </c>
      <c r="B43" s="124" t="s">
        <v>123</v>
      </c>
      <c r="C43" s="142" t="s">
        <v>141</v>
      </c>
      <c r="D43" s="253" t="s">
        <v>136</v>
      </c>
    </row>
    <row r="44" spans="1:4" ht="15" x14ac:dyDescent="0.2">
      <c r="A44" s="254" t="s">
        <v>127</v>
      </c>
      <c r="B44" s="124" t="s">
        <v>130</v>
      </c>
      <c r="C44" s="142" t="s">
        <v>143</v>
      </c>
      <c r="D44" s="253" t="s">
        <v>139</v>
      </c>
    </row>
    <row r="45" spans="1:4" ht="15" x14ac:dyDescent="0.2">
      <c r="A45" s="254" t="s">
        <v>134</v>
      </c>
      <c r="B45" s="124" t="s">
        <v>132</v>
      </c>
      <c r="C45" s="256"/>
      <c r="D45" s="253" t="s">
        <v>145</v>
      </c>
    </row>
    <row r="46" spans="1:4" ht="15" x14ac:dyDescent="0.2">
      <c r="A46" s="254" t="s">
        <v>136</v>
      </c>
      <c r="B46" s="124" t="s">
        <v>139</v>
      </c>
      <c r="C46" s="256"/>
      <c r="D46" s="253" t="s">
        <v>148</v>
      </c>
    </row>
    <row r="47" spans="1:4" ht="15" x14ac:dyDescent="0.2">
      <c r="A47" s="254" t="s">
        <v>143</v>
      </c>
      <c r="B47" s="124" t="s">
        <v>141</v>
      </c>
      <c r="C47" s="256"/>
      <c r="D47" s="257"/>
    </row>
    <row r="48" spans="1:4" ht="16" thickBot="1" x14ac:dyDescent="0.25">
      <c r="A48" s="258" t="s">
        <v>145</v>
      </c>
      <c r="B48" s="259" t="s">
        <v>148</v>
      </c>
      <c r="C48" s="260"/>
      <c r="D48" s="2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NORT_02.06.2020</vt:lpstr>
      <vt:lpstr>NORT_ 24.08.2020 (after)</vt:lpstr>
      <vt:lpstr>Open field1</vt:lpstr>
      <vt:lpstr>NORT </vt:lpstr>
      <vt:lpstr>Object localization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Imen Belhaj</cp:lastModifiedBy>
  <dcterms:created xsi:type="dcterms:W3CDTF">2020-09-24T08:15:10Z</dcterms:created>
  <dcterms:modified xsi:type="dcterms:W3CDTF">2021-01-16T18:09:56Z</dcterms:modified>
</cp:coreProperties>
</file>